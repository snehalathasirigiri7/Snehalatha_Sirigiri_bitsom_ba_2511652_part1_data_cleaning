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482" documentId="11_E60897F41BE170836B02CE998F75CCDC64E183C8" xr6:coauthVersionLast="47" xr6:coauthVersionMax="47" xr10:uidLastSave="{A1C76ABB-6DAB-42C0-B04E-019670CB4CB1}"/>
  <bookViews>
    <workbookView xWindow="240" yWindow="105" windowWidth="14805" windowHeight="8010" activeTab="6" xr2:uid="{00000000-000D-0000-FFFF-FFFF00000000}"/>
  </bookViews>
  <sheets>
    <sheet name="1. Missing Value Summary" sheetId="4" r:id="rId1"/>
    <sheet name="2. Duplicate Summary " sheetId="5" r:id="rId2"/>
    <sheet name="3. Invalid discount summary" sheetId="6" r:id="rId3"/>
    <sheet name="4. Date issue summary" sheetId="7" r:id="rId4"/>
    <sheet name="5. Order status issue summary" sheetId="8" r:id="rId5"/>
    <sheet name="6. Sales-profit calculation" sheetId="10" r:id="rId6"/>
    <sheet name="7. Final clean vs flagged " sheetId="9" r:id="rId7"/>
    <sheet name="Cleaned Orders" sheetId="1" r:id="rId8"/>
  </sheets>
  <externalReferences>
    <externalReference r:id="rId9"/>
    <externalReference r:id="rId10"/>
    <externalReference r:id="rId11"/>
  </externalReferences>
  <definedNames>
    <definedName name="_xlnm._FilterDatabase" localSheetId="7" hidden="1">'Cleaned Orders'!$A$1:$AE$933</definedName>
    <definedName name="_xlnm._FilterDatabase" localSheetId="0" hidden="1">'1. Missing Value Summary'!$B$9:$B$9</definedName>
    <definedName name="_xlnm._FilterDatabase" localSheetId="2" hidden="1">'3. Invalid discount summary'!$A$1:$C$2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9" l="1"/>
  <c r="B5" i="9"/>
  <c r="B4" i="9"/>
  <c r="B5" i="10"/>
  <c r="B4" i="10"/>
  <c r="B4" i="7"/>
  <c r="B5" i="7"/>
  <c r="B5" i="5"/>
  <c r="B6" i="4"/>
  <c r="B5" i="4"/>
  <c r="B4" i="4"/>
  <c r="B4" i="8"/>
  <c r="B7" i="5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D367" i="1"/>
  <c r="AE367" i="1"/>
  <c r="AD368" i="1"/>
  <c r="AE368" i="1"/>
  <c r="AD369" i="1"/>
  <c r="AE369" i="1"/>
  <c r="AD370" i="1"/>
  <c r="AE370" i="1"/>
  <c r="AD371" i="1"/>
  <c r="AE371" i="1"/>
  <c r="AD372" i="1"/>
  <c r="AE372" i="1"/>
  <c r="AD373" i="1"/>
  <c r="AE373" i="1"/>
  <c r="AD374" i="1"/>
  <c r="AE374" i="1"/>
  <c r="AD375" i="1"/>
  <c r="AE375" i="1"/>
  <c r="AD376" i="1"/>
  <c r="AE376" i="1"/>
  <c r="AD377" i="1"/>
  <c r="AE377" i="1"/>
  <c r="AD378" i="1"/>
  <c r="AE378" i="1"/>
  <c r="AD379" i="1"/>
  <c r="AE379" i="1"/>
  <c r="AD380" i="1"/>
  <c r="AE380" i="1"/>
  <c r="AD381" i="1"/>
  <c r="AE381" i="1"/>
  <c r="AD382" i="1"/>
  <c r="AE382" i="1"/>
  <c r="AD383" i="1"/>
  <c r="AE383" i="1"/>
  <c r="AD384" i="1"/>
  <c r="AE384" i="1"/>
  <c r="AD385" i="1"/>
  <c r="AE385" i="1"/>
  <c r="AD386" i="1"/>
  <c r="AE386" i="1"/>
  <c r="AD387" i="1"/>
  <c r="AE387" i="1"/>
  <c r="AD388" i="1"/>
  <c r="AE388" i="1"/>
  <c r="AD389" i="1"/>
  <c r="AE38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96" i="1"/>
  <c r="AE396" i="1"/>
  <c r="AD397" i="1"/>
  <c r="AE397" i="1"/>
  <c r="AD398" i="1"/>
  <c r="AE398" i="1"/>
  <c r="AD399" i="1"/>
  <c r="AE399" i="1"/>
  <c r="AD400" i="1"/>
  <c r="AE400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407" i="1"/>
  <c r="AE407" i="1"/>
  <c r="AD408" i="1"/>
  <c r="AE408" i="1"/>
  <c r="AD409" i="1"/>
  <c r="AE409" i="1"/>
  <c r="AD410" i="1"/>
  <c r="AE410" i="1"/>
  <c r="AD411" i="1"/>
  <c r="AE411" i="1"/>
  <c r="AD412" i="1"/>
  <c r="AE412" i="1"/>
  <c r="AD413" i="1"/>
  <c r="AE413" i="1"/>
  <c r="AD414" i="1"/>
  <c r="AE414" i="1"/>
  <c r="AD415" i="1"/>
  <c r="AE415" i="1"/>
  <c r="AD416" i="1"/>
  <c r="AE416" i="1"/>
  <c r="AD417" i="1"/>
  <c r="AE417" i="1"/>
  <c r="AD418" i="1"/>
  <c r="AE418" i="1"/>
  <c r="AD419" i="1"/>
  <c r="AE419" i="1"/>
  <c r="AD420" i="1"/>
  <c r="AE420" i="1"/>
  <c r="AD421" i="1"/>
  <c r="AE421" i="1"/>
  <c r="AD422" i="1"/>
  <c r="AE422" i="1"/>
  <c r="AD423" i="1"/>
  <c r="AE423" i="1"/>
  <c r="AD424" i="1"/>
  <c r="AE424" i="1"/>
  <c r="AD425" i="1"/>
  <c r="AE425" i="1"/>
  <c r="AD426" i="1"/>
  <c r="AE426" i="1"/>
  <c r="AD427" i="1"/>
  <c r="AE427" i="1"/>
  <c r="AD428" i="1"/>
  <c r="AE428" i="1"/>
  <c r="AD429" i="1"/>
  <c r="AE429" i="1"/>
  <c r="AD430" i="1"/>
  <c r="AE430" i="1"/>
  <c r="AD431" i="1"/>
  <c r="AE431" i="1"/>
  <c r="AD432" i="1"/>
  <c r="AE432" i="1"/>
  <c r="AD433" i="1"/>
  <c r="AE433" i="1"/>
  <c r="AD434" i="1"/>
  <c r="AE434" i="1"/>
  <c r="AD435" i="1"/>
  <c r="AE435" i="1"/>
  <c r="AD436" i="1"/>
  <c r="AE436" i="1"/>
  <c r="AD437" i="1"/>
  <c r="AE437" i="1"/>
  <c r="AD438" i="1"/>
  <c r="AE438" i="1"/>
  <c r="AD439" i="1"/>
  <c r="AE439" i="1"/>
  <c r="AD440" i="1"/>
  <c r="AE440" i="1"/>
  <c r="AD441" i="1"/>
  <c r="AE441" i="1"/>
  <c r="AD442" i="1"/>
  <c r="AE442" i="1"/>
  <c r="AD443" i="1"/>
  <c r="AE443" i="1"/>
  <c r="AD444" i="1"/>
  <c r="AE444" i="1"/>
  <c r="AD445" i="1"/>
  <c r="AE445" i="1"/>
  <c r="AD446" i="1"/>
  <c r="AE446" i="1"/>
  <c r="AD447" i="1"/>
  <c r="AE447" i="1"/>
  <c r="AD448" i="1"/>
  <c r="AE448" i="1"/>
  <c r="AD449" i="1"/>
  <c r="AE449" i="1"/>
  <c r="AD450" i="1"/>
  <c r="AE450" i="1"/>
  <c r="AD451" i="1"/>
  <c r="AE451" i="1"/>
  <c r="AD452" i="1"/>
  <c r="AE452" i="1"/>
  <c r="AD453" i="1"/>
  <c r="AE453" i="1"/>
  <c r="AD454" i="1"/>
  <c r="AE454" i="1"/>
  <c r="AD455" i="1"/>
  <c r="AE455" i="1"/>
  <c r="AD456" i="1"/>
  <c r="AE456" i="1"/>
  <c r="AD457" i="1"/>
  <c r="AE457" i="1"/>
  <c r="AD458" i="1"/>
  <c r="AE458" i="1"/>
  <c r="AD459" i="1"/>
  <c r="AE459" i="1"/>
  <c r="AD460" i="1"/>
  <c r="AE460" i="1"/>
  <c r="AD461" i="1"/>
  <c r="AE461" i="1"/>
  <c r="AD462" i="1"/>
  <c r="AE462" i="1"/>
  <c r="AD463" i="1"/>
  <c r="AE463" i="1"/>
  <c r="AD464" i="1"/>
  <c r="AE464" i="1"/>
  <c r="AD465" i="1"/>
  <c r="AE465" i="1"/>
  <c r="AD466" i="1"/>
  <c r="AE466" i="1"/>
  <c r="AD467" i="1"/>
  <c r="AE467" i="1"/>
  <c r="AD468" i="1"/>
  <c r="AE468" i="1"/>
  <c r="AD469" i="1"/>
  <c r="AE469" i="1"/>
  <c r="AD470" i="1"/>
  <c r="AE470" i="1"/>
  <c r="AD471" i="1"/>
  <c r="AE471" i="1"/>
  <c r="AD472" i="1"/>
  <c r="AE472" i="1"/>
  <c r="AD473" i="1"/>
  <c r="AE473" i="1"/>
  <c r="AD474" i="1"/>
  <c r="AE474" i="1"/>
  <c r="AD475" i="1"/>
  <c r="AE475" i="1"/>
  <c r="AD476" i="1"/>
  <c r="AE476" i="1"/>
  <c r="AD477" i="1"/>
  <c r="AE477" i="1"/>
  <c r="AD478" i="1"/>
  <c r="AE478" i="1"/>
  <c r="AD479" i="1"/>
  <c r="AE479" i="1"/>
  <c r="AD480" i="1"/>
  <c r="AE480" i="1"/>
  <c r="AD481" i="1"/>
  <c r="AE481" i="1"/>
  <c r="AD482" i="1"/>
  <c r="AE482" i="1"/>
  <c r="AD483" i="1"/>
  <c r="AE483" i="1"/>
  <c r="AD484" i="1"/>
  <c r="AE484" i="1"/>
  <c r="AD485" i="1"/>
  <c r="AE485" i="1"/>
  <c r="AD486" i="1"/>
  <c r="AE486" i="1"/>
  <c r="AD487" i="1"/>
  <c r="AE487" i="1"/>
  <c r="AD488" i="1"/>
  <c r="AE488" i="1"/>
  <c r="AD489" i="1"/>
  <c r="AE489" i="1"/>
  <c r="AD490" i="1"/>
  <c r="AE490" i="1"/>
  <c r="AD491" i="1"/>
  <c r="AE491" i="1"/>
  <c r="AD492" i="1"/>
  <c r="AE492" i="1"/>
  <c r="AD493" i="1"/>
  <c r="AE493" i="1"/>
  <c r="AD494" i="1"/>
  <c r="AE494" i="1"/>
  <c r="AD495" i="1"/>
  <c r="AE495" i="1"/>
  <c r="AD496" i="1"/>
  <c r="AE496" i="1"/>
  <c r="AD497" i="1"/>
  <c r="AE497" i="1"/>
  <c r="AD498" i="1"/>
  <c r="AE498" i="1"/>
  <c r="AD499" i="1"/>
  <c r="AE499" i="1"/>
  <c r="AD500" i="1"/>
  <c r="AE500" i="1"/>
  <c r="AD501" i="1"/>
  <c r="AE501" i="1"/>
  <c r="AD502" i="1"/>
  <c r="AE502" i="1"/>
  <c r="AD503" i="1"/>
  <c r="AE503" i="1"/>
  <c r="AD504" i="1"/>
  <c r="AE504" i="1"/>
  <c r="AD505" i="1"/>
  <c r="AE505" i="1"/>
  <c r="AD506" i="1"/>
  <c r="AE506" i="1"/>
  <c r="AD507" i="1"/>
  <c r="AE507" i="1"/>
  <c r="AD508" i="1"/>
  <c r="AE508" i="1"/>
  <c r="AD509" i="1"/>
  <c r="AE509" i="1"/>
  <c r="AD510" i="1"/>
  <c r="AE510" i="1"/>
  <c r="AD511" i="1"/>
  <c r="AE511" i="1"/>
  <c r="AD512" i="1"/>
  <c r="AE512" i="1"/>
  <c r="AD513" i="1"/>
  <c r="AE513" i="1"/>
  <c r="AD514" i="1"/>
  <c r="AE514" i="1"/>
  <c r="AD515" i="1"/>
  <c r="AE515" i="1"/>
  <c r="AD516" i="1"/>
  <c r="AE516" i="1"/>
  <c r="AD517" i="1"/>
  <c r="AE517" i="1"/>
  <c r="AD518" i="1"/>
  <c r="AE518" i="1"/>
  <c r="AD519" i="1"/>
  <c r="AE519" i="1"/>
  <c r="AD520" i="1"/>
  <c r="AE520" i="1"/>
  <c r="AD521" i="1"/>
  <c r="AE521" i="1"/>
  <c r="AD522" i="1"/>
  <c r="AE522" i="1"/>
  <c r="AD523" i="1"/>
  <c r="AE523" i="1"/>
  <c r="AD524" i="1"/>
  <c r="AE524" i="1"/>
  <c r="AD525" i="1"/>
  <c r="AE525" i="1"/>
  <c r="AD526" i="1"/>
  <c r="AE526" i="1"/>
  <c r="AD527" i="1"/>
  <c r="AE527" i="1"/>
  <c r="AD528" i="1"/>
  <c r="AE528" i="1"/>
  <c r="AD529" i="1"/>
  <c r="AE529" i="1"/>
  <c r="AD530" i="1"/>
  <c r="AE530" i="1"/>
  <c r="AD531" i="1"/>
  <c r="AE531" i="1"/>
  <c r="AD532" i="1"/>
  <c r="AE532" i="1"/>
  <c r="AD533" i="1"/>
  <c r="AE533" i="1"/>
  <c r="AD534" i="1"/>
  <c r="AE534" i="1"/>
  <c r="AD535" i="1"/>
  <c r="AE535" i="1"/>
  <c r="AD536" i="1"/>
  <c r="AE536" i="1"/>
  <c r="AD537" i="1"/>
  <c r="AE537" i="1"/>
  <c r="AD538" i="1"/>
  <c r="AE538" i="1"/>
  <c r="AD539" i="1"/>
  <c r="AE539" i="1"/>
  <c r="AD540" i="1"/>
  <c r="AE540" i="1"/>
  <c r="AD541" i="1"/>
  <c r="AE541" i="1"/>
  <c r="AD542" i="1"/>
  <c r="AE542" i="1"/>
  <c r="AD543" i="1"/>
  <c r="AE543" i="1"/>
  <c r="AD544" i="1"/>
  <c r="AE544" i="1"/>
  <c r="AD545" i="1"/>
  <c r="AE545" i="1"/>
  <c r="AD546" i="1"/>
  <c r="AE546" i="1"/>
  <c r="AD547" i="1"/>
  <c r="AE547" i="1"/>
  <c r="AD548" i="1"/>
  <c r="AE548" i="1"/>
  <c r="AD549" i="1"/>
  <c r="AE549" i="1"/>
  <c r="AD550" i="1"/>
  <c r="AE550" i="1"/>
  <c r="AD551" i="1"/>
  <c r="AE551" i="1"/>
  <c r="AD552" i="1"/>
  <c r="AE552" i="1"/>
  <c r="AD553" i="1"/>
  <c r="AE553" i="1"/>
  <c r="AD554" i="1"/>
  <c r="AE554" i="1"/>
  <c r="AD555" i="1"/>
  <c r="AE555" i="1"/>
  <c r="AD556" i="1"/>
  <c r="AE556" i="1"/>
  <c r="AD557" i="1"/>
  <c r="AE557" i="1"/>
  <c r="AD558" i="1"/>
  <c r="AE558" i="1"/>
  <c r="AD559" i="1"/>
  <c r="AE559" i="1"/>
  <c r="AD560" i="1"/>
  <c r="AE560" i="1"/>
  <c r="AD561" i="1"/>
  <c r="AE561" i="1"/>
  <c r="AD562" i="1"/>
  <c r="AE562" i="1"/>
  <c r="AD563" i="1"/>
  <c r="AE563" i="1"/>
  <c r="AD564" i="1"/>
  <c r="AE564" i="1"/>
  <c r="AD565" i="1"/>
  <c r="AE565" i="1"/>
  <c r="AD566" i="1"/>
  <c r="AE566" i="1"/>
  <c r="AD567" i="1"/>
  <c r="AE567" i="1"/>
  <c r="AD568" i="1"/>
  <c r="AE568" i="1"/>
  <c r="AD569" i="1"/>
  <c r="AE569" i="1"/>
  <c r="AD570" i="1"/>
  <c r="AE570" i="1"/>
  <c r="AD571" i="1"/>
  <c r="AE571" i="1"/>
  <c r="AD572" i="1"/>
  <c r="AE572" i="1"/>
  <c r="AD573" i="1"/>
  <c r="AE573" i="1"/>
  <c r="AD574" i="1"/>
  <c r="AE574" i="1"/>
  <c r="AD575" i="1"/>
  <c r="AE575" i="1"/>
  <c r="AD576" i="1"/>
  <c r="AE576" i="1"/>
  <c r="AD577" i="1"/>
  <c r="AE577" i="1"/>
  <c r="AD578" i="1"/>
  <c r="AE578" i="1"/>
  <c r="AD579" i="1"/>
  <c r="AE579" i="1"/>
  <c r="AD580" i="1"/>
  <c r="AE580" i="1"/>
  <c r="AD581" i="1"/>
  <c r="AE581" i="1"/>
  <c r="AD582" i="1"/>
  <c r="AE582" i="1"/>
  <c r="AD583" i="1"/>
  <c r="AE583" i="1"/>
  <c r="AD584" i="1"/>
  <c r="AE584" i="1"/>
  <c r="AD585" i="1"/>
  <c r="AE585" i="1"/>
  <c r="AD586" i="1"/>
  <c r="AE586" i="1"/>
  <c r="AD587" i="1"/>
  <c r="AE587" i="1"/>
  <c r="AD588" i="1"/>
  <c r="AE588" i="1"/>
  <c r="AD589" i="1"/>
  <c r="AE589" i="1"/>
  <c r="AD590" i="1"/>
  <c r="AE590" i="1"/>
  <c r="AD591" i="1"/>
  <c r="AE591" i="1"/>
  <c r="AD592" i="1"/>
  <c r="AE592" i="1"/>
  <c r="AD593" i="1"/>
  <c r="AE593" i="1"/>
  <c r="AD594" i="1"/>
  <c r="AE594" i="1"/>
  <c r="AD595" i="1"/>
  <c r="AE595" i="1"/>
  <c r="AD596" i="1"/>
  <c r="AE596" i="1"/>
  <c r="AD597" i="1"/>
  <c r="AE597" i="1"/>
  <c r="AD598" i="1"/>
  <c r="AE598" i="1"/>
  <c r="AD599" i="1"/>
  <c r="AE599" i="1"/>
  <c r="AD600" i="1"/>
  <c r="AE600" i="1"/>
  <c r="AD601" i="1"/>
  <c r="AE601" i="1"/>
  <c r="AD602" i="1"/>
  <c r="AE602" i="1"/>
  <c r="AD603" i="1"/>
  <c r="AE603" i="1"/>
  <c r="AD604" i="1"/>
  <c r="AE604" i="1"/>
  <c r="AD605" i="1"/>
  <c r="AE605" i="1"/>
  <c r="AD606" i="1"/>
  <c r="AE606" i="1"/>
  <c r="AD607" i="1"/>
  <c r="AE607" i="1"/>
  <c r="AD608" i="1"/>
  <c r="AE608" i="1"/>
  <c r="AD609" i="1"/>
  <c r="AE609" i="1"/>
  <c r="AD610" i="1"/>
  <c r="AE610" i="1"/>
  <c r="AD611" i="1"/>
  <c r="AE611" i="1"/>
  <c r="AD612" i="1"/>
  <c r="AE612" i="1"/>
  <c r="AD613" i="1"/>
  <c r="AE613" i="1"/>
  <c r="AD614" i="1"/>
  <c r="AE614" i="1"/>
  <c r="AD615" i="1"/>
  <c r="AE615" i="1"/>
  <c r="AD616" i="1"/>
  <c r="AE616" i="1"/>
  <c r="AD617" i="1"/>
  <c r="AE617" i="1"/>
  <c r="AD618" i="1"/>
  <c r="AE618" i="1"/>
  <c r="AD619" i="1"/>
  <c r="AE619" i="1"/>
  <c r="AD620" i="1"/>
  <c r="AE620" i="1"/>
  <c r="AD621" i="1"/>
  <c r="AE621" i="1"/>
  <c r="AD622" i="1"/>
  <c r="AE622" i="1"/>
  <c r="AD623" i="1"/>
  <c r="AE623" i="1"/>
  <c r="AD624" i="1"/>
  <c r="AE624" i="1"/>
  <c r="AD625" i="1"/>
  <c r="AE625" i="1"/>
  <c r="AD626" i="1"/>
  <c r="AE626" i="1"/>
  <c r="AD627" i="1"/>
  <c r="AE627" i="1"/>
  <c r="AD628" i="1"/>
  <c r="AE628" i="1"/>
  <c r="AD629" i="1"/>
  <c r="AE629" i="1"/>
  <c r="AD630" i="1"/>
  <c r="AE630" i="1"/>
  <c r="AD631" i="1"/>
  <c r="AE631" i="1"/>
  <c r="AD632" i="1"/>
  <c r="AE632" i="1"/>
  <c r="AD633" i="1"/>
  <c r="AE633" i="1"/>
  <c r="AD634" i="1"/>
  <c r="AE634" i="1"/>
  <c r="AD635" i="1"/>
  <c r="AE635" i="1"/>
  <c r="AD636" i="1"/>
  <c r="AE636" i="1"/>
  <c r="AD637" i="1"/>
  <c r="AE637" i="1"/>
  <c r="AD638" i="1"/>
  <c r="AE638" i="1"/>
  <c r="AD639" i="1"/>
  <c r="AE639" i="1"/>
  <c r="AD640" i="1"/>
  <c r="AE640" i="1"/>
  <c r="AD641" i="1"/>
  <c r="AE641" i="1"/>
  <c r="AD642" i="1"/>
  <c r="AE642" i="1"/>
  <c r="AD643" i="1"/>
  <c r="AE643" i="1"/>
  <c r="AD644" i="1"/>
  <c r="AE644" i="1"/>
  <c r="AD645" i="1"/>
  <c r="AE645" i="1"/>
  <c r="AD646" i="1"/>
  <c r="AE646" i="1"/>
  <c r="AD647" i="1"/>
  <c r="AE647" i="1"/>
  <c r="AD648" i="1"/>
  <c r="AE648" i="1"/>
  <c r="AD649" i="1"/>
  <c r="AE649" i="1"/>
  <c r="AD650" i="1"/>
  <c r="AE650" i="1"/>
  <c r="AD651" i="1"/>
  <c r="AE651" i="1"/>
  <c r="AD652" i="1"/>
  <c r="AE652" i="1"/>
  <c r="AD653" i="1"/>
  <c r="AE653" i="1"/>
  <c r="AD654" i="1"/>
  <c r="AE654" i="1"/>
  <c r="AD655" i="1"/>
  <c r="AE655" i="1"/>
  <c r="AD656" i="1"/>
  <c r="AE656" i="1"/>
  <c r="AD657" i="1"/>
  <c r="AE657" i="1"/>
  <c r="AD658" i="1"/>
  <c r="AE658" i="1"/>
  <c r="AD659" i="1"/>
  <c r="AE659" i="1"/>
  <c r="AD660" i="1"/>
  <c r="AE660" i="1"/>
  <c r="AD661" i="1"/>
  <c r="AE661" i="1"/>
  <c r="AD662" i="1"/>
  <c r="AE662" i="1"/>
  <c r="AD663" i="1"/>
  <c r="AE663" i="1"/>
  <c r="AD664" i="1"/>
  <c r="AE664" i="1"/>
  <c r="AD665" i="1"/>
  <c r="AE665" i="1"/>
  <c r="AD666" i="1"/>
  <c r="AE666" i="1"/>
  <c r="AD667" i="1"/>
  <c r="AE667" i="1"/>
  <c r="AD668" i="1"/>
  <c r="AE668" i="1"/>
  <c r="AD669" i="1"/>
  <c r="AE669" i="1"/>
  <c r="AD670" i="1"/>
  <c r="AE670" i="1"/>
  <c r="AD671" i="1"/>
  <c r="AE671" i="1"/>
  <c r="AD672" i="1"/>
  <c r="AE672" i="1"/>
  <c r="AD673" i="1"/>
  <c r="AE673" i="1"/>
  <c r="AD674" i="1"/>
  <c r="AE674" i="1"/>
  <c r="AD675" i="1"/>
  <c r="AE675" i="1"/>
  <c r="AD676" i="1"/>
  <c r="AE676" i="1"/>
  <c r="AD677" i="1"/>
  <c r="AE677" i="1"/>
  <c r="AD678" i="1"/>
  <c r="AE678" i="1"/>
  <c r="AD679" i="1"/>
  <c r="AE679" i="1"/>
  <c r="AD680" i="1"/>
  <c r="AE680" i="1"/>
  <c r="AD681" i="1"/>
  <c r="AE681" i="1"/>
  <c r="AD682" i="1"/>
  <c r="AE682" i="1"/>
  <c r="AD683" i="1"/>
  <c r="AE683" i="1"/>
  <c r="AD684" i="1"/>
  <c r="AE684" i="1"/>
  <c r="AD685" i="1"/>
  <c r="AE685" i="1"/>
  <c r="AD686" i="1"/>
  <c r="AE686" i="1"/>
  <c r="AD687" i="1"/>
  <c r="AE687" i="1"/>
  <c r="AD688" i="1"/>
  <c r="AE688" i="1"/>
  <c r="AD689" i="1"/>
  <c r="AE689" i="1"/>
  <c r="AD690" i="1"/>
  <c r="AE690" i="1"/>
  <c r="AD691" i="1"/>
  <c r="AE691" i="1"/>
  <c r="AD692" i="1"/>
  <c r="AE692" i="1"/>
  <c r="AD693" i="1"/>
  <c r="AE693" i="1"/>
  <c r="AD694" i="1"/>
  <c r="AE694" i="1"/>
  <c r="AD695" i="1"/>
  <c r="AE695" i="1"/>
  <c r="AD696" i="1"/>
  <c r="AE696" i="1"/>
  <c r="AD697" i="1"/>
  <c r="AE697" i="1"/>
  <c r="AD698" i="1"/>
  <c r="AE698" i="1"/>
  <c r="AD699" i="1"/>
  <c r="AE699" i="1"/>
  <c r="AD700" i="1"/>
  <c r="AE700" i="1"/>
  <c r="AD701" i="1"/>
  <c r="AE701" i="1"/>
  <c r="AD702" i="1"/>
  <c r="AE702" i="1"/>
  <c r="AD703" i="1"/>
  <c r="AE703" i="1"/>
  <c r="AD704" i="1"/>
  <c r="AE704" i="1"/>
  <c r="AD705" i="1"/>
  <c r="AE705" i="1"/>
  <c r="AD706" i="1"/>
  <c r="AE706" i="1"/>
  <c r="AD707" i="1"/>
  <c r="AE707" i="1"/>
  <c r="AD708" i="1"/>
  <c r="AE708" i="1"/>
  <c r="AD709" i="1"/>
  <c r="AE709" i="1"/>
  <c r="AD710" i="1"/>
  <c r="AE710" i="1"/>
  <c r="AD711" i="1"/>
  <c r="AE711" i="1"/>
  <c r="AD712" i="1"/>
  <c r="AE712" i="1"/>
  <c r="AD713" i="1"/>
  <c r="AE713" i="1"/>
  <c r="AD714" i="1"/>
  <c r="AE714" i="1"/>
  <c r="AD715" i="1"/>
  <c r="AE715" i="1"/>
  <c r="AD716" i="1"/>
  <c r="AE716" i="1"/>
  <c r="AD717" i="1"/>
  <c r="AE717" i="1"/>
  <c r="AD718" i="1"/>
  <c r="AE718" i="1"/>
  <c r="AD719" i="1"/>
  <c r="AE719" i="1"/>
  <c r="AD720" i="1"/>
  <c r="AE720" i="1"/>
  <c r="AD721" i="1"/>
  <c r="AE721" i="1"/>
  <c r="AD722" i="1"/>
  <c r="AE722" i="1"/>
  <c r="AD723" i="1"/>
  <c r="AE723" i="1"/>
  <c r="AD724" i="1"/>
  <c r="AE724" i="1"/>
  <c r="AD725" i="1"/>
  <c r="AE725" i="1"/>
  <c r="AD726" i="1"/>
  <c r="AE726" i="1"/>
  <c r="AD727" i="1"/>
  <c r="AE727" i="1"/>
  <c r="AD728" i="1"/>
  <c r="AE728" i="1"/>
  <c r="AD729" i="1"/>
  <c r="AE729" i="1"/>
  <c r="AD730" i="1"/>
  <c r="AE730" i="1"/>
  <c r="AD731" i="1"/>
  <c r="AE731" i="1"/>
  <c r="AD732" i="1"/>
  <c r="AE732" i="1"/>
  <c r="AD733" i="1"/>
  <c r="AE733" i="1"/>
  <c r="AD734" i="1"/>
  <c r="AE734" i="1"/>
  <c r="AD735" i="1"/>
  <c r="AE735" i="1"/>
  <c r="AD736" i="1"/>
  <c r="AE736" i="1"/>
  <c r="AD737" i="1"/>
  <c r="AE737" i="1"/>
  <c r="AD738" i="1"/>
  <c r="AE738" i="1"/>
  <c r="AD739" i="1"/>
  <c r="AE739" i="1"/>
  <c r="AD740" i="1"/>
  <c r="AE740" i="1"/>
  <c r="AD741" i="1"/>
  <c r="AE741" i="1"/>
  <c r="AD742" i="1"/>
  <c r="AE742" i="1"/>
  <c r="AD743" i="1"/>
  <c r="AE743" i="1"/>
  <c r="AD744" i="1"/>
  <c r="AE744" i="1"/>
  <c r="AD745" i="1"/>
  <c r="AE745" i="1"/>
  <c r="AD746" i="1"/>
  <c r="AE746" i="1"/>
  <c r="AD747" i="1"/>
  <c r="AE747" i="1"/>
  <c r="AD748" i="1"/>
  <c r="AE748" i="1"/>
  <c r="AD749" i="1"/>
  <c r="AE749" i="1"/>
  <c r="AD750" i="1"/>
  <c r="AE750" i="1"/>
  <c r="AD751" i="1"/>
  <c r="AE751" i="1"/>
  <c r="AD752" i="1"/>
  <c r="AE752" i="1"/>
  <c r="AD753" i="1"/>
  <c r="AE753" i="1"/>
  <c r="AD754" i="1"/>
  <c r="AE754" i="1"/>
  <c r="AD755" i="1"/>
  <c r="AE755" i="1"/>
  <c r="AD756" i="1"/>
  <c r="AE756" i="1"/>
  <c r="AD757" i="1"/>
  <c r="AE757" i="1"/>
  <c r="AD758" i="1"/>
  <c r="AE758" i="1"/>
  <c r="AD759" i="1"/>
  <c r="AE759" i="1"/>
  <c r="AD760" i="1"/>
  <c r="AE760" i="1"/>
  <c r="AD761" i="1"/>
  <c r="AE761" i="1"/>
  <c r="AD762" i="1"/>
  <c r="AE762" i="1"/>
  <c r="AD763" i="1"/>
  <c r="AE763" i="1"/>
  <c r="AD764" i="1"/>
  <c r="AE764" i="1"/>
  <c r="AD765" i="1"/>
  <c r="AE765" i="1"/>
  <c r="AD766" i="1"/>
  <c r="AE766" i="1"/>
  <c r="AD767" i="1"/>
  <c r="AE767" i="1"/>
  <c r="AD768" i="1"/>
  <c r="AE768" i="1"/>
  <c r="AD769" i="1"/>
  <c r="AE769" i="1"/>
  <c r="AD770" i="1"/>
  <c r="AE770" i="1"/>
  <c r="AD771" i="1"/>
  <c r="AE771" i="1"/>
  <c r="AD772" i="1"/>
  <c r="AE772" i="1"/>
  <c r="AD773" i="1"/>
  <c r="AE773" i="1"/>
  <c r="AD774" i="1"/>
  <c r="AE774" i="1"/>
  <c r="AD775" i="1"/>
  <c r="AE775" i="1"/>
  <c r="AD776" i="1"/>
  <c r="AE776" i="1"/>
  <c r="AD777" i="1"/>
  <c r="AE777" i="1"/>
  <c r="AD778" i="1"/>
  <c r="AE778" i="1"/>
  <c r="AD779" i="1"/>
  <c r="AE779" i="1"/>
  <c r="AD780" i="1"/>
  <c r="AE780" i="1"/>
  <c r="AD781" i="1"/>
  <c r="AE781" i="1"/>
  <c r="AD782" i="1"/>
  <c r="AE782" i="1"/>
  <c r="AD783" i="1"/>
  <c r="AE783" i="1"/>
  <c r="AD784" i="1"/>
  <c r="AE784" i="1"/>
  <c r="AD785" i="1"/>
  <c r="AE785" i="1"/>
  <c r="AD786" i="1"/>
  <c r="AE786" i="1"/>
  <c r="AD787" i="1"/>
  <c r="AE787" i="1"/>
  <c r="AD788" i="1"/>
  <c r="AE788" i="1"/>
  <c r="AD789" i="1"/>
  <c r="AE789" i="1"/>
  <c r="AD790" i="1"/>
  <c r="AE790" i="1"/>
  <c r="AD791" i="1"/>
  <c r="AE791" i="1"/>
  <c r="AD792" i="1"/>
  <c r="AE792" i="1"/>
  <c r="AD793" i="1"/>
  <c r="AE793" i="1"/>
  <c r="AD794" i="1"/>
  <c r="AE794" i="1"/>
  <c r="AD795" i="1"/>
  <c r="AE795" i="1"/>
  <c r="AD796" i="1"/>
  <c r="AE796" i="1"/>
  <c r="AD797" i="1"/>
  <c r="AE797" i="1"/>
  <c r="AD798" i="1"/>
  <c r="AE798" i="1"/>
  <c r="AD799" i="1"/>
  <c r="AE799" i="1"/>
  <c r="AD800" i="1"/>
  <c r="AE800" i="1"/>
  <c r="AD801" i="1"/>
  <c r="AE801" i="1"/>
  <c r="AD802" i="1"/>
  <c r="AE802" i="1"/>
  <c r="AD803" i="1"/>
  <c r="AE803" i="1"/>
  <c r="AD804" i="1"/>
  <c r="AE804" i="1"/>
  <c r="AD805" i="1"/>
  <c r="AE805" i="1"/>
  <c r="AD806" i="1"/>
  <c r="AE806" i="1"/>
  <c r="AD807" i="1"/>
  <c r="AE807" i="1"/>
  <c r="AD808" i="1"/>
  <c r="AE808" i="1"/>
  <c r="AD809" i="1"/>
  <c r="AE809" i="1"/>
  <c r="AD810" i="1"/>
  <c r="AE810" i="1"/>
  <c r="AD811" i="1"/>
  <c r="AE811" i="1"/>
  <c r="AD812" i="1"/>
  <c r="AE812" i="1"/>
  <c r="AD813" i="1"/>
  <c r="AE813" i="1"/>
  <c r="AD814" i="1"/>
  <c r="AE814" i="1"/>
  <c r="AD815" i="1"/>
  <c r="AE815" i="1"/>
  <c r="AD816" i="1"/>
  <c r="AE816" i="1"/>
  <c r="AD817" i="1"/>
  <c r="AE817" i="1"/>
  <c r="AD818" i="1"/>
  <c r="AE818" i="1"/>
  <c r="AD819" i="1"/>
  <c r="AE819" i="1"/>
  <c r="AD820" i="1"/>
  <c r="AE820" i="1"/>
  <c r="AD821" i="1"/>
  <c r="AE821" i="1"/>
  <c r="AD822" i="1"/>
  <c r="AE822" i="1"/>
  <c r="AD823" i="1"/>
  <c r="AE823" i="1"/>
  <c r="AD824" i="1"/>
  <c r="AE824" i="1"/>
  <c r="AD825" i="1"/>
  <c r="AE825" i="1"/>
  <c r="AD826" i="1"/>
  <c r="AE826" i="1"/>
  <c r="AD827" i="1"/>
  <c r="AE827" i="1"/>
  <c r="AD828" i="1"/>
  <c r="AE828" i="1"/>
  <c r="AD829" i="1"/>
  <c r="AE829" i="1"/>
  <c r="AD830" i="1"/>
  <c r="AE830" i="1"/>
  <c r="AD831" i="1"/>
  <c r="AE831" i="1"/>
  <c r="AD832" i="1"/>
  <c r="AE832" i="1"/>
  <c r="AD833" i="1"/>
  <c r="AE833" i="1"/>
  <c r="AD834" i="1"/>
  <c r="AE834" i="1"/>
  <c r="AD835" i="1"/>
  <c r="AE835" i="1"/>
  <c r="AD836" i="1"/>
  <c r="AE836" i="1"/>
  <c r="AD837" i="1"/>
  <c r="AE837" i="1"/>
  <c r="AD838" i="1"/>
  <c r="AE838" i="1"/>
  <c r="AD839" i="1"/>
  <c r="AE839" i="1"/>
  <c r="AD840" i="1"/>
  <c r="AE840" i="1"/>
  <c r="AD841" i="1"/>
  <c r="AE841" i="1"/>
  <c r="AD842" i="1"/>
  <c r="AE842" i="1"/>
  <c r="AD843" i="1"/>
  <c r="AE843" i="1"/>
  <c r="AD844" i="1"/>
  <c r="AE844" i="1"/>
  <c r="AD845" i="1"/>
  <c r="AE845" i="1"/>
  <c r="AD846" i="1"/>
  <c r="AE846" i="1"/>
  <c r="AD847" i="1"/>
  <c r="AE847" i="1"/>
  <c r="AD848" i="1"/>
  <c r="AE848" i="1"/>
  <c r="AD849" i="1"/>
  <c r="AE849" i="1"/>
  <c r="AD850" i="1"/>
  <c r="AE850" i="1"/>
  <c r="AD851" i="1"/>
  <c r="AE851" i="1"/>
  <c r="AD852" i="1"/>
  <c r="AE852" i="1"/>
  <c r="AD853" i="1"/>
  <c r="AE853" i="1"/>
  <c r="AD854" i="1"/>
  <c r="AE854" i="1"/>
  <c r="AD855" i="1"/>
  <c r="AE855" i="1"/>
  <c r="AD856" i="1"/>
  <c r="AE856" i="1"/>
  <c r="AD857" i="1"/>
  <c r="AE857" i="1"/>
  <c r="AD858" i="1"/>
  <c r="AE858" i="1"/>
  <c r="AD859" i="1"/>
  <c r="AE859" i="1"/>
  <c r="AD860" i="1"/>
  <c r="AE860" i="1"/>
  <c r="AD861" i="1"/>
  <c r="AE861" i="1"/>
  <c r="AD862" i="1"/>
  <c r="AE862" i="1"/>
  <c r="AD863" i="1"/>
  <c r="AE863" i="1"/>
  <c r="AD864" i="1"/>
  <c r="AE864" i="1"/>
  <c r="AD865" i="1"/>
  <c r="AE865" i="1"/>
  <c r="AD866" i="1"/>
  <c r="AE866" i="1"/>
  <c r="AD867" i="1"/>
  <c r="AE867" i="1"/>
  <c r="AD868" i="1"/>
  <c r="AE868" i="1"/>
  <c r="AD869" i="1"/>
  <c r="AE869" i="1"/>
  <c r="AD870" i="1"/>
  <c r="AE870" i="1"/>
  <c r="AD871" i="1"/>
  <c r="AE871" i="1"/>
  <c r="AD872" i="1"/>
  <c r="AE872" i="1"/>
  <c r="AD873" i="1"/>
  <c r="AE873" i="1"/>
  <c r="AD874" i="1"/>
  <c r="AE874" i="1"/>
  <c r="AD875" i="1"/>
  <c r="AE875" i="1"/>
  <c r="AD876" i="1"/>
  <c r="AE876" i="1"/>
  <c r="AD877" i="1"/>
  <c r="AE877" i="1"/>
  <c r="AD878" i="1"/>
  <c r="AE878" i="1"/>
  <c r="AD879" i="1"/>
  <c r="AE879" i="1"/>
  <c r="AD880" i="1"/>
  <c r="AE880" i="1"/>
  <c r="AD881" i="1"/>
  <c r="AE881" i="1"/>
  <c r="AD882" i="1"/>
  <c r="AE882" i="1"/>
  <c r="AD883" i="1"/>
  <c r="AE883" i="1"/>
  <c r="AD884" i="1"/>
  <c r="AE884" i="1"/>
  <c r="AD885" i="1"/>
  <c r="AE885" i="1"/>
  <c r="AD886" i="1"/>
  <c r="AE886" i="1"/>
  <c r="AD887" i="1"/>
  <c r="AE887" i="1"/>
  <c r="AD888" i="1"/>
  <c r="AE888" i="1"/>
  <c r="AD889" i="1"/>
  <c r="AE889" i="1"/>
  <c r="AD890" i="1"/>
  <c r="AE890" i="1"/>
  <c r="AD891" i="1"/>
  <c r="AE891" i="1"/>
  <c r="AD892" i="1"/>
  <c r="AE892" i="1"/>
  <c r="AD893" i="1"/>
  <c r="AE893" i="1"/>
  <c r="AD894" i="1"/>
  <c r="AE894" i="1"/>
  <c r="AD895" i="1"/>
  <c r="AE895" i="1"/>
  <c r="AD896" i="1"/>
  <c r="AE896" i="1"/>
  <c r="AD897" i="1"/>
  <c r="AE897" i="1"/>
  <c r="AD898" i="1"/>
  <c r="AE898" i="1"/>
  <c r="AD899" i="1"/>
  <c r="AE899" i="1"/>
  <c r="AD900" i="1"/>
  <c r="AE900" i="1"/>
  <c r="AD901" i="1"/>
  <c r="AE901" i="1"/>
  <c r="AD902" i="1"/>
  <c r="AE902" i="1"/>
  <c r="AD903" i="1"/>
  <c r="AE903" i="1"/>
  <c r="AD904" i="1"/>
  <c r="AE904" i="1"/>
  <c r="AD905" i="1"/>
  <c r="AE905" i="1"/>
  <c r="AD906" i="1"/>
  <c r="AE906" i="1"/>
  <c r="AD907" i="1"/>
  <c r="AE907" i="1"/>
  <c r="AD908" i="1"/>
  <c r="AE908" i="1"/>
  <c r="AD909" i="1"/>
  <c r="AE909" i="1"/>
  <c r="AD910" i="1"/>
  <c r="AE910" i="1"/>
  <c r="AD911" i="1"/>
  <c r="AE911" i="1"/>
  <c r="AD912" i="1"/>
  <c r="AE912" i="1"/>
  <c r="AD913" i="1"/>
  <c r="AE913" i="1"/>
  <c r="AD914" i="1"/>
  <c r="AE914" i="1"/>
  <c r="AD915" i="1"/>
  <c r="AE915" i="1"/>
  <c r="AD916" i="1"/>
  <c r="AE916" i="1"/>
  <c r="AD917" i="1"/>
  <c r="AE917" i="1"/>
  <c r="AD918" i="1"/>
  <c r="AE918" i="1"/>
  <c r="AD919" i="1"/>
  <c r="AE919" i="1"/>
  <c r="AD920" i="1"/>
  <c r="AE920" i="1"/>
  <c r="AD921" i="1"/>
  <c r="AE921" i="1"/>
  <c r="AD922" i="1"/>
  <c r="AE922" i="1"/>
  <c r="AD923" i="1"/>
  <c r="AE923" i="1"/>
  <c r="AD924" i="1"/>
  <c r="AE924" i="1"/>
  <c r="AD925" i="1"/>
  <c r="AE925" i="1"/>
  <c r="AD926" i="1"/>
  <c r="AE926" i="1"/>
  <c r="AD927" i="1"/>
  <c r="AE927" i="1"/>
  <c r="AD928" i="1"/>
  <c r="AE928" i="1"/>
  <c r="AD929" i="1"/>
  <c r="AE929" i="1"/>
  <c r="AD930" i="1"/>
  <c r="AE930" i="1"/>
  <c r="AD931" i="1"/>
  <c r="AE931" i="1"/>
  <c r="AD932" i="1"/>
  <c r="AE932" i="1"/>
  <c r="AD933" i="1"/>
  <c r="AE933" i="1"/>
  <c r="AE2" i="1"/>
  <c r="AD2" i="1"/>
  <c r="AQ933" i="1"/>
  <c r="AP933" i="1"/>
  <c r="AO933" i="1"/>
  <c r="AN933" i="1"/>
  <c r="AM933" i="1"/>
  <c r="AL933" i="1"/>
  <c r="AK933" i="1"/>
  <c r="AJ933" i="1"/>
  <c r="AI933" i="1"/>
  <c r="AH933" i="1"/>
  <c r="AC933" i="1"/>
  <c r="AB933" i="1"/>
  <c r="AA933" i="1"/>
  <c r="Z933" i="1"/>
  <c r="W933" i="1"/>
  <c r="X933" i="1" s="1"/>
  <c r="Y933" i="1" s="1"/>
  <c r="V933" i="1"/>
  <c r="AQ932" i="1"/>
  <c r="AP932" i="1"/>
  <c r="AO932" i="1"/>
  <c r="AN932" i="1"/>
  <c r="AM932" i="1"/>
  <c r="AL932" i="1"/>
  <c r="AK932" i="1"/>
  <c r="AJ932" i="1"/>
  <c r="AI932" i="1"/>
  <c r="AH932" i="1"/>
  <c r="AC932" i="1"/>
  <c r="AB932" i="1"/>
  <c r="AA932" i="1"/>
  <c r="Z932" i="1"/>
  <c r="W932" i="1"/>
  <c r="X932" i="1" s="1"/>
  <c r="Y932" i="1" s="1"/>
  <c r="V932" i="1"/>
  <c r="AQ931" i="1"/>
  <c r="AP931" i="1"/>
  <c r="AO931" i="1"/>
  <c r="AN931" i="1"/>
  <c r="AM931" i="1"/>
  <c r="AL931" i="1"/>
  <c r="AK931" i="1"/>
  <c r="AJ931" i="1"/>
  <c r="AI931" i="1"/>
  <c r="AH931" i="1"/>
  <c r="AC931" i="1"/>
  <c r="AB931" i="1"/>
  <c r="AA931" i="1"/>
  <c r="Z931" i="1"/>
  <c r="W931" i="1"/>
  <c r="X931" i="1" s="1"/>
  <c r="Y931" i="1" s="1"/>
  <c r="V931" i="1"/>
  <c r="AQ930" i="1"/>
  <c r="AP930" i="1"/>
  <c r="AO930" i="1"/>
  <c r="AN930" i="1"/>
  <c r="AM930" i="1"/>
  <c r="AL930" i="1"/>
  <c r="AK930" i="1"/>
  <c r="AJ930" i="1"/>
  <c r="AI930" i="1"/>
  <c r="AH930" i="1"/>
  <c r="AC930" i="1"/>
  <c r="AB930" i="1"/>
  <c r="AA930" i="1"/>
  <c r="Z930" i="1"/>
  <c r="W930" i="1"/>
  <c r="X930" i="1" s="1"/>
  <c r="Y930" i="1" s="1"/>
  <c r="V930" i="1"/>
  <c r="AQ929" i="1"/>
  <c r="AP929" i="1"/>
  <c r="AN929" i="1"/>
  <c r="AM929" i="1"/>
  <c r="AL929" i="1"/>
  <c r="AK929" i="1"/>
  <c r="AJ929" i="1"/>
  <c r="AI929" i="1"/>
  <c r="AH929" i="1"/>
  <c r="AC929" i="1"/>
  <c r="AB929" i="1"/>
  <c r="AA929" i="1"/>
  <c r="Z929" i="1"/>
  <c r="W929" i="1"/>
  <c r="X929" i="1" s="1"/>
  <c r="Y929" i="1" s="1"/>
  <c r="V929" i="1"/>
  <c r="AQ928" i="1"/>
  <c r="AP928" i="1"/>
  <c r="AO928" i="1"/>
  <c r="AN928" i="1"/>
  <c r="AM928" i="1"/>
  <c r="AL928" i="1"/>
  <c r="AK928" i="1"/>
  <c r="AJ928" i="1"/>
  <c r="AI928" i="1"/>
  <c r="AH928" i="1"/>
  <c r="AC928" i="1"/>
  <c r="AB928" i="1"/>
  <c r="AA928" i="1"/>
  <c r="Z928" i="1"/>
  <c r="W928" i="1"/>
  <c r="X928" i="1" s="1"/>
  <c r="Y928" i="1" s="1"/>
  <c r="V928" i="1"/>
  <c r="AQ927" i="1"/>
  <c r="AP927" i="1"/>
  <c r="AO927" i="1"/>
  <c r="AN927" i="1"/>
  <c r="AM927" i="1"/>
  <c r="AL927" i="1"/>
  <c r="AK927" i="1"/>
  <c r="AJ927" i="1"/>
  <c r="AI927" i="1"/>
  <c r="AH927" i="1"/>
  <c r="AC927" i="1"/>
  <c r="AB927" i="1"/>
  <c r="AA927" i="1"/>
  <c r="Z927" i="1"/>
  <c r="W927" i="1"/>
  <c r="X927" i="1" s="1"/>
  <c r="Y927" i="1" s="1"/>
  <c r="V927" i="1"/>
  <c r="AQ926" i="1"/>
  <c r="AP926" i="1"/>
  <c r="AO926" i="1"/>
  <c r="AN926" i="1"/>
  <c r="AM926" i="1"/>
  <c r="AL926" i="1"/>
  <c r="AK926" i="1"/>
  <c r="AJ926" i="1"/>
  <c r="AI926" i="1"/>
  <c r="AH926" i="1"/>
  <c r="AC926" i="1"/>
  <c r="AB926" i="1"/>
  <c r="AA926" i="1"/>
  <c r="Z926" i="1"/>
  <c r="W926" i="1"/>
  <c r="X926" i="1" s="1"/>
  <c r="Y926" i="1" s="1"/>
  <c r="V926" i="1"/>
  <c r="AQ925" i="1"/>
  <c r="AP925" i="1"/>
  <c r="AO925" i="1"/>
  <c r="AN925" i="1"/>
  <c r="AM925" i="1"/>
  <c r="AL925" i="1"/>
  <c r="AK925" i="1"/>
  <c r="AJ925" i="1"/>
  <c r="AI925" i="1"/>
  <c r="AH925" i="1"/>
  <c r="AC925" i="1"/>
  <c r="AB925" i="1"/>
  <c r="AA925" i="1"/>
  <c r="Z925" i="1"/>
  <c r="W925" i="1"/>
  <c r="X925" i="1" s="1"/>
  <c r="Y925" i="1" s="1"/>
  <c r="V925" i="1"/>
  <c r="AQ924" i="1"/>
  <c r="AP924" i="1"/>
  <c r="AO924" i="1"/>
  <c r="AN924" i="1"/>
  <c r="AM924" i="1"/>
  <c r="AL924" i="1"/>
  <c r="AK924" i="1"/>
  <c r="AJ924" i="1"/>
  <c r="AI924" i="1"/>
  <c r="AH924" i="1"/>
  <c r="AC924" i="1"/>
  <c r="AB924" i="1"/>
  <c r="AA924" i="1"/>
  <c r="Z924" i="1"/>
  <c r="W924" i="1"/>
  <c r="X924" i="1" s="1"/>
  <c r="Y924" i="1" s="1"/>
  <c r="V924" i="1"/>
  <c r="AQ923" i="1"/>
  <c r="AP923" i="1"/>
  <c r="AO923" i="1"/>
  <c r="AN923" i="1"/>
  <c r="AM923" i="1"/>
  <c r="AL923" i="1"/>
  <c r="AK923" i="1"/>
  <c r="AJ923" i="1"/>
  <c r="AI923" i="1"/>
  <c r="AH923" i="1"/>
  <c r="AC923" i="1"/>
  <c r="AB923" i="1"/>
  <c r="AA923" i="1"/>
  <c r="Z923" i="1"/>
  <c r="W923" i="1"/>
  <c r="X923" i="1" s="1"/>
  <c r="Y923" i="1" s="1"/>
  <c r="V923" i="1"/>
  <c r="AQ922" i="1"/>
  <c r="AP922" i="1"/>
  <c r="AO922" i="1"/>
  <c r="AN922" i="1"/>
  <c r="AM922" i="1"/>
  <c r="AL922" i="1"/>
  <c r="AK922" i="1"/>
  <c r="AJ922" i="1"/>
  <c r="AI922" i="1"/>
  <c r="AH922" i="1"/>
  <c r="AC922" i="1"/>
  <c r="AB922" i="1"/>
  <c r="AA922" i="1"/>
  <c r="Z922" i="1"/>
  <c r="W922" i="1"/>
  <c r="X922" i="1" s="1"/>
  <c r="Y922" i="1" s="1"/>
  <c r="V922" i="1"/>
  <c r="AQ921" i="1"/>
  <c r="AP921" i="1"/>
  <c r="AO921" i="1"/>
  <c r="AN921" i="1"/>
  <c r="AM921" i="1"/>
  <c r="AL921" i="1"/>
  <c r="AK921" i="1"/>
  <c r="AJ921" i="1"/>
  <c r="AI921" i="1"/>
  <c r="AH921" i="1"/>
  <c r="AC921" i="1"/>
  <c r="AB921" i="1"/>
  <c r="AA921" i="1"/>
  <c r="Z921" i="1"/>
  <c r="W921" i="1"/>
  <c r="X921" i="1" s="1"/>
  <c r="Y921" i="1" s="1"/>
  <c r="V921" i="1"/>
  <c r="AQ920" i="1"/>
  <c r="AP920" i="1"/>
  <c r="AO920" i="1"/>
  <c r="AN920" i="1"/>
  <c r="AM920" i="1"/>
  <c r="AL920" i="1"/>
  <c r="AK920" i="1"/>
  <c r="AJ920" i="1"/>
  <c r="AI920" i="1"/>
  <c r="AH920" i="1"/>
  <c r="AC920" i="1"/>
  <c r="AB920" i="1"/>
  <c r="AA920" i="1"/>
  <c r="Z920" i="1"/>
  <c r="W920" i="1"/>
  <c r="X920" i="1" s="1"/>
  <c r="Y920" i="1" s="1"/>
  <c r="V920" i="1"/>
  <c r="AQ919" i="1"/>
  <c r="AP919" i="1"/>
  <c r="AO919" i="1"/>
  <c r="AN919" i="1"/>
  <c r="AM919" i="1"/>
  <c r="AL919" i="1"/>
  <c r="AK919" i="1"/>
  <c r="AJ919" i="1"/>
  <c r="AI919" i="1"/>
  <c r="AH919" i="1"/>
  <c r="AC919" i="1"/>
  <c r="AB919" i="1"/>
  <c r="AA919" i="1"/>
  <c r="Z919" i="1"/>
  <c r="W919" i="1"/>
  <c r="X919" i="1" s="1"/>
  <c r="Y919" i="1" s="1"/>
  <c r="V919" i="1"/>
  <c r="AQ918" i="1"/>
  <c r="AP918" i="1"/>
  <c r="AO918" i="1"/>
  <c r="AN918" i="1"/>
  <c r="AM918" i="1"/>
  <c r="AL918" i="1"/>
  <c r="AK918" i="1"/>
  <c r="AJ918" i="1"/>
  <c r="AI918" i="1"/>
  <c r="AH918" i="1"/>
  <c r="AC918" i="1"/>
  <c r="AB918" i="1"/>
  <c r="AA918" i="1"/>
  <c r="Z918" i="1"/>
  <c r="W918" i="1"/>
  <c r="X918" i="1" s="1"/>
  <c r="Y918" i="1" s="1"/>
  <c r="V918" i="1"/>
  <c r="AQ917" i="1"/>
  <c r="AP917" i="1"/>
  <c r="AO917" i="1"/>
  <c r="AN917" i="1"/>
  <c r="AM917" i="1"/>
  <c r="AL917" i="1"/>
  <c r="AK917" i="1"/>
  <c r="AJ917" i="1"/>
  <c r="AI917" i="1"/>
  <c r="AH917" i="1"/>
  <c r="AC917" i="1"/>
  <c r="AB917" i="1"/>
  <c r="AA917" i="1"/>
  <c r="Z917" i="1"/>
  <c r="W917" i="1"/>
  <c r="X917" i="1" s="1"/>
  <c r="Y917" i="1" s="1"/>
  <c r="V917" i="1"/>
  <c r="AQ916" i="1"/>
  <c r="AP916" i="1"/>
  <c r="AO916" i="1"/>
  <c r="AN916" i="1"/>
  <c r="AM916" i="1"/>
  <c r="AL916" i="1"/>
  <c r="AK916" i="1"/>
  <c r="AJ916" i="1"/>
  <c r="AI916" i="1"/>
  <c r="AH916" i="1"/>
  <c r="AC916" i="1"/>
  <c r="AB916" i="1"/>
  <c r="AA916" i="1"/>
  <c r="Z916" i="1"/>
  <c r="W916" i="1"/>
  <c r="X916" i="1" s="1"/>
  <c r="Y916" i="1" s="1"/>
  <c r="V916" i="1"/>
  <c r="AQ915" i="1"/>
  <c r="AP915" i="1"/>
  <c r="AO915" i="1"/>
  <c r="AN915" i="1"/>
  <c r="AM915" i="1"/>
  <c r="AL915" i="1"/>
  <c r="AK915" i="1"/>
  <c r="AJ915" i="1"/>
  <c r="AI915" i="1"/>
  <c r="AH915" i="1"/>
  <c r="AC915" i="1"/>
  <c r="AB915" i="1"/>
  <c r="AA915" i="1"/>
  <c r="Z915" i="1"/>
  <c r="W915" i="1"/>
  <c r="X915" i="1" s="1"/>
  <c r="Y915" i="1" s="1"/>
  <c r="V915" i="1"/>
  <c r="AQ914" i="1"/>
  <c r="AP914" i="1"/>
  <c r="AO914" i="1"/>
  <c r="AN914" i="1"/>
  <c r="AM914" i="1"/>
  <c r="AL914" i="1"/>
  <c r="AK914" i="1"/>
  <c r="AJ914" i="1"/>
  <c r="AI914" i="1"/>
  <c r="AH914" i="1"/>
  <c r="AC914" i="1"/>
  <c r="AB914" i="1"/>
  <c r="AA914" i="1"/>
  <c r="Z914" i="1"/>
  <c r="W914" i="1"/>
  <c r="X914" i="1" s="1"/>
  <c r="Y914" i="1" s="1"/>
  <c r="V914" i="1"/>
  <c r="AQ913" i="1"/>
  <c r="AP913" i="1"/>
  <c r="AO913" i="1"/>
  <c r="AN913" i="1"/>
  <c r="AM913" i="1"/>
  <c r="AL913" i="1"/>
  <c r="AK913" i="1"/>
  <c r="AJ913" i="1"/>
  <c r="AI913" i="1"/>
  <c r="AH913" i="1"/>
  <c r="AC913" i="1"/>
  <c r="AB913" i="1"/>
  <c r="AA913" i="1"/>
  <c r="Z913" i="1"/>
  <c r="W913" i="1"/>
  <c r="X913" i="1" s="1"/>
  <c r="Y913" i="1" s="1"/>
  <c r="V913" i="1"/>
  <c r="AQ912" i="1"/>
  <c r="AP912" i="1"/>
  <c r="AO912" i="1"/>
  <c r="AN912" i="1"/>
  <c r="AM912" i="1"/>
  <c r="AL912" i="1"/>
  <c r="AK912" i="1"/>
  <c r="AJ912" i="1"/>
  <c r="AI912" i="1"/>
  <c r="AH912" i="1"/>
  <c r="AC912" i="1"/>
  <c r="AB912" i="1"/>
  <c r="AA912" i="1"/>
  <c r="Z912" i="1"/>
  <c r="W912" i="1"/>
  <c r="X912" i="1" s="1"/>
  <c r="Y912" i="1" s="1"/>
  <c r="V912" i="1"/>
  <c r="AQ911" i="1"/>
  <c r="AP911" i="1"/>
  <c r="AO911" i="1"/>
  <c r="AN911" i="1"/>
  <c r="AM911" i="1"/>
  <c r="AL911" i="1"/>
  <c r="AK911" i="1"/>
  <c r="AJ911" i="1"/>
  <c r="AI911" i="1"/>
  <c r="AH911" i="1"/>
  <c r="AC911" i="1"/>
  <c r="AB911" i="1"/>
  <c r="AA911" i="1"/>
  <c r="Z911" i="1"/>
  <c r="W911" i="1"/>
  <c r="X911" i="1" s="1"/>
  <c r="Y911" i="1" s="1"/>
  <c r="V911" i="1"/>
  <c r="AQ910" i="1"/>
  <c r="AP910" i="1"/>
  <c r="AO910" i="1"/>
  <c r="AN910" i="1"/>
  <c r="AM910" i="1"/>
  <c r="AL910" i="1"/>
  <c r="AK910" i="1"/>
  <c r="AJ910" i="1"/>
  <c r="AI910" i="1"/>
  <c r="AH910" i="1"/>
  <c r="AC910" i="1"/>
  <c r="AB910" i="1"/>
  <c r="AA910" i="1"/>
  <c r="Z910" i="1"/>
  <c r="W910" i="1"/>
  <c r="X910" i="1" s="1"/>
  <c r="Y910" i="1" s="1"/>
  <c r="V910" i="1"/>
  <c r="AQ909" i="1"/>
  <c r="AP909" i="1"/>
  <c r="AO909" i="1"/>
  <c r="AN909" i="1"/>
  <c r="AM909" i="1"/>
  <c r="AL909" i="1"/>
  <c r="AK909" i="1"/>
  <c r="AJ909" i="1"/>
  <c r="AI909" i="1"/>
  <c r="AH909" i="1"/>
  <c r="AC909" i="1"/>
  <c r="AB909" i="1"/>
  <c r="AA909" i="1"/>
  <c r="Z909" i="1"/>
  <c r="W909" i="1"/>
  <c r="X909" i="1" s="1"/>
  <c r="Y909" i="1" s="1"/>
  <c r="V909" i="1"/>
  <c r="AQ908" i="1"/>
  <c r="AP908" i="1"/>
  <c r="AO908" i="1"/>
  <c r="AN908" i="1"/>
  <c r="AM908" i="1"/>
  <c r="AL908" i="1"/>
  <c r="AK908" i="1"/>
  <c r="AJ908" i="1"/>
  <c r="AI908" i="1"/>
  <c r="AH908" i="1"/>
  <c r="AC908" i="1"/>
  <c r="AB908" i="1"/>
  <c r="AA908" i="1"/>
  <c r="Z908" i="1"/>
  <c r="W908" i="1"/>
  <c r="X908" i="1" s="1"/>
  <c r="Y908" i="1" s="1"/>
  <c r="V908" i="1"/>
  <c r="AQ907" i="1"/>
  <c r="AP907" i="1"/>
  <c r="AO907" i="1"/>
  <c r="AN907" i="1"/>
  <c r="AM907" i="1"/>
  <c r="AL907" i="1"/>
  <c r="AK907" i="1"/>
  <c r="AJ907" i="1"/>
  <c r="AI907" i="1"/>
  <c r="AH907" i="1"/>
  <c r="AC907" i="1"/>
  <c r="AB907" i="1"/>
  <c r="AA907" i="1"/>
  <c r="Z907" i="1"/>
  <c r="W907" i="1"/>
  <c r="X907" i="1" s="1"/>
  <c r="Y907" i="1" s="1"/>
  <c r="V907" i="1"/>
  <c r="AQ906" i="1"/>
  <c r="AP906" i="1"/>
  <c r="AO906" i="1"/>
  <c r="AN906" i="1"/>
  <c r="AM906" i="1"/>
  <c r="AL906" i="1"/>
  <c r="AK906" i="1"/>
  <c r="AI906" i="1"/>
  <c r="AH906" i="1"/>
  <c r="AC906" i="1"/>
  <c r="AB906" i="1"/>
  <c r="AA906" i="1"/>
  <c r="Z906" i="1"/>
  <c r="W906" i="1"/>
  <c r="X906" i="1" s="1"/>
  <c r="Y906" i="1" s="1"/>
  <c r="V906" i="1"/>
  <c r="AQ905" i="1"/>
  <c r="AP905" i="1"/>
  <c r="AN905" i="1"/>
  <c r="AM905" i="1"/>
  <c r="AL905" i="1"/>
  <c r="AK905" i="1"/>
  <c r="AJ905" i="1"/>
  <c r="AI905" i="1"/>
  <c r="AH905" i="1"/>
  <c r="AC905" i="1"/>
  <c r="AB905" i="1"/>
  <c r="AA905" i="1"/>
  <c r="Z905" i="1"/>
  <c r="W905" i="1"/>
  <c r="X905" i="1" s="1"/>
  <c r="Y905" i="1" s="1"/>
  <c r="V905" i="1"/>
  <c r="AQ904" i="1"/>
  <c r="AP904" i="1"/>
  <c r="AO904" i="1"/>
  <c r="AN904" i="1"/>
  <c r="AM904" i="1"/>
  <c r="AL904" i="1"/>
  <c r="AK904" i="1"/>
  <c r="AJ904" i="1"/>
  <c r="AI904" i="1"/>
  <c r="AH904" i="1"/>
  <c r="AC904" i="1"/>
  <c r="AB904" i="1"/>
  <c r="AA904" i="1"/>
  <c r="Z904" i="1"/>
  <c r="W904" i="1"/>
  <c r="X904" i="1" s="1"/>
  <c r="Y904" i="1" s="1"/>
  <c r="V904" i="1"/>
  <c r="AQ903" i="1"/>
  <c r="AP903" i="1"/>
  <c r="AO903" i="1"/>
  <c r="AN903" i="1"/>
  <c r="AM903" i="1"/>
  <c r="AL903" i="1"/>
  <c r="AK903" i="1"/>
  <c r="AJ903" i="1"/>
  <c r="AI903" i="1"/>
  <c r="AH903" i="1"/>
  <c r="AC903" i="1"/>
  <c r="AB903" i="1"/>
  <c r="AA903" i="1"/>
  <c r="Z903" i="1"/>
  <c r="W903" i="1"/>
  <c r="X903" i="1" s="1"/>
  <c r="Y903" i="1" s="1"/>
  <c r="V903" i="1"/>
  <c r="AQ902" i="1"/>
  <c r="AP902" i="1"/>
  <c r="AO902" i="1"/>
  <c r="AN902" i="1"/>
  <c r="AM902" i="1"/>
  <c r="AL902" i="1"/>
  <c r="AK902" i="1"/>
  <c r="AJ902" i="1"/>
  <c r="AI902" i="1"/>
  <c r="AH902" i="1"/>
  <c r="AC902" i="1"/>
  <c r="AB902" i="1"/>
  <c r="AA902" i="1"/>
  <c r="Z902" i="1"/>
  <c r="W902" i="1"/>
  <c r="X902" i="1" s="1"/>
  <c r="Y902" i="1" s="1"/>
  <c r="V902" i="1"/>
  <c r="AQ901" i="1"/>
  <c r="AP901" i="1"/>
  <c r="AO901" i="1"/>
  <c r="AN901" i="1"/>
  <c r="AM901" i="1"/>
  <c r="AL901" i="1"/>
  <c r="AK901" i="1"/>
  <c r="AJ901" i="1"/>
  <c r="AI901" i="1"/>
  <c r="AH901" i="1"/>
  <c r="AC901" i="1"/>
  <c r="AB901" i="1"/>
  <c r="AA901" i="1"/>
  <c r="Z901" i="1"/>
  <c r="W901" i="1"/>
  <c r="X901" i="1" s="1"/>
  <c r="Y901" i="1" s="1"/>
  <c r="V901" i="1"/>
  <c r="AQ900" i="1"/>
  <c r="AP900" i="1"/>
  <c r="AO900" i="1"/>
  <c r="AN900" i="1"/>
  <c r="AM900" i="1"/>
  <c r="AL900" i="1"/>
  <c r="AK900" i="1"/>
  <c r="AJ900" i="1"/>
  <c r="AI900" i="1"/>
  <c r="AH900" i="1"/>
  <c r="AC900" i="1"/>
  <c r="AB900" i="1"/>
  <c r="AA900" i="1"/>
  <c r="Z900" i="1"/>
  <c r="W900" i="1"/>
  <c r="X900" i="1" s="1"/>
  <c r="Y900" i="1" s="1"/>
  <c r="V900" i="1"/>
  <c r="AQ899" i="1"/>
  <c r="AP899" i="1"/>
  <c r="AO899" i="1"/>
  <c r="AN899" i="1"/>
  <c r="AM899" i="1"/>
  <c r="AL899" i="1"/>
  <c r="AK899" i="1"/>
  <c r="AJ899" i="1"/>
  <c r="AI899" i="1"/>
  <c r="AH899" i="1"/>
  <c r="AC899" i="1"/>
  <c r="AB899" i="1"/>
  <c r="AA899" i="1"/>
  <c r="Z899" i="1"/>
  <c r="W899" i="1"/>
  <c r="X899" i="1" s="1"/>
  <c r="Y899" i="1" s="1"/>
  <c r="V899" i="1"/>
  <c r="AQ898" i="1"/>
  <c r="AP898" i="1"/>
  <c r="AO898" i="1"/>
  <c r="AN898" i="1"/>
  <c r="AM898" i="1"/>
  <c r="AL898" i="1"/>
  <c r="AK898" i="1"/>
  <c r="AJ898" i="1"/>
  <c r="AI898" i="1"/>
  <c r="AH898" i="1"/>
  <c r="AC898" i="1"/>
  <c r="AB898" i="1"/>
  <c r="AA898" i="1"/>
  <c r="Z898" i="1"/>
  <c r="W898" i="1"/>
  <c r="X898" i="1" s="1"/>
  <c r="Y898" i="1" s="1"/>
  <c r="V898" i="1"/>
  <c r="AQ897" i="1"/>
  <c r="AP897" i="1"/>
  <c r="AO897" i="1"/>
  <c r="AN897" i="1"/>
  <c r="AM897" i="1"/>
  <c r="AL897" i="1"/>
  <c r="AK897" i="1"/>
  <c r="AJ897" i="1"/>
  <c r="AI897" i="1"/>
  <c r="AH897" i="1"/>
  <c r="AC897" i="1"/>
  <c r="AB897" i="1"/>
  <c r="AA897" i="1"/>
  <c r="Z897" i="1"/>
  <c r="W897" i="1"/>
  <c r="X897" i="1" s="1"/>
  <c r="Y897" i="1" s="1"/>
  <c r="V897" i="1"/>
  <c r="AQ896" i="1"/>
  <c r="AP896" i="1"/>
  <c r="AO896" i="1"/>
  <c r="AN896" i="1"/>
  <c r="AM896" i="1"/>
  <c r="AL896" i="1"/>
  <c r="AK896" i="1"/>
  <c r="AJ896" i="1"/>
  <c r="AI896" i="1"/>
  <c r="AH896" i="1"/>
  <c r="AC896" i="1"/>
  <c r="AB896" i="1"/>
  <c r="AA896" i="1"/>
  <c r="Z896" i="1"/>
  <c r="W896" i="1"/>
  <c r="X896" i="1" s="1"/>
  <c r="Y896" i="1" s="1"/>
  <c r="V896" i="1"/>
  <c r="AQ895" i="1"/>
  <c r="AP895" i="1"/>
  <c r="AO895" i="1"/>
  <c r="AN895" i="1"/>
  <c r="AM895" i="1"/>
  <c r="AL895" i="1"/>
  <c r="AK895" i="1"/>
  <c r="AJ895" i="1"/>
  <c r="AI895" i="1"/>
  <c r="AH895" i="1"/>
  <c r="AC895" i="1"/>
  <c r="AB895" i="1"/>
  <c r="AA895" i="1"/>
  <c r="Z895" i="1"/>
  <c r="W895" i="1"/>
  <c r="X895" i="1" s="1"/>
  <c r="Y895" i="1" s="1"/>
  <c r="V895" i="1"/>
  <c r="AQ894" i="1"/>
  <c r="AP894" i="1"/>
  <c r="AO894" i="1"/>
  <c r="AN894" i="1"/>
  <c r="AM894" i="1"/>
  <c r="AL894" i="1"/>
  <c r="AK894" i="1"/>
  <c r="AJ894" i="1"/>
  <c r="AI894" i="1"/>
  <c r="AH894" i="1"/>
  <c r="AC894" i="1"/>
  <c r="AB894" i="1"/>
  <c r="AA894" i="1"/>
  <c r="Z894" i="1"/>
  <c r="W894" i="1"/>
  <c r="X894" i="1" s="1"/>
  <c r="Y894" i="1" s="1"/>
  <c r="V894" i="1"/>
  <c r="AQ893" i="1"/>
  <c r="AP893" i="1"/>
  <c r="AO893" i="1"/>
  <c r="AN893" i="1"/>
  <c r="AM893" i="1"/>
  <c r="AL893" i="1"/>
  <c r="AK893" i="1"/>
  <c r="AJ893" i="1"/>
  <c r="AI893" i="1"/>
  <c r="AH893" i="1"/>
  <c r="AC893" i="1"/>
  <c r="AB893" i="1"/>
  <c r="AA893" i="1"/>
  <c r="Z893" i="1"/>
  <c r="W893" i="1"/>
  <c r="X893" i="1" s="1"/>
  <c r="Y893" i="1" s="1"/>
  <c r="V893" i="1"/>
  <c r="AQ892" i="1"/>
  <c r="AP892" i="1"/>
  <c r="AO892" i="1"/>
  <c r="AN892" i="1"/>
  <c r="AM892" i="1"/>
  <c r="AL892" i="1"/>
  <c r="AK892" i="1"/>
  <c r="AJ892" i="1"/>
  <c r="AI892" i="1"/>
  <c r="AH892" i="1"/>
  <c r="AC892" i="1"/>
  <c r="AB892" i="1"/>
  <c r="AA892" i="1"/>
  <c r="Z892" i="1"/>
  <c r="W892" i="1"/>
  <c r="X892" i="1" s="1"/>
  <c r="Y892" i="1" s="1"/>
  <c r="V892" i="1"/>
  <c r="AQ891" i="1"/>
  <c r="AP891" i="1"/>
  <c r="AO891" i="1"/>
  <c r="AN891" i="1"/>
  <c r="AM891" i="1"/>
  <c r="AL891" i="1"/>
  <c r="AK891" i="1"/>
  <c r="AJ891" i="1"/>
  <c r="AI891" i="1"/>
  <c r="AH891" i="1"/>
  <c r="AC891" i="1"/>
  <c r="AB891" i="1"/>
  <c r="AA891" i="1"/>
  <c r="Z891" i="1"/>
  <c r="W891" i="1"/>
  <c r="X891" i="1" s="1"/>
  <c r="Y891" i="1" s="1"/>
  <c r="V891" i="1"/>
  <c r="AQ890" i="1"/>
  <c r="AP890" i="1"/>
  <c r="AO890" i="1"/>
  <c r="AN890" i="1"/>
  <c r="AM890" i="1"/>
  <c r="AL890" i="1"/>
  <c r="AK890" i="1"/>
  <c r="AJ890" i="1"/>
  <c r="AI890" i="1"/>
  <c r="AH890" i="1"/>
  <c r="AC890" i="1"/>
  <c r="AB890" i="1"/>
  <c r="AA890" i="1"/>
  <c r="Z890" i="1"/>
  <c r="W890" i="1"/>
  <c r="X890" i="1" s="1"/>
  <c r="Y890" i="1" s="1"/>
  <c r="V890" i="1"/>
  <c r="AQ889" i="1"/>
  <c r="AP889" i="1"/>
  <c r="AO889" i="1"/>
  <c r="AN889" i="1"/>
  <c r="AM889" i="1"/>
  <c r="AL889" i="1"/>
  <c r="AK889" i="1"/>
  <c r="AJ889" i="1"/>
  <c r="AI889" i="1"/>
  <c r="AH889" i="1"/>
  <c r="AC889" i="1"/>
  <c r="AB889" i="1"/>
  <c r="AA889" i="1"/>
  <c r="Z889" i="1"/>
  <c r="W889" i="1"/>
  <c r="X889" i="1" s="1"/>
  <c r="Y889" i="1" s="1"/>
  <c r="V889" i="1"/>
  <c r="AQ888" i="1"/>
  <c r="AP888" i="1"/>
  <c r="AO888" i="1"/>
  <c r="AN888" i="1"/>
  <c r="AM888" i="1"/>
  <c r="AL888" i="1"/>
  <c r="AK888" i="1"/>
  <c r="AJ888" i="1"/>
  <c r="AI888" i="1"/>
  <c r="AH888" i="1"/>
  <c r="AC888" i="1"/>
  <c r="AB888" i="1"/>
  <c r="AA888" i="1"/>
  <c r="Z888" i="1"/>
  <c r="W888" i="1"/>
  <c r="X888" i="1" s="1"/>
  <c r="Y888" i="1" s="1"/>
  <c r="V888" i="1"/>
  <c r="AQ887" i="1"/>
  <c r="AP887" i="1"/>
  <c r="AO887" i="1"/>
  <c r="AN887" i="1"/>
  <c r="AM887" i="1"/>
  <c r="AL887" i="1"/>
  <c r="AK887" i="1"/>
  <c r="AJ887" i="1"/>
  <c r="AI887" i="1"/>
  <c r="AH887" i="1"/>
  <c r="AC887" i="1"/>
  <c r="AB887" i="1"/>
  <c r="AA887" i="1"/>
  <c r="Z887" i="1"/>
  <c r="W887" i="1"/>
  <c r="X887" i="1" s="1"/>
  <c r="Y887" i="1" s="1"/>
  <c r="V887" i="1"/>
  <c r="AQ886" i="1"/>
  <c r="AP886" i="1"/>
  <c r="AO886" i="1"/>
  <c r="AN886" i="1"/>
  <c r="AM886" i="1"/>
  <c r="AL886" i="1"/>
  <c r="AK886" i="1"/>
  <c r="AJ886" i="1"/>
  <c r="AI886" i="1"/>
  <c r="AH886" i="1"/>
  <c r="AC886" i="1"/>
  <c r="AB886" i="1"/>
  <c r="AA886" i="1"/>
  <c r="Z886" i="1"/>
  <c r="W886" i="1"/>
  <c r="X886" i="1" s="1"/>
  <c r="Y886" i="1" s="1"/>
  <c r="V886" i="1"/>
  <c r="AQ885" i="1"/>
  <c r="AP885" i="1"/>
  <c r="AO885" i="1"/>
  <c r="AN885" i="1"/>
  <c r="AM885" i="1"/>
  <c r="AL885" i="1"/>
  <c r="AK885" i="1"/>
  <c r="AJ885" i="1"/>
  <c r="AI885" i="1"/>
  <c r="AH885" i="1"/>
  <c r="AC885" i="1"/>
  <c r="AB885" i="1"/>
  <c r="AA885" i="1"/>
  <c r="Z885" i="1"/>
  <c r="W885" i="1"/>
  <c r="X885" i="1" s="1"/>
  <c r="Y885" i="1" s="1"/>
  <c r="V885" i="1"/>
  <c r="AQ884" i="1"/>
  <c r="AP884" i="1"/>
  <c r="AO884" i="1"/>
  <c r="AN884" i="1"/>
  <c r="AM884" i="1"/>
  <c r="AL884" i="1"/>
  <c r="AK884" i="1"/>
  <c r="AJ884" i="1"/>
  <c r="AI884" i="1"/>
  <c r="AH884" i="1"/>
  <c r="AC884" i="1"/>
  <c r="AB884" i="1"/>
  <c r="AA884" i="1"/>
  <c r="Z884" i="1"/>
  <c r="W884" i="1"/>
  <c r="X884" i="1" s="1"/>
  <c r="Y884" i="1" s="1"/>
  <c r="V884" i="1"/>
  <c r="AQ883" i="1"/>
  <c r="AP883" i="1"/>
  <c r="AO883" i="1"/>
  <c r="AN883" i="1"/>
  <c r="AM883" i="1"/>
  <c r="AL883" i="1"/>
  <c r="AK883" i="1"/>
  <c r="AJ883" i="1"/>
  <c r="AI883" i="1"/>
  <c r="AH883" i="1"/>
  <c r="AC883" i="1"/>
  <c r="AB883" i="1"/>
  <c r="AA883" i="1"/>
  <c r="Z883" i="1"/>
  <c r="W883" i="1"/>
  <c r="X883" i="1" s="1"/>
  <c r="Y883" i="1" s="1"/>
  <c r="V883" i="1"/>
  <c r="AQ882" i="1"/>
  <c r="AP882" i="1"/>
  <c r="AO882" i="1"/>
  <c r="AN882" i="1"/>
  <c r="AM882" i="1"/>
  <c r="AL882" i="1"/>
  <c r="AK882" i="1"/>
  <c r="AI882" i="1"/>
  <c r="AH882" i="1"/>
  <c r="AC882" i="1"/>
  <c r="AB882" i="1"/>
  <c r="AA882" i="1"/>
  <c r="Z882" i="1"/>
  <c r="W882" i="1"/>
  <c r="X882" i="1" s="1"/>
  <c r="Y882" i="1" s="1"/>
  <c r="V882" i="1"/>
  <c r="AQ881" i="1"/>
  <c r="AP881" i="1"/>
  <c r="AO881" i="1"/>
  <c r="AN881" i="1"/>
  <c r="AM881" i="1"/>
  <c r="AL881" i="1"/>
  <c r="AK881" i="1"/>
  <c r="AJ881" i="1"/>
  <c r="AI881" i="1"/>
  <c r="AH881" i="1"/>
  <c r="AC881" i="1"/>
  <c r="AB881" i="1"/>
  <c r="AA881" i="1"/>
  <c r="Z881" i="1"/>
  <c r="W881" i="1"/>
  <c r="X881" i="1" s="1"/>
  <c r="Y881" i="1" s="1"/>
  <c r="V881" i="1"/>
  <c r="AQ880" i="1"/>
  <c r="AP880" i="1"/>
  <c r="AO880" i="1"/>
  <c r="AN880" i="1"/>
  <c r="AM880" i="1"/>
  <c r="AL880" i="1"/>
  <c r="AK880" i="1"/>
  <c r="AJ880" i="1"/>
  <c r="AI880" i="1"/>
  <c r="AH880" i="1"/>
  <c r="AC880" i="1"/>
  <c r="AB880" i="1"/>
  <c r="AA880" i="1"/>
  <c r="Z880" i="1"/>
  <c r="W880" i="1"/>
  <c r="X880" i="1" s="1"/>
  <c r="Y880" i="1" s="1"/>
  <c r="V880" i="1"/>
  <c r="AQ879" i="1"/>
  <c r="AP879" i="1"/>
  <c r="AO879" i="1"/>
  <c r="AN879" i="1"/>
  <c r="AM879" i="1"/>
  <c r="AL879" i="1"/>
  <c r="AK879" i="1"/>
  <c r="AJ879" i="1"/>
  <c r="AI879" i="1"/>
  <c r="AH879" i="1"/>
  <c r="AC879" i="1"/>
  <c r="AB879" i="1"/>
  <c r="AA879" i="1"/>
  <c r="Z879" i="1"/>
  <c r="W879" i="1"/>
  <c r="X879" i="1" s="1"/>
  <c r="Y879" i="1" s="1"/>
  <c r="V879" i="1"/>
  <c r="AQ878" i="1"/>
  <c r="AP878" i="1"/>
  <c r="AO878" i="1"/>
  <c r="AN878" i="1"/>
  <c r="AM878" i="1"/>
  <c r="AL878" i="1"/>
  <c r="AK878" i="1"/>
  <c r="AJ878" i="1"/>
  <c r="AI878" i="1"/>
  <c r="AH878" i="1"/>
  <c r="AC878" i="1"/>
  <c r="AB878" i="1"/>
  <c r="AA878" i="1"/>
  <c r="Z878" i="1"/>
  <c r="W878" i="1"/>
  <c r="X878" i="1" s="1"/>
  <c r="Y878" i="1" s="1"/>
  <c r="V878" i="1"/>
  <c r="AQ877" i="1"/>
  <c r="AP877" i="1"/>
  <c r="AO877" i="1"/>
  <c r="AN877" i="1"/>
  <c r="AM877" i="1"/>
  <c r="AL877" i="1"/>
  <c r="AK877" i="1"/>
  <c r="AJ877" i="1"/>
  <c r="AI877" i="1"/>
  <c r="AH877" i="1"/>
  <c r="AC877" i="1"/>
  <c r="AB877" i="1"/>
  <c r="AA877" i="1"/>
  <c r="Z877" i="1"/>
  <c r="W877" i="1"/>
  <c r="X877" i="1" s="1"/>
  <c r="Y877" i="1" s="1"/>
  <c r="V877" i="1"/>
  <c r="AQ876" i="1"/>
  <c r="AP876" i="1"/>
  <c r="AO876" i="1"/>
  <c r="AN876" i="1"/>
  <c r="AM876" i="1"/>
  <c r="AL876" i="1"/>
  <c r="AK876" i="1"/>
  <c r="AJ876" i="1"/>
  <c r="AI876" i="1"/>
  <c r="AH876" i="1"/>
  <c r="AC876" i="1"/>
  <c r="AB876" i="1"/>
  <c r="AA876" i="1"/>
  <c r="Z876" i="1"/>
  <c r="W876" i="1"/>
  <c r="X876" i="1" s="1"/>
  <c r="Y876" i="1" s="1"/>
  <c r="V876" i="1"/>
  <c r="AQ875" i="1"/>
  <c r="AP875" i="1"/>
  <c r="AO875" i="1"/>
  <c r="AN875" i="1"/>
  <c r="AM875" i="1"/>
  <c r="AL875" i="1"/>
  <c r="AK875" i="1"/>
  <c r="AJ875" i="1"/>
  <c r="AI875" i="1"/>
  <c r="AH875" i="1"/>
  <c r="AC875" i="1"/>
  <c r="AB875" i="1"/>
  <c r="AA875" i="1"/>
  <c r="Z875" i="1"/>
  <c r="W875" i="1"/>
  <c r="X875" i="1" s="1"/>
  <c r="Y875" i="1" s="1"/>
  <c r="V875" i="1"/>
  <c r="AQ874" i="1"/>
  <c r="AP874" i="1"/>
  <c r="AO874" i="1"/>
  <c r="AN874" i="1"/>
  <c r="AM874" i="1"/>
  <c r="AL874" i="1"/>
  <c r="AK874" i="1"/>
  <c r="AJ874" i="1"/>
  <c r="AI874" i="1"/>
  <c r="AH874" i="1"/>
  <c r="AC874" i="1"/>
  <c r="AB874" i="1"/>
  <c r="AA874" i="1"/>
  <c r="Z874" i="1"/>
  <c r="W874" i="1"/>
  <c r="X874" i="1" s="1"/>
  <c r="Y874" i="1" s="1"/>
  <c r="V874" i="1"/>
  <c r="AQ873" i="1"/>
  <c r="AP873" i="1"/>
  <c r="AO873" i="1"/>
  <c r="AN873" i="1"/>
  <c r="AM873" i="1"/>
  <c r="AL873" i="1"/>
  <c r="AK873" i="1"/>
  <c r="AJ873" i="1"/>
  <c r="AI873" i="1"/>
  <c r="AH873" i="1"/>
  <c r="AC873" i="1"/>
  <c r="AB873" i="1"/>
  <c r="AA873" i="1"/>
  <c r="Z873" i="1"/>
  <c r="W873" i="1"/>
  <c r="X873" i="1" s="1"/>
  <c r="Y873" i="1" s="1"/>
  <c r="V873" i="1"/>
  <c r="AQ872" i="1"/>
  <c r="AP872" i="1"/>
  <c r="AO872" i="1"/>
  <c r="AN872" i="1"/>
  <c r="AM872" i="1"/>
  <c r="AL872" i="1"/>
  <c r="AK872" i="1"/>
  <c r="AJ872" i="1"/>
  <c r="AI872" i="1"/>
  <c r="AH872" i="1"/>
  <c r="AC872" i="1"/>
  <c r="AB872" i="1"/>
  <c r="AA872" i="1"/>
  <c r="Z872" i="1"/>
  <c r="W872" i="1"/>
  <c r="X872" i="1" s="1"/>
  <c r="Y872" i="1" s="1"/>
  <c r="V872" i="1"/>
  <c r="AQ871" i="1"/>
  <c r="AP871" i="1"/>
  <c r="AO871" i="1"/>
  <c r="AN871" i="1"/>
  <c r="AM871" i="1"/>
  <c r="AL871" i="1"/>
  <c r="AK871" i="1"/>
  <c r="AI871" i="1"/>
  <c r="AH871" i="1"/>
  <c r="AC871" i="1"/>
  <c r="AB871" i="1"/>
  <c r="AA871" i="1"/>
  <c r="Z871" i="1"/>
  <c r="W871" i="1"/>
  <c r="X871" i="1" s="1"/>
  <c r="Y871" i="1" s="1"/>
  <c r="V871" i="1"/>
  <c r="AQ870" i="1"/>
  <c r="AP870" i="1"/>
  <c r="AO870" i="1"/>
  <c r="AN870" i="1"/>
  <c r="AM870" i="1"/>
  <c r="AL870" i="1"/>
  <c r="AK870" i="1"/>
  <c r="AJ870" i="1"/>
  <c r="AI870" i="1"/>
  <c r="AH870" i="1"/>
  <c r="AC870" i="1"/>
  <c r="AB870" i="1"/>
  <c r="AA870" i="1"/>
  <c r="Z870" i="1"/>
  <c r="W870" i="1"/>
  <c r="X870" i="1" s="1"/>
  <c r="Y870" i="1" s="1"/>
  <c r="V870" i="1"/>
  <c r="AQ869" i="1"/>
  <c r="AP869" i="1"/>
  <c r="AO869" i="1"/>
  <c r="AN869" i="1"/>
  <c r="AM869" i="1"/>
  <c r="AL869" i="1"/>
  <c r="AK869" i="1"/>
  <c r="AJ869" i="1"/>
  <c r="AI869" i="1"/>
  <c r="AH869" i="1"/>
  <c r="AC869" i="1"/>
  <c r="AB869" i="1"/>
  <c r="AA869" i="1"/>
  <c r="Z869" i="1"/>
  <c r="W869" i="1"/>
  <c r="X869" i="1" s="1"/>
  <c r="Y869" i="1" s="1"/>
  <c r="V869" i="1"/>
  <c r="AQ868" i="1"/>
  <c r="AP868" i="1"/>
  <c r="AO868" i="1"/>
  <c r="AN868" i="1"/>
  <c r="AM868" i="1"/>
  <c r="AL868" i="1"/>
  <c r="AK868" i="1"/>
  <c r="AJ868" i="1"/>
  <c r="AI868" i="1"/>
  <c r="AH868" i="1"/>
  <c r="AC868" i="1"/>
  <c r="AB868" i="1"/>
  <c r="AA868" i="1"/>
  <c r="Z868" i="1"/>
  <c r="W868" i="1"/>
  <c r="X868" i="1" s="1"/>
  <c r="Y868" i="1" s="1"/>
  <c r="V868" i="1"/>
  <c r="AQ867" i="1"/>
  <c r="AP867" i="1"/>
  <c r="AO867" i="1"/>
  <c r="AN867" i="1"/>
  <c r="AM867" i="1"/>
  <c r="AL867" i="1"/>
  <c r="AK867" i="1"/>
  <c r="AJ867" i="1"/>
  <c r="AI867" i="1"/>
  <c r="AH867" i="1"/>
  <c r="AC867" i="1"/>
  <c r="AB867" i="1"/>
  <c r="AA867" i="1"/>
  <c r="Z867" i="1"/>
  <c r="W867" i="1"/>
  <c r="X867" i="1" s="1"/>
  <c r="Y867" i="1" s="1"/>
  <c r="V867" i="1"/>
  <c r="AQ866" i="1"/>
  <c r="AP866" i="1"/>
  <c r="AO866" i="1"/>
  <c r="AN866" i="1"/>
  <c r="AM866" i="1"/>
  <c r="AL866" i="1"/>
  <c r="AK866" i="1"/>
  <c r="AJ866" i="1"/>
  <c r="AI866" i="1"/>
  <c r="AH866" i="1"/>
  <c r="AC866" i="1"/>
  <c r="AB866" i="1"/>
  <c r="AA866" i="1"/>
  <c r="Z866" i="1"/>
  <c r="W866" i="1"/>
  <c r="X866" i="1" s="1"/>
  <c r="Y866" i="1" s="1"/>
  <c r="V866" i="1"/>
  <c r="AQ865" i="1"/>
  <c r="AP865" i="1"/>
  <c r="AO865" i="1"/>
  <c r="AN865" i="1"/>
  <c r="AM865" i="1"/>
  <c r="AL865" i="1"/>
  <c r="AK865" i="1"/>
  <c r="AJ865" i="1"/>
  <c r="AI865" i="1"/>
  <c r="AH865" i="1"/>
  <c r="AC865" i="1"/>
  <c r="AB865" i="1"/>
  <c r="AA865" i="1"/>
  <c r="Z865" i="1"/>
  <c r="W865" i="1"/>
  <c r="X865" i="1" s="1"/>
  <c r="Y865" i="1" s="1"/>
  <c r="V865" i="1"/>
  <c r="AQ864" i="1"/>
  <c r="AP864" i="1"/>
  <c r="AO864" i="1"/>
  <c r="AN864" i="1"/>
  <c r="AM864" i="1"/>
  <c r="AL864" i="1"/>
  <c r="AK864" i="1"/>
  <c r="AJ864" i="1"/>
  <c r="AI864" i="1"/>
  <c r="AH864" i="1"/>
  <c r="AC864" i="1"/>
  <c r="AB864" i="1"/>
  <c r="AA864" i="1"/>
  <c r="Z864" i="1"/>
  <c r="W864" i="1"/>
  <c r="X864" i="1" s="1"/>
  <c r="Y864" i="1" s="1"/>
  <c r="V864" i="1"/>
  <c r="AQ863" i="1"/>
  <c r="AP863" i="1"/>
  <c r="AO863" i="1"/>
  <c r="AN863" i="1"/>
  <c r="AM863" i="1"/>
  <c r="AL863" i="1"/>
  <c r="AK863" i="1"/>
  <c r="AJ863" i="1"/>
  <c r="AI863" i="1"/>
  <c r="AH863" i="1"/>
  <c r="AC863" i="1"/>
  <c r="AB863" i="1"/>
  <c r="AA863" i="1"/>
  <c r="Z863" i="1"/>
  <c r="W863" i="1"/>
  <c r="X863" i="1" s="1"/>
  <c r="Y863" i="1" s="1"/>
  <c r="V863" i="1"/>
  <c r="AQ862" i="1"/>
  <c r="AP862" i="1"/>
  <c r="AO862" i="1"/>
  <c r="AN862" i="1"/>
  <c r="AM862" i="1"/>
  <c r="AL862" i="1"/>
  <c r="AK862" i="1"/>
  <c r="AJ862" i="1"/>
  <c r="AI862" i="1"/>
  <c r="AH862" i="1"/>
  <c r="AC862" i="1"/>
  <c r="AB862" i="1"/>
  <c r="AA862" i="1"/>
  <c r="Z862" i="1"/>
  <c r="W862" i="1"/>
  <c r="X862" i="1" s="1"/>
  <c r="Y862" i="1" s="1"/>
  <c r="V862" i="1"/>
  <c r="AQ861" i="1"/>
  <c r="AP861" i="1"/>
  <c r="AO861" i="1"/>
  <c r="AN861" i="1"/>
  <c r="AM861" i="1"/>
  <c r="AL861" i="1"/>
  <c r="AK861" i="1"/>
  <c r="AJ861" i="1"/>
  <c r="AI861" i="1"/>
  <c r="AH861" i="1"/>
  <c r="AC861" i="1"/>
  <c r="AB861" i="1"/>
  <c r="AA861" i="1"/>
  <c r="Z861" i="1"/>
  <c r="W861" i="1"/>
  <c r="X861" i="1" s="1"/>
  <c r="Y861" i="1" s="1"/>
  <c r="V861" i="1"/>
  <c r="AQ860" i="1"/>
  <c r="AP860" i="1"/>
  <c r="AO860" i="1"/>
  <c r="AN860" i="1"/>
  <c r="AM860" i="1"/>
  <c r="AL860" i="1"/>
  <c r="AK860" i="1"/>
  <c r="AJ860" i="1"/>
  <c r="AI860" i="1"/>
  <c r="AH860" i="1"/>
  <c r="AC860" i="1"/>
  <c r="AB860" i="1"/>
  <c r="AA860" i="1"/>
  <c r="Z860" i="1"/>
  <c r="W860" i="1"/>
  <c r="X860" i="1" s="1"/>
  <c r="Y860" i="1" s="1"/>
  <c r="V860" i="1"/>
  <c r="AQ859" i="1"/>
  <c r="AP859" i="1"/>
  <c r="AO859" i="1"/>
  <c r="AN859" i="1"/>
  <c r="AM859" i="1"/>
  <c r="AL859" i="1"/>
  <c r="AK859" i="1"/>
  <c r="AJ859" i="1"/>
  <c r="AI859" i="1"/>
  <c r="AH859" i="1"/>
  <c r="AC859" i="1"/>
  <c r="AB859" i="1"/>
  <c r="AA859" i="1"/>
  <c r="Z859" i="1"/>
  <c r="W859" i="1"/>
  <c r="X859" i="1" s="1"/>
  <c r="Y859" i="1" s="1"/>
  <c r="V859" i="1"/>
  <c r="AQ858" i="1"/>
  <c r="AP858" i="1"/>
  <c r="AO858" i="1"/>
  <c r="AN858" i="1"/>
  <c r="AM858" i="1"/>
  <c r="AL858" i="1"/>
  <c r="AK858" i="1"/>
  <c r="AJ858" i="1"/>
  <c r="AI858" i="1"/>
  <c r="AH858" i="1"/>
  <c r="AC858" i="1"/>
  <c r="AB858" i="1"/>
  <c r="AA858" i="1"/>
  <c r="Z858" i="1"/>
  <c r="W858" i="1"/>
  <c r="X858" i="1" s="1"/>
  <c r="Y858" i="1" s="1"/>
  <c r="V858" i="1"/>
  <c r="AQ857" i="1"/>
  <c r="AP857" i="1"/>
  <c r="AO857" i="1"/>
  <c r="AN857" i="1"/>
  <c r="AM857" i="1"/>
  <c r="AL857" i="1"/>
  <c r="AK857" i="1"/>
  <c r="AJ857" i="1"/>
  <c r="AI857" i="1"/>
  <c r="AH857" i="1"/>
  <c r="AC857" i="1"/>
  <c r="AB857" i="1"/>
  <c r="AA857" i="1"/>
  <c r="Z857" i="1"/>
  <c r="W857" i="1"/>
  <c r="X857" i="1" s="1"/>
  <c r="Y857" i="1" s="1"/>
  <c r="V857" i="1"/>
  <c r="AQ856" i="1"/>
  <c r="AP856" i="1"/>
  <c r="AO856" i="1"/>
  <c r="AN856" i="1"/>
  <c r="AM856" i="1"/>
  <c r="AL856" i="1"/>
  <c r="AK856" i="1"/>
  <c r="AJ856" i="1"/>
  <c r="AI856" i="1"/>
  <c r="AH856" i="1"/>
  <c r="AC856" i="1"/>
  <c r="AB856" i="1"/>
  <c r="AA856" i="1"/>
  <c r="Z856" i="1"/>
  <c r="W856" i="1"/>
  <c r="X856" i="1" s="1"/>
  <c r="Y856" i="1" s="1"/>
  <c r="V856" i="1"/>
  <c r="AQ855" i="1"/>
  <c r="AP855" i="1"/>
  <c r="AO855" i="1"/>
  <c r="AN855" i="1"/>
  <c r="AM855" i="1"/>
  <c r="AL855" i="1"/>
  <c r="AK855" i="1"/>
  <c r="AJ855" i="1"/>
  <c r="AI855" i="1"/>
  <c r="AH855" i="1"/>
  <c r="AC855" i="1"/>
  <c r="AB855" i="1"/>
  <c r="AA855" i="1"/>
  <c r="Z855" i="1"/>
  <c r="W855" i="1"/>
  <c r="X855" i="1" s="1"/>
  <c r="Y855" i="1" s="1"/>
  <c r="V855" i="1"/>
  <c r="AQ854" i="1"/>
  <c r="AP854" i="1"/>
  <c r="AO854" i="1"/>
  <c r="AN854" i="1"/>
  <c r="AM854" i="1"/>
  <c r="AL854" i="1"/>
  <c r="AK854" i="1"/>
  <c r="AJ854" i="1"/>
  <c r="AI854" i="1"/>
  <c r="AH854" i="1"/>
  <c r="AC854" i="1"/>
  <c r="AB854" i="1"/>
  <c r="AA854" i="1"/>
  <c r="Z854" i="1"/>
  <c r="W854" i="1"/>
  <c r="X854" i="1" s="1"/>
  <c r="Y854" i="1" s="1"/>
  <c r="V854" i="1"/>
  <c r="AQ853" i="1"/>
  <c r="AP853" i="1"/>
  <c r="AO853" i="1"/>
  <c r="AN853" i="1"/>
  <c r="AM853" i="1"/>
  <c r="AL853" i="1"/>
  <c r="AK853" i="1"/>
  <c r="AJ853" i="1"/>
  <c r="AI853" i="1"/>
  <c r="AH853" i="1"/>
  <c r="AC853" i="1"/>
  <c r="AB853" i="1"/>
  <c r="AA853" i="1"/>
  <c r="Z853" i="1"/>
  <c r="W853" i="1"/>
  <c r="X853" i="1" s="1"/>
  <c r="Y853" i="1" s="1"/>
  <c r="V853" i="1"/>
  <c r="AQ852" i="1"/>
  <c r="AP852" i="1"/>
  <c r="AO852" i="1"/>
  <c r="AN852" i="1"/>
  <c r="AM852" i="1"/>
  <c r="AL852" i="1"/>
  <c r="AK852" i="1"/>
  <c r="AJ852" i="1"/>
  <c r="AI852" i="1"/>
  <c r="AH852" i="1"/>
  <c r="AC852" i="1"/>
  <c r="AB852" i="1"/>
  <c r="AA852" i="1"/>
  <c r="Z852" i="1"/>
  <c r="W852" i="1"/>
  <c r="X852" i="1" s="1"/>
  <c r="Y852" i="1" s="1"/>
  <c r="V852" i="1"/>
  <c r="AQ851" i="1"/>
  <c r="AP851" i="1"/>
  <c r="AO851" i="1"/>
  <c r="AN851" i="1"/>
  <c r="AM851" i="1"/>
  <c r="AL851" i="1"/>
  <c r="AK851" i="1"/>
  <c r="AJ851" i="1"/>
  <c r="AI851" i="1"/>
  <c r="AH851" i="1"/>
  <c r="AC851" i="1"/>
  <c r="AB851" i="1"/>
  <c r="AA851" i="1"/>
  <c r="Z851" i="1"/>
  <c r="W851" i="1"/>
  <c r="X851" i="1" s="1"/>
  <c r="Y851" i="1" s="1"/>
  <c r="V851" i="1"/>
  <c r="AQ850" i="1"/>
  <c r="AP850" i="1"/>
  <c r="AO850" i="1"/>
  <c r="AN850" i="1"/>
  <c r="AM850" i="1"/>
  <c r="AL850" i="1"/>
  <c r="AK850" i="1"/>
  <c r="AJ850" i="1"/>
  <c r="AI850" i="1"/>
  <c r="AH850" i="1"/>
  <c r="AC850" i="1"/>
  <c r="AB850" i="1"/>
  <c r="AA850" i="1"/>
  <c r="Z850" i="1"/>
  <c r="W850" i="1"/>
  <c r="X850" i="1" s="1"/>
  <c r="Y850" i="1" s="1"/>
  <c r="V850" i="1"/>
  <c r="AQ849" i="1"/>
  <c r="AP849" i="1"/>
  <c r="AO849" i="1"/>
  <c r="AN849" i="1"/>
  <c r="AM849" i="1"/>
  <c r="AL849" i="1"/>
  <c r="AK849" i="1"/>
  <c r="AJ849" i="1"/>
  <c r="AI849" i="1"/>
  <c r="AH849" i="1"/>
  <c r="AC849" i="1"/>
  <c r="AB849" i="1"/>
  <c r="AA849" i="1"/>
  <c r="Z849" i="1"/>
  <c r="W849" i="1"/>
  <c r="X849" i="1" s="1"/>
  <c r="Y849" i="1" s="1"/>
  <c r="V849" i="1"/>
  <c r="AQ848" i="1"/>
  <c r="AP848" i="1"/>
  <c r="AO848" i="1"/>
  <c r="AN848" i="1"/>
  <c r="AM848" i="1"/>
  <c r="AL848" i="1"/>
  <c r="AK848" i="1"/>
  <c r="AJ848" i="1"/>
  <c r="AI848" i="1"/>
  <c r="AH848" i="1"/>
  <c r="AC848" i="1"/>
  <c r="AB848" i="1"/>
  <c r="AA848" i="1"/>
  <c r="Z848" i="1"/>
  <c r="W848" i="1"/>
  <c r="X848" i="1" s="1"/>
  <c r="Y848" i="1" s="1"/>
  <c r="V848" i="1"/>
  <c r="AQ847" i="1"/>
  <c r="AP847" i="1"/>
  <c r="AO847" i="1"/>
  <c r="AN847" i="1"/>
  <c r="AM847" i="1"/>
  <c r="AL847" i="1"/>
  <c r="AK847" i="1"/>
  <c r="AJ847" i="1"/>
  <c r="AI847" i="1"/>
  <c r="AH847" i="1"/>
  <c r="AC847" i="1"/>
  <c r="AB847" i="1"/>
  <c r="AA847" i="1"/>
  <c r="Z847" i="1"/>
  <c r="W847" i="1"/>
  <c r="X847" i="1" s="1"/>
  <c r="Y847" i="1" s="1"/>
  <c r="V847" i="1"/>
  <c r="AQ846" i="1"/>
  <c r="AP846" i="1"/>
  <c r="AO846" i="1"/>
  <c r="AN846" i="1"/>
  <c r="AM846" i="1"/>
  <c r="AL846" i="1"/>
  <c r="AK846" i="1"/>
  <c r="AJ846" i="1"/>
  <c r="AI846" i="1"/>
  <c r="AH846" i="1"/>
  <c r="AC846" i="1"/>
  <c r="AB846" i="1"/>
  <c r="AA846" i="1"/>
  <c r="Z846" i="1"/>
  <c r="W846" i="1"/>
  <c r="X846" i="1" s="1"/>
  <c r="Y846" i="1" s="1"/>
  <c r="V846" i="1"/>
  <c r="AQ845" i="1"/>
  <c r="AP845" i="1"/>
  <c r="AO845" i="1"/>
  <c r="AN845" i="1"/>
  <c r="AM845" i="1"/>
  <c r="AL845" i="1"/>
  <c r="AK845" i="1"/>
  <c r="AJ845" i="1"/>
  <c r="AI845" i="1"/>
  <c r="AH845" i="1"/>
  <c r="AC845" i="1"/>
  <c r="AB845" i="1"/>
  <c r="AA845" i="1"/>
  <c r="Z845" i="1"/>
  <c r="W845" i="1"/>
  <c r="X845" i="1" s="1"/>
  <c r="Y845" i="1" s="1"/>
  <c r="V845" i="1"/>
  <c r="AQ844" i="1"/>
  <c r="AP844" i="1"/>
  <c r="AO844" i="1"/>
  <c r="AN844" i="1"/>
  <c r="AM844" i="1"/>
  <c r="AL844" i="1"/>
  <c r="AK844" i="1"/>
  <c r="AJ844" i="1"/>
  <c r="AI844" i="1"/>
  <c r="AH844" i="1"/>
  <c r="AC844" i="1"/>
  <c r="AB844" i="1"/>
  <c r="AA844" i="1"/>
  <c r="Z844" i="1"/>
  <c r="W844" i="1"/>
  <c r="X844" i="1" s="1"/>
  <c r="Y844" i="1" s="1"/>
  <c r="V844" i="1"/>
  <c r="AQ843" i="1"/>
  <c r="AP843" i="1"/>
  <c r="AO843" i="1"/>
  <c r="AN843" i="1"/>
  <c r="AM843" i="1"/>
  <c r="AL843" i="1"/>
  <c r="AK843" i="1"/>
  <c r="AJ843" i="1"/>
  <c r="AI843" i="1"/>
  <c r="AH843" i="1"/>
  <c r="AC843" i="1"/>
  <c r="AB843" i="1"/>
  <c r="AA843" i="1"/>
  <c r="Z843" i="1"/>
  <c r="W843" i="1"/>
  <c r="X843" i="1" s="1"/>
  <c r="Y843" i="1" s="1"/>
  <c r="V843" i="1"/>
  <c r="AQ842" i="1"/>
  <c r="AP842" i="1"/>
  <c r="AO842" i="1"/>
  <c r="AN842" i="1"/>
  <c r="AM842" i="1"/>
  <c r="AL842" i="1"/>
  <c r="AK842" i="1"/>
  <c r="AJ842" i="1"/>
  <c r="AI842" i="1"/>
  <c r="AH842" i="1"/>
  <c r="AC842" i="1"/>
  <c r="AB842" i="1"/>
  <c r="AA842" i="1"/>
  <c r="Z842" i="1"/>
  <c r="W842" i="1"/>
  <c r="X842" i="1" s="1"/>
  <c r="Y842" i="1" s="1"/>
  <c r="V842" i="1"/>
  <c r="AQ841" i="1"/>
  <c r="AP841" i="1"/>
  <c r="AO841" i="1"/>
  <c r="AN841" i="1"/>
  <c r="AM841" i="1"/>
  <c r="AL841" i="1"/>
  <c r="AK841" i="1"/>
  <c r="AJ841" i="1"/>
  <c r="AI841" i="1"/>
  <c r="AH841" i="1"/>
  <c r="AC841" i="1"/>
  <c r="AB841" i="1"/>
  <c r="AA841" i="1"/>
  <c r="Z841" i="1"/>
  <c r="W841" i="1"/>
  <c r="X841" i="1" s="1"/>
  <c r="Y841" i="1" s="1"/>
  <c r="V841" i="1"/>
  <c r="AQ840" i="1"/>
  <c r="AP840" i="1"/>
  <c r="AO840" i="1"/>
  <c r="AN840" i="1"/>
  <c r="AM840" i="1"/>
  <c r="AL840" i="1"/>
  <c r="AK840" i="1"/>
  <c r="AJ840" i="1"/>
  <c r="AI840" i="1"/>
  <c r="AH840" i="1"/>
  <c r="AC840" i="1"/>
  <c r="AB840" i="1"/>
  <c r="AA840" i="1"/>
  <c r="Z840" i="1"/>
  <c r="W840" i="1"/>
  <c r="X840" i="1" s="1"/>
  <c r="Y840" i="1" s="1"/>
  <c r="V840" i="1"/>
  <c r="AQ839" i="1"/>
  <c r="AP839" i="1"/>
  <c r="AO839" i="1"/>
  <c r="AN839" i="1"/>
  <c r="AM839" i="1"/>
  <c r="AL839" i="1"/>
  <c r="AK839" i="1"/>
  <c r="AJ839" i="1"/>
  <c r="AI839" i="1"/>
  <c r="AH839" i="1"/>
  <c r="AC839" i="1"/>
  <c r="AB839" i="1"/>
  <c r="AA839" i="1"/>
  <c r="Z839" i="1"/>
  <c r="W839" i="1"/>
  <c r="X839" i="1" s="1"/>
  <c r="Y839" i="1" s="1"/>
  <c r="V839" i="1"/>
  <c r="AQ838" i="1"/>
  <c r="AP838" i="1"/>
  <c r="AO838" i="1"/>
  <c r="AN838" i="1"/>
  <c r="AM838" i="1"/>
  <c r="AL838" i="1"/>
  <c r="AK838" i="1"/>
  <c r="AJ838" i="1"/>
  <c r="AI838" i="1"/>
  <c r="AH838" i="1"/>
  <c r="AC838" i="1"/>
  <c r="AB838" i="1"/>
  <c r="AA838" i="1"/>
  <c r="Z838" i="1"/>
  <c r="W838" i="1"/>
  <c r="X838" i="1" s="1"/>
  <c r="Y838" i="1" s="1"/>
  <c r="V838" i="1"/>
  <c r="AQ837" i="1"/>
  <c r="AP837" i="1"/>
  <c r="AO837" i="1"/>
  <c r="AN837" i="1"/>
  <c r="AM837" i="1"/>
  <c r="AL837" i="1"/>
  <c r="AK837" i="1"/>
  <c r="AJ837" i="1"/>
  <c r="AI837" i="1"/>
  <c r="AH837" i="1"/>
  <c r="AC837" i="1"/>
  <c r="AB837" i="1"/>
  <c r="AA837" i="1"/>
  <c r="Z837" i="1"/>
  <c r="W837" i="1"/>
  <c r="X837" i="1" s="1"/>
  <c r="Y837" i="1" s="1"/>
  <c r="V837" i="1"/>
  <c r="AQ836" i="1"/>
  <c r="AP836" i="1"/>
  <c r="AO836" i="1"/>
  <c r="AN836" i="1"/>
  <c r="AM836" i="1"/>
  <c r="AL836" i="1"/>
  <c r="AK836" i="1"/>
  <c r="AJ836" i="1"/>
  <c r="AI836" i="1"/>
  <c r="AH836" i="1"/>
  <c r="AC836" i="1"/>
  <c r="AB836" i="1"/>
  <c r="AA836" i="1"/>
  <c r="Z836" i="1"/>
  <c r="W836" i="1"/>
  <c r="X836" i="1" s="1"/>
  <c r="Y836" i="1" s="1"/>
  <c r="V836" i="1"/>
  <c r="AQ835" i="1"/>
  <c r="AP835" i="1"/>
  <c r="AO835" i="1"/>
  <c r="AN835" i="1"/>
  <c r="AM835" i="1"/>
  <c r="AL835" i="1"/>
  <c r="AK835" i="1"/>
  <c r="AJ835" i="1"/>
  <c r="AI835" i="1"/>
  <c r="AH835" i="1"/>
  <c r="AC835" i="1"/>
  <c r="AB835" i="1"/>
  <c r="AA835" i="1"/>
  <c r="Z835" i="1"/>
  <c r="W835" i="1"/>
  <c r="X835" i="1" s="1"/>
  <c r="Y835" i="1" s="1"/>
  <c r="V835" i="1"/>
  <c r="AQ834" i="1"/>
  <c r="AP834" i="1"/>
  <c r="AO834" i="1"/>
  <c r="AN834" i="1"/>
  <c r="AM834" i="1"/>
  <c r="AL834" i="1"/>
  <c r="AK834" i="1"/>
  <c r="AJ834" i="1"/>
  <c r="AI834" i="1"/>
  <c r="AH834" i="1"/>
  <c r="AC834" i="1"/>
  <c r="AB834" i="1"/>
  <c r="AA834" i="1"/>
  <c r="Z834" i="1"/>
  <c r="W834" i="1"/>
  <c r="X834" i="1" s="1"/>
  <c r="Y834" i="1" s="1"/>
  <c r="V834" i="1"/>
  <c r="AQ833" i="1"/>
  <c r="AP833" i="1"/>
  <c r="AO833" i="1"/>
  <c r="AN833" i="1"/>
  <c r="AM833" i="1"/>
  <c r="AL833" i="1"/>
  <c r="AK833" i="1"/>
  <c r="AI833" i="1"/>
  <c r="AH833" i="1"/>
  <c r="AC833" i="1"/>
  <c r="AB833" i="1"/>
  <c r="AA833" i="1"/>
  <c r="Z833" i="1"/>
  <c r="W833" i="1"/>
  <c r="X833" i="1" s="1"/>
  <c r="Y833" i="1" s="1"/>
  <c r="V833" i="1"/>
  <c r="AQ832" i="1"/>
  <c r="AP832" i="1"/>
  <c r="AO832" i="1"/>
  <c r="AN832" i="1"/>
  <c r="AM832" i="1"/>
  <c r="AL832" i="1"/>
  <c r="AK832" i="1"/>
  <c r="AI832" i="1"/>
  <c r="AH832" i="1"/>
  <c r="AC832" i="1"/>
  <c r="AB832" i="1"/>
  <c r="AA832" i="1"/>
  <c r="Z832" i="1"/>
  <c r="W832" i="1"/>
  <c r="X832" i="1" s="1"/>
  <c r="Y832" i="1" s="1"/>
  <c r="V832" i="1"/>
  <c r="AQ831" i="1"/>
  <c r="AP831" i="1"/>
  <c r="AO831" i="1"/>
  <c r="AN831" i="1"/>
  <c r="AM831" i="1"/>
  <c r="AL831" i="1"/>
  <c r="AK831" i="1"/>
  <c r="AJ831" i="1"/>
  <c r="AI831" i="1"/>
  <c r="AH831" i="1"/>
  <c r="AC831" i="1"/>
  <c r="AB831" i="1"/>
  <c r="AA831" i="1"/>
  <c r="Z831" i="1"/>
  <c r="W831" i="1"/>
  <c r="X831" i="1" s="1"/>
  <c r="Y831" i="1" s="1"/>
  <c r="V831" i="1"/>
  <c r="AQ830" i="1"/>
  <c r="AP830" i="1"/>
  <c r="AO830" i="1"/>
  <c r="AN830" i="1"/>
  <c r="AM830" i="1"/>
  <c r="AL830" i="1"/>
  <c r="AK830" i="1"/>
  <c r="AJ830" i="1"/>
  <c r="AI830" i="1"/>
  <c r="AH830" i="1"/>
  <c r="AC830" i="1"/>
  <c r="AB830" i="1"/>
  <c r="AA830" i="1"/>
  <c r="Z830" i="1"/>
  <c r="W830" i="1"/>
  <c r="X830" i="1" s="1"/>
  <c r="Y830" i="1" s="1"/>
  <c r="V830" i="1"/>
  <c r="AQ829" i="1"/>
  <c r="AP829" i="1"/>
  <c r="AO829" i="1"/>
  <c r="AN829" i="1"/>
  <c r="AM829" i="1"/>
  <c r="AL829" i="1"/>
  <c r="AK829" i="1"/>
  <c r="AJ829" i="1"/>
  <c r="AI829" i="1"/>
  <c r="AH829" i="1"/>
  <c r="AC829" i="1"/>
  <c r="AB829" i="1"/>
  <c r="AA829" i="1"/>
  <c r="Z829" i="1"/>
  <c r="W829" i="1"/>
  <c r="X829" i="1" s="1"/>
  <c r="Y829" i="1" s="1"/>
  <c r="V829" i="1"/>
  <c r="AQ828" i="1"/>
  <c r="AP828" i="1"/>
  <c r="AO828" i="1"/>
  <c r="AN828" i="1"/>
  <c r="AM828" i="1"/>
  <c r="AL828" i="1"/>
  <c r="AK828" i="1"/>
  <c r="AJ828" i="1"/>
  <c r="AI828" i="1"/>
  <c r="AH828" i="1"/>
  <c r="AC828" i="1"/>
  <c r="AB828" i="1"/>
  <c r="AA828" i="1"/>
  <c r="Z828" i="1"/>
  <c r="W828" i="1"/>
  <c r="X828" i="1" s="1"/>
  <c r="Y828" i="1" s="1"/>
  <c r="V828" i="1"/>
  <c r="AQ827" i="1"/>
  <c r="AP827" i="1"/>
  <c r="AO827" i="1"/>
  <c r="AN827" i="1"/>
  <c r="AM827" i="1"/>
  <c r="AL827" i="1"/>
  <c r="AK827" i="1"/>
  <c r="AJ827" i="1"/>
  <c r="AI827" i="1"/>
  <c r="AH827" i="1"/>
  <c r="AC827" i="1"/>
  <c r="AB827" i="1"/>
  <c r="AA827" i="1"/>
  <c r="Z827" i="1"/>
  <c r="W827" i="1"/>
  <c r="X827" i="1" s="1"/>
  <c r="Y827" i="1" s="1"/>
  <c r="V827" i="1"/>
  <c r="AQ826" i="1"/>
  <c r="AP826" i="1"/>
  <c r="AO826" i="1"/>
  <c r="AN826" i="1"/>
  <c r="AM826" i="1"/>
  <c r="AL826" i="1"/>
  <c r="AK826" i="1"/>
  <c r="AJ826" i="1"/>
  <c r="AI826" i="1"/>
  <c r="AH826" i="1"/>
  <c r="AC826" i="1"/>
  <c r="AB826" i="1"/>
  <c r="AA826" i="1"/>
  <c r="Z826" i="1"/>
  <c r="W826" i="1"/>
  <c r="X826" i="1" s="1"/>
  <c r="Y826" i="1" s="1"/>
  <c r="V826" i="1"/>
  <c r="AQ825" i="1"/>
  <c r="AP825" i="1"/>
  <c r="AO825" i="1"/>
  <c r="AN825" i="1"/>
  <c r="AM825" i="1"/>
  <c r="AL825" i="1"/>
  <c r="AK825" i="1"/>
  <c r="AJ825" i="1"/>
  <c r="AI825" i="1"/>
  <c r="AH825" i="1"/>
  <c r="AC825" i="1"/>
  <c r="AB825" i="1"/>
  <c r="AA825" i="1"/>
  <c r="Z825" i="1"/>
  <c r="W825" i="1"/>
  <c r="X825" i="1" s="1"/>
  <c r="Y825" i="1" s="1"/>
  <c r="V825" i="1"/>
  <c r="AQ824" i="1"/>
  <c r="AP824" i="1"/>
  <c r="AO824" i="1"/>
  <c r="AN824" i="1"/>
  <c r="AM824" i="1"/>
  <c r="AL824" i="1"/>
  <c r="AK824" i="1"/>
  <c r="AJ824" i="1"/>
  <c r="AI824" i="1"/>
  <c r="AH824" i="1"/>
  <c r="AC824" i="1"/>
  <c r="AB824" i="1"/>
  <c r="AA824" i="1"/>
  <c r="Z824" i="1"/>
  <c r="W824" i="1"/>
  <c r="X824" i="1" s="1"/>
  <c r="Y824" i="1" s="1"/>
  <c r="V824" i="1"/>
  <c r="AQ823" i="1"/>
  <c r="AP823" i="1"/>
  <c r="AO823" i="1"/>
  <c r="AN823" i="1"/>
  <c r="AM823" i="1"/>
  <c r="AL823" i="1"/>
  <c r="AK823" i="1"/>
  <c r="AJ823" i="1"/>
  <c r="AI823" i="1"/>
  <c r="AH823" i="1"/>
  <c r="AC823" i="1"/>
  <c r="AB823" i="1"/>
  <c r="AA823" i="1"/>
  <c r="Z823" i="1"/>
  <c r="W823" i="1"/>
  <c r="X823" i="1" s="1"/>
  <c r="Y823" i="1" s="1"/>
  <c r="V823" i="1"/>
  <c r="AQ822" i="1"/>
  <c r="AP822" i="1"/>
  <c r="AO822" i="1"/>
  <c r="AN822" i="1"/>
  <c r="AM822" i="1"/>
  <c r="AL822" i="1"/>
  <c r="AK822" i="1"/>
  <c r="AJ822" i="1"/>
  <c r="AI822" i="1"/>
  <c r="AH822" i="1"/>
  <c r="AC822" i="1"/>
  <c r="AB822" i="1"/>
  <c r="AA822" i="1"/>
  <c r="Z822" i="1"/>
  <c r="W822" i="1"/>
  <c r="X822" i="1" s="1"/>
  <c r="Y822" i="1" s="1"/>
  <c r="V822" i="1"/>
  <c r="AQ821" i="1"/>
  <c r="AP821" i="1"/>
  <c r="AO821" i="1"/>
  <c r="AN821" i="1"/>
  <c r="AM821" i="1"/>
  <c r="AL821" i="1"/>
  <c r="AK821" i="1"/>
  <c r="AJ821" i="1"/>
  <c r="AI821" i="1"/>
  <c r="AH821" i="1"/>
  <c r="AC821" i="1"/>
  <c r="AB821" i="1"/>
  <c r="AA821" i="1"/>
  <c r="Z821" i="1"/>
  <c r="W821" i="1"/>
  <c r="X821" i="1" s="1"/>
  <c r="Y821" i="1" s="1"/>
  <c r="V821" i="1"/>
  <c r="AQ820" i="1"/>
  <c r="AP820" i="1"/>
  <c r="AO820" i="1"/>
  <c r="AN820" i="1"/>
  <c r="AM820" i="1"/>
  <c r="AL820" i="1"/>
  <c r="AK820" i="1"/>
  <c r="AJ820" i="1"/>
  <c r="AI820" i="1"/>
  <c r="AH820" i="1"/>
  <c r="AC820" i="1"/>
  <c r="AB820" i="1"/>
  <c r="AA820" i="1"/>
  <c r="Z820" i="1"/>
  <c r="W820" i="1"/>
  <c r="X820" i="1" s="1"/>
  <c r="Y820" i="1" s="1"/>
  <c r="V820" i="1"/>
  <c r="AQ819" i="1"/>
  <c r="AP819" i="1"/>
  <c r="AO819" i="1"/>
  <c r="AN819" i="1"/>
  <c r="AM819" i="1"/>
  <c r="AL819" i="1"/>
  <c r="AK819" i="1"/>
  <c r="AJ819" i="1"/>
  <c r="AI819" i="1"/>
  <c r="AH819" i="1"/>
  <c r="AC819" i="1"/>
  <c r="AB819" i="1"/>
  <c r="AA819" i="1"/>
  <c r="Z819" i="1"/>
  <c r="W819" i="1"/>
  <c r="X819" i="1" s="1"/>
  <c r="Y819" i="1" s="1"/>
  <c r="V819" i="1"/>
  <c r="AQ818" i="1"/>
  <c r="AP818" i="1"/>
  <c r="AO818" i="1"/>
  <c r="AN818" i="1"/>
  <c r="AM818" i="1"/>
  <c r="AL818" i="1"/>
  <c r="AK818" i="1"/>
  <c r="AJ818" i="1"/>
  <c r="AI818" i="1"/>
  <c r="AH818" i="1"/>
  <c r="AC818" i="1"/>
  <c r="AB818" i="1"/>
  <c r="AA818" i="1"/>
  <c r="Z818" i="1"/>
  <c r="W818" i="1"/>
  <c r="X818" i="1" s="1"/>
  <c r="Y818" i="1" s="1"/>
  <c r="V818" i="1"/>
  <c r="AQ817" i="1"/>
  <c r="AP817" i="1"/>
  <c r="AO817" i="1"/>
  <c r="AN817" i="1"/>
  <c r="AM817" i="1"/>
  <c r="AL817" i="1"/>
  <c r="AK817" i="1"/>
  <c r="AJ817" i="1"/>
  <c r="AI817" i="1"/>
  <c r="AH817" i="1"/>
  <c r="AC817" i="1"/>
  <c r="AB817" i="1"/>
  <c r="AA817" i="1"/>
  <c r="Z817" i="1"/>
  <c r="W817" i="1"/>
  <c r="X817" i="1" s="1"/>
  <c r="Y817" i="1" s="1"/>
  <c r="V817" i="1"/>
  <c r="AQ816" i="1"/>
  <c r="AP816" i="1"/>
  <c r="AO816" i="1"/>
  <c r="AN816" i="1"/>
  <c r="AM816" i="1"/>
  <c r="AL816" i="1"/>
  <c r="AK816" i="1"/>
  <c r="AJ816" i="1"/>
  <c r="AI816" i="1"/>
  <c r="AH816" i="1"/>
  <c r="AC816" i="1"/>
  <c r="AB816" i="1"/>
  <c r="AA816" i="1"/>
  <c r="Z816" i="1"/>
  <c r="W816" i="1"/>
  <c r="X816" i="1" s="1"/>
  <c r="Y816" i="1" s="1"/>
  <c r="V816" i="1"/>
  <c r="AQ815" i="1"/>
  <c r="AP815" i="1"/>
  <c r="AO815" i="1"/>
  <c r="AN815" i="1"/>
  <c r="AM815" i="1"/>
  <c r="AL815" i="1"/>
  <c r="AK815" i="1"/>
  <c r="AJ815" i="1"/>
  <c r="AI815" i="1"/>
  <c r="AH815" i="1"/>
  <c r="AC815" i="1"/>
  <c r="AB815" i="1"/>
  <c r="AA815" i="1"/>
  <c r="Z815" i="1"/>
  <c r="W815" i="1"/>
  <c r="X815" i="1" s="1"/>
  <c r="Y815" i="1" s="1"/>
  <c r="V815" i="1"/>
  <c r="AQ814" i="1"/>
  <c r="AP814" i="1"/>
  <c r="AO814" i="1"/>
  <c r="AN814" i="1"/>
  <c r="AM814" i="1"/>
  <c r="AL814" i="1"/>
  <c r="AK814" i="1"/>
  <c r="AJ814" i="1"/>
  <c r="AI814" i="1"/>
  <c r="AH814" i="1"/>
  <c r="AC814" i="1"/>
  <c r="AB814" i="1"/>
  <c r="AA814" i="1"/>
  <c r="Z814" i="1"/>
  <c r="W814" i="1"/>
  <c r="X814" i="1" s="1"/>
  <c r="Y814" i="1" s="1"/>
  <c r="V814" i="1"/>
  <c r="AQ813" i="1"/>
  <c r="AP813" i="1"/>
  <c r="AO813" i="1"/>
  <c r="AN813" i="1"/>
  <c r="AM813" i="1"/>
  <c r="AL813" i="1"/>
  <c r="AK813" i="1"/>
  <c r="AJ813" i="1"/>
  <c r="AI813" i="1"/>
  <c r="AH813" i="1"/>
  <c r="AC813" i="1"/>
  <c r="AB813" i="1"/>
  <c r="AA813" i="1"/>
  <c r="Z813" i="1"/>
  <c r="W813" i="1"/>
  <c r="X813" i="1" s="1"/>
  <c r="Y813" i="1" s="1"/>
  <c r="V813" i="1"/>
  <c r="AQ812" i="1"/>
  <c r="AP812" i="1"/>
  <c r="AO812" i="1"/>
  <c r="AN812" i="1"/>
  <c r="AM812" i="1"/>
  <c r="AL812" i="1"/>
  <c r="AK812" i="1"/>
  <c r="AJ812" i="1"/>
  <c r="AI812" i="1"/>
  <c r="AH812" i="1"/>
  <c r="AC812" i="1"/>
  <c r="AB812" i="1"/>
  <c r="AA812" i="1"/>
  <c r="Z812" i="1"/>
  <c r="W812" i="1"/>
  <c r="X812" i="1" s="1"/>
  <c r="Y812" i="1" s="1"/>
  <c r="V812" i="1"/>
  <c r="AQ811" i="1"/>
  <c r="AP811" i="1"/>
  <c r="AO811" i="1"/>
  <c r="AN811" i="1"/>
  <c r="AM811" i="1"/>
  <c r="AL811" i="1"/>
  <c r="AK811" i="1"/>
  <c r="AI811" i="1"/>
  <c r="AH811" i="1"/>
  <c r="AC811" i="1"/>
  <c r="AB811" i="1"/>
  <c r="AA811" i="1"/>
  <c r="Z811" i="1"/>
  <c r="W811" i="1"/>
  <c r="X811" i="1" s="1"/>
  <c r="Y811" i="1" s="1"/>
  <c r="V811" i="1"/>
  <c r="AQ810" i="1"/>
  <c r="AP810" i="1"/>
  <c r="AO810" i="1"/>
  <c r="AN810" i="1"/>
  <c r="AM810" i="1"/>
  <c r="AL810" i="1"/>
  <c r="AK810" i="1"/>
  <c r="AJ810" i="1"/>
  <c r="AI810" i="1"/>
  <c r="AH810" i="1"/>
  <c r="AC810" i="1"/>
  <c r="AB810" i="1"/>
  <c r="AA810" i="1"/>
  <c r="Z810" i="1"/>
  <c r="W810" i="1"/>
  <c r="X810" i="1" s="1"/>
  <c r="Y810" i="1" s="1"/>
  <c r="V810" i="1"/>
  <c r="AQ809" i="1"/>
  <c r="AP809" i="1"/>
  <c r="AO809" i="1"/>
  <c r="AN809" i="1"/>
  <c r="AM809" i="1"/>
  <c r="AL809" i="1"/>
  <c r="AK809" i="1"/>
  <c r="AJ809" i="1"/>
  <c r="AI809" i="1"/>
  <c r="AH809" i="1"/>
  <c r="AC809" i="1"/>
  <c r="AB809" i="1"/>
  <c r="AA809" i="1"/>
  <c r="Z809" i="1"/>
  <c r="W809" i="1"/>
  <c r="X809" i="1" s="1"/>
  <c r="Y809" i="1" s="1"/>
  <c r="V809" i="1"/>
  <c r="AQ808" i="1"/>
  <c r="AP808" i="1"/>
  <c r="AO808" i="1"/>
  <c r="AN808" i="1"/>
  <c r="AM808" i="1"/>
  <c r="AL808" i="1"/>
  <c r="AK808" i="1"/>
  <c r="AJ808" i="1"/>
  <c r="AI808" i="1"/>
  <c r="AH808" i="1"/>
  <c r="AC808" i="1"/>
  <c r="AB808" i="1"/>
  <c r="AA808" i="1"/>
  <c r="Z808" i="1"/>
  <c r="W808" i="1"/>
  <c r="X808" i="1" s="1"/>
  <c r="Y808" i="1" s="1"/>
  <c r="V808" i="1"/>
  <c r="AQ807" i="1"/>
  <c r="AP807" i="1"/>
  <c r="AO807" i="1"/>
  <c r="AN807" i="1"/>
  <c r="AM807" i="1"/>
  <c r="AL807" i="1"/>
  <c r="AK807" i="1"/>
  <c r="AJ807" i="1"/>
  <c r="AI807" i="1"/>
  <c r="AH807" i="1"/>
  <c r="AC807" i="1"/>
  <c r="AB807" i="1"/>
  <c r="AA807" i="1"/>
  <c r="Z807" i="1"/>
  <c r="W807" i="1"/>
  <c r="X807" i="1" s="1"/>
  <c r="Y807" i="1" s="1"/>
  <c r="V807" i="1"/>
  <c r="AQ806" i="1"/>
  <c r="AP806" i="1"/>
  <c r="AO806" i="1"/>
  <c r="AN806" i="1"/>
  <c r="AM806" i="1"/>
  <c r="AL806" i="1"/>
  <c r="AK806" i="1"/>
  <c r="AJ806" i="1"/>
  <c r="AI806" i="1"/>
  <c r="AH806" i="1"/>
  <c r="AC806" i="1"/>
  <c r="AB806" i="1"/>
  <c r="AA806" i="1"/>
  <c r="Z806" i="1"/>
  <c r="W806" i="1"/>
  <c r="X806" i="1" s="1"/>
  <c r="Y806" i="1" s="1"/>
  <c r="V806" i="1"/>
  <c r="AQ805" i="1"/>
  <c r="AP805" i="1"/>
  <c r="AO805" i="1"/>
  <c r="AN805" i="1"/>
  <c r="AM805" i="1"/>
  <c r="AL805" i="1"/>
  <c r="AK805" i="1"/>
  <c r="AI805" i="1"/>
  <c r="AH805" i="1"/>
  <c r="AC805" i="1"/>
  <c r="AB805" i="1"/>
  <c r="AA805" i="1"/>
  <c r="Z805" i="1"/>
  <c r="W805" i="1"/>
  <c r="X805" i="1" s="1"/>
  <c r="Y805" i="1" s="1"/>
  <c r="V805" i="1"/>
  <c r="AQ804" i="1"/>
  <c r="AP804" i="1"/>
  <c r="AO804" i="1"/>
  <c r="AN804" i="1"/>
  <c r="AM804" i="1"/>
  <c r="AL804" i="1"/>
  <c r="AK804" i="1"/>
  <c r="AJ804" i="1"/>
  <c r="AI804" i="1"/>
  <c r="AH804" i="1"/>
  <c r="AC804" i="1"/>
  <c r="AB804" i="1"/>
  <c r="AA804" i="1"/>
  <c r="Z804" i="1"/>
  <c r="W804" i="1"/>
  <c r="X804" i="1" s="1"/>
  <c r="Y804" i="1" s="1"/>
  <c r="V804" i="1"/>
  <c r="AQ803" i="1"/>
  <c r="AP803" i="1"/>
  <c r="AO803" i="1"/>
  <c r="AN803" i="1"/>
  <c r="AM803" i="1"/>
  <c r="AL803" i="1"/>
  <c r="AK803" i="1"/>
  <c r="AJ803" i="1"/>
  <c r="AI803" i="1"/>
  <c r="AH803" i="1"/>
  <c r="AC803" i="1"/>
  <c r="AB803" i="1"/>
  <c r="AA803" i="1"/>
  <c r="Z803" i="1"/>
  <c r="W803" i="1"/>
  <c r="X803" i="1" s="1"/>
  <c r="Y803" i="1" s="1"/>
  <c r="V803" i="1"/>
  <c r="AQ802" i="1"/>
  <c r="AP802" i="1"/>
  <c r="AO802" i="1"/>
  <c r="AN802" i="1"/>
  <c r="AM802" i="1"/>
  <c r="AL802" i="1"/>
  <c r="AK802" i="1"/>
  <c r="AJ802" i="1"/>
  <c r="AI802" i="1"/>
  <c r="AH802" i="1"/>
  <c r="AC802" i="1"/>
  <c r="AB802" i="1"/>
  <c r="AA802" i="1"/>
  <c r="Z802" i="1"/>
  <c r="W802" i="1"/>
  <c r="X802" i="1" s="1"/>
  <c r="Y802" i="1" s="1"/>
  <c r="V802" i="1"/>
  <c r="AQ801" i="1"/>
  <c r="AP801" i="1"/>
  <c r="AN801" i="1"/>
  <c r="AM801" i="1"/>
  <c r="AL801" i="1"/>
  <c r="AK801" i="1"/>
  <c r="AJ801" i="1"/>
  <c r="AI801" i="1"/>
  <c r="AH801" i="1"/>
  <c r="AC801" i="1"/>
  <c r="AB801" i="1"/>
  <c r="AA801" i="1"/>
  <c r="Z801" i="1"/>
  <c r="W801" i="1"/>
  <c r="X801" i="1" s="1"/>
  <c r="Y801" i="1" s="1"/>
  <c r="V801" i="1"/>
  <c r="AQ800" i="1"/>
  <c r="AP800" i="1"/>
  <c r="AO800" i="1"/>
  <c r="AN800" i="1"/>
  <c r="AM800" i="1"/>
  <c r="AL800" i="1"/>
  <c r="AK800" i="1"/>
  <c r="AJ800" i="1"/>
  <c r="AI800" i="1"/>
  <c r="AH800" i="1"/>
  <c r="AC800" i="1"/>
  <c r="AB800" i="1"/>
  <c r="AA800" i="1"/>
  <c r="Z800" i="1"/>
  <c r="W800" i="1"/>
  <c r="X800" i="1" s="1"/>
  <c r="Y800" i="1" s="1"/>
  <c r="V800" i="1"/>
  <c r="AQ799" i="1"/>
  <c r="AP799" i="1"/>
  <c r="AO799" i="1"/>
  <c r="AN799" i="1"/>
  <c r="AM799" i="1"/>
  <c r="AL799" i="1"/>
  <c r="AK799" i="1"/>
  <c r="AJ799" i="1"/>
  <c r="AI799" i="1"/>
  <c r="AH799" i="1"/>
  <c r="AC799" i="1"/>
  <c r="AB799" i="1"/>
  <c r="AA799" i="1"/>
  <c r="Z799" i="1"/>
  <c r="W799" i="1"/>
  <c r="X799" i="1" s="1"/>
  <c r="Y799" i="1" s="1"/>
  <c r="V799" i="1"/>
  <c r="AQ798" i="1"/>
  <c r="AP798" i="1"/>
  <c r="AO798" i="1"/>
  <c r="AN798" i="1"/>
  <c r="AM798" i="1"/>
  <c r="AL798" i="1"/>
  <c r="AK798" i="1"/>
  <c r="AJ798" i="1"/>
  <c r="AI798" i="1"/>
  <c r="AH798" i="1"/>
  <c r="AC798" i="1"/>
  <c r="AB798" i="1"/>
  <c r="AA798" i="1"/>
  <c r="Z798" i="1"/>
  <c r="W798" i="1"/>
  <c r="X798" i="1" s="1"/>
  <c r="Y798" i="1" s="1"/>
  <c r="V798" i="1"/>
  <c r="AQ797" i="1"/>
  <c r="AP797" i="1"/>
  <c r="AO797" i="1"/>
  <c r="AN797" i="1"/>
  <c r="AM797" i="1"/>
  <c r="AL797" i="1"/>
  <c r="AK797" i="1"/>
  <c r="AJ797" i="1"/>
  <c r="AI797" i="1"/>
  <c r="AH797" i="1"/>
  <c r="AC797" i="1"/>
  <c r="AB797" i="1"/>
  <c r="AA797" i="1"/>
  <c r="Z797" i="1"/>
  <c r="W797" i="1"/>
  <c r="X797" i="1" s="1"/>
  <c r="Y797" i="1" s="1"/>
  <c r="V797" i="1"/>
  <c r="AQ796" i="1"/>
  <c r="AP796" i="1"/>
  <c r="AO796" i="1"/>
  <c r="AN796" i="1"/>
  <c r="AM796" i="1"/>
  <c r="AL796" i="1"/>
  <c r="AK796" i="1"/>
  <c r="AJ796" i="1"/>
  <c r="AI796" i="1"/>
  <c r="AH796" i="1"/>
  <c r="AC796" i="1"/>
  <c r="AB796" i="1"/>
  <c r="AA796" i="1"/>
  <c r="Z796" i="1"/>
  <c r="W796" i="1"/>
  <c r="X796" i="1" s="1"/>
  <c r="Y796" i="1" s="1"/>
  <c r="V796" i="1"/>
  <c r="AQ795" i="1"/>
  <c r="AP795" i="1"/>
  <c r="AO795" i="1"/>
  <c r="AN795" i="1"/>
  <c r="AM795" i="1"/>
  <c r="AL795" i="1"/>
  <c r="AK795" i="1"/>
  <c r="AJ795" i="1"/>
  <c r="AI795" i="1"/>
  <c r="AH795" i="1"/>
  <c r="AC795" i="1"/>
  <c r="AB795" i="1"/>
  <c r="AA795" i="1"/>
  <c r="Z795" i="1"/>
  <c r="W795" i="1"/>
  <c r="X795" i="1" s="1"/>
  <c r="Y795" i="1" s="1"/>
  <c r="V795" i="1"/>
  <c r="AQ794" i="1"/>
  <c r="AP794" i="1"/>
  <c r="AO794" i="1"/>
  <c r="AN794" i="1"/>
  <c r="AM794" i="1"/>
  <c r="AL794" i="1"/>
  <c r="AK794" i="1"/>
  <c r="AJ794" i="1"/>
  <c r="AI794" i="1"/>
  <c r="AH794" i="1"/>
  <c r="AC794" i="1"/>
  <c r="AB794" i="1"/>
  <c r="AA794" i="1"/>
  <c r="Z794" i="1"/>
  <c r="W794" i="1"/>
  <c r="X794" i="1" s="1"/>
  <c r="Y794" i="1" s="1"/>
  <c r="V794" i="1"/>
  <c r="AQ793" i="1"/>
  <c r="AP793" i="1"/>
  <c r="AO793" i="1"/>
  <c r="AN793" i="1"/>
  <c r="AM793" i="1"/>
  <c r="AL793" i="1"/>
  <c r="AK793" i="1"/>
  <c r="AJ793" i="1"/>
  <c r="AI793" i="1"/>
  <c r="AH793" i="1"/>
  <c r="AC793" i="1"/>
  <c r="AB793" i="1"/>
  <c r="AA793" i="1"/>
  <c r="Z793" i="1"/>
  <c r="W793" i="1"/>
  <c r="X793" i="1" s="1"/>
  <c r="Y793" i="1" s="1"/>
  <c r="V793" i="1"/>
  <c r="AQ792" i="1"/>
  <c r="AP792" i="1"/>
  <c r="AO792" i="1"/>
  <c r="AN792" i="1"/>
  <c r="AM792" i="1"/>
  <c r="AL792" i="1"/>
  <c r="AK792" i="1"/>
  <c r="AJ792" i="1"/>
  <c r="AI792" i="1"/>
  <c r="AH792" i="1"/>
  <c r="AC792" i="1"/>
  <c r="AB792" i="1"/>
  <c r="AA792" i="1"/>
  <c r="Z792" i="1"/>
  <c r="W792" i="1"/>
  <c r="X792" i="1" s="1"/>
  <c r="Y792" i="1" s="1"/>
  <c r="V792" i="1"/>
  <c r="AQ791" i="1"/>
  <c r="AP791" i="1"/>
  <c r="AO791" i="1"/>
  <c r="AN791" i="1"/>
  <c r="AM791" i="1"/>
  <c r="AL791" i="1"/>
  <c r="AK791" i="1"/>
  <c r="AI791" i="1"/>
  <c r="AH791" i="1"/>
  <c r="AC791" i="1"/>
  <c r="AB791" i="1"/>
  <c r="AA791" i="1"/>
  <c r="Z791" i="1"/>
  <c r="W791" i="1"/>
  <c r="X791" i="1" s="1"/>
  <c r="Y791" i="1" s="1"/>
  <c r="V791" i="1"/>
  <c r="AQ790" i="1"/>
  <c r="AP790" i="1"/>
  <c r="AO790" i="1"/>
  <c r="AN790" i="1"/>
  <c r="AM790" i="1"/>
  <c r="AL790" i="1"/>
  <c r="AK790" i="1"/>
  <c r="AJ790" i="1"/>
  <c r="AI790" i="1"/>
  <c r="AH790" i="1"/>
  <c r="AC790" i="1"/>
  <c r="AB790" i="1"/>
  <c r="AA790" i="1"/>
  <c r="Z790" i="1"/>
  <c r="W790" i="1"/>
  <c r="X790" i="1" s="1"/>
  <c r="Y790" i="1" s="1"/>
  <c r="V790" i="1"/>
  <c r="AQ789" i="1"/>
  <c r="AP789" i="1"/>
  <c r="AO789" i="1"/>
  <c r="AN789" i="1"/>
  <c r="AM789" i="1"/>
  <c r="AL789" i="1"/>
  <c r="AK789" i="1"/>
  <c r="AJ789" i="1"/>
  <c r="AI789" i="1"/>
  <c r="AH789" i="1"/>
  <c r="AC789" i="1"/>
  <c r="AB789" i="1"/>
  <c r="AA789" i="1"/>
  <c r="Z789" i="1"/>
  <c r="W789" i="1"/>
  <c r="X789" i="1" s="1"/>
  <c r="Y789" i="1" s="1"/>
  <c r="V789" i="1"/>
  <c r="AQ788" i="1"/>
  <c r="AP788" i="1"/>
  <c r="AN788" i="1"/>
  <c r="AM788" i="1"/>
  <c r="AL788" i="1"/>
  <c r="AK788" i="1"/>
  <c r="AJ788" i="1"/>
  <c r="AI788" i="1"/>
  <c r="AH788" i="1"/>
  <c r="AC788" i="1"/>
  <c r="AB788" i="1"/>
  <c r="AA788" i="1"/>
  <c r="Z788" i="1"/>
  <c r="W788" i="1"/>
  <c r="X788" i="1" s="1"/>
  <c r="Y788" i="1" s="1"/>
  <c r="V788" i="1"/>
  <c r="AQ787" i="1"/>
  <c r="AP787" i="1"/>
  <c r="AO787" i="1"/>
  <c r="AN787" i="1"/>
  <c r="AM787" i="1"/>
  <c r="AL787" i="1"/>
  <c r="AK787" i="1"/>
  <c r="AJ787" i="1"/>
  <c r="AI787" i="1"/>
  <c r="AH787" i="1"/>
  <c r="AC787" i="1"/>
  <c r="AB787" i="1"/>
  <c r="AA787" i="1"/>
  <c r="Z787" i="1"/>
  <c r="W787" i="1"/>
  <c r="X787" i="1" s="1"/>
  <c r="Y787" i="1" s="1"/>
  <c r="V787" i="1"/>
  <c r="AQ786" i="1"/>
  <c r="AP786" i="1"/>
  <c r="AO786" i="1"/>
  <c r="AN786" i="1"/>
  <c r="AM786" i="1"/>
  <c r="AL786" i="1"/>
  <c r="AK786" i="1"/>
  <c r="AJ786" i="1"/>
  <c r="AI786" i="1"/>
  <c r="AH786" i="1"/>
  <c r="AC786" i="1"/>
  <c r="AB786" i="1"/>
  <c r="AA786" i="1"/>
  <c r="Z786" i="1"/>
  <c r="W786" i="1"/>
  <c r="X786" i="1" s="1"/>
  <c r="Y786" i="1" s="1"/>
  <c r="V786" i="1"/>
  <c r="AQ785" i="1"/>
  <c r="AP785" i="1"/>
  <c r="AO785" i="1"/>
  <c r="AN785" i="1"/>
  <c r="AM785" i="1"/>
  <c r="AL785" i="1"/>
  <c r="AK785" i="1"/>
  <c r="AJ785" i="1"/>
  <c r="AI785" i="1"/>
  <c r="AH785" i="1"/>
  <c r="AC785" i="1"/>
  <c r="AB785" i="1"/>
  <c r="AA785" i="1"/>
  <c r="Z785" i="1"/>
  <c r="W785" i="1"/>
  <c r="X785" i="1" s="1"/>
  <c r="Y785" i="1" s="1"/>
  <c r="V785" i="1"/>
  <c r="AQ784" i="1"/>
  <c r="AP784" i="1"/>
  <c r="AO784" i="1"/>
  <c r="AN784" i="1"/>
  <c r="AM784" i="1"/>
  <c r="AL784" i="1"/>
  <c r="AK784" i="1"/>
  <c r="AJ784" i="1"/>
  <c r="AI784" i="1"/>
  <c r="AH784" i="1"/>
  <c r="AC784" i="1"/>
  <c r="AB784" i="1"/>
  <c r="AA784" i="1"/>
  <c r="Z784" i="1"/>
  <c r="W784" i="1"/>
  <c r="X784" i="1" s="1"/>
  <c r="Y784" i="1" s="1"/>
  <c r="V784" i="1"/>
  <c r="AQ783" i="1"/>
  <c r="AP783" i="1"/>
  <c r="AO783" i="1"/>
  <c r="AN783" i="1"/>
  <c r="AM783" i="1"/>
  <c r="AL783" i="1"/>
  <c r="AK783" i="1"/>
  <c r="AJ783" i="1"/>
  <c r="AI783" i="1"/>
  <c r="AH783" i="1"/>
  <c r="AC783" i="1"/>
  <c r="AB783" i="1"/>
  <c r="AA783" i="1"/>
  <c r="Z783" i="1"/>
  <c r="W783" i="1"/>
  <c r="X783" i="1" s="1"/>
  <c r="Y783" i="1" s="1"/>
  <c r="V783" i="1"/>
  <c r="AQ782" i="1"/>
  <c r="AP782" i="1"/>
  <c r="AO782" i="1"/>
  <c r="AN782" i="1"/>
  <c r="AM782" i="1"/>
  <c r="AL782" i="1"/>
  <c r="AK782" i="1"/>
  <c r="AJ782" i="1"/>
  <c r="AI782" i="1"/>
  <c r="AH782" i="1"/>
  <c r="AC782" i="1"/>
  <c r="AB782" i="1"/>
  <c r="AA782" i="1"/>
  <c r="Z782" i="1"/>
  <c r="W782" i="1"/>
  <c r="X782" i="1" s="1"/>
  <c r="Y782" i="1" s="1"/>
  <c r="V782" i="1"/>
  <c r="AQ781" i="1"/>
  <c r="AP781" i="1"/>
  <c r="AO781" i="1"/>
  <c r="AN781" i="1"/>
  <c r="AM781" i="1"/>
  <c r="AL781" i="1"/>
  <c r="AK781" i="1"/>
  <c r="AJ781" i="1"/>
  <c r="AI781" i="1"/>
  <c r="AH781" i="1"/>
  <c r="AC781" i="1"/>
  <c r="AB781" i="1"/>
  <c r="AA781" i="1"/>
  <c r="Z781" i="1"/>
  <c r="W781" i="1"/>
  <c r="X781" i="1" s="1"/>
  <c r="Y781" i="1" s="1"/>
  <c r="V781" i="1"/>
  <c r="AQ780" i="1"/>
  <c r="AP780" i="1"/>
  <c r="AO780" i="1"/>
  <c r="AN780" i="1"/>
  <c r="AM780" i="1"/>
  <c r="AL780" i="1"/>
  <c r="AK780" i="1"/>
  <c r="AJ780" i="1"/>
  <c r="AI780" i="1"/>
  <c r="AH780" i="1"/>
  <c r="AC780" i="1"/>
  <c r="AB780" i="1"/>
  <c r="AA780" i="1"/>
  <c r="Z780" i="1"/>
  <c r="W780" i="1"/>
  <c r="X780" i="1" s="1"/>
  <c r="Y780" i="1" s="1"/>
  <c r="V780" i="1"/>
  <c r="AQ779" i="1"/>
  <c r="AP779" i="1"/>
  <c r="AO779" i="1"/>
  <c r="AN779" i="1"/>
  <c r="AM779" i="1"/>
  <c r="AL779" i="1"/>
  <c r="AK779" i="1"/>
  <c r="AJ779" i="1"/>
  <c r="AI779" i="1"/>
  <c r="AH779" i="1"/>
  <c r="AC779" i="1"/>
  <c r="AB779" i="1"/>
  <c r="AA779" i="1"/>
  <c r="Z779" i="1"/>
  <c r="W779" i="1"/>
  <c r="X779" i="1" s="1"/>
  <c r="Y779" i="1" s="1"/>
  <c r="V779" i="1"/>
  <c r="AQ778" i="1"/>
  <c r="AP778" i="1"/>
  <c r="AO778" i="1"/>
  <c r="AN778" i="1"/>
  <c r="AM778" i="1"/>
  <c r="AL778" i="1"/>
  <c r="AK778" i="1"/>
  <c r="AJ778" i="1"/>
  <c r="AI778" i="1"/>
  <c r="AH778" i="1"/>
  <c r="AC778" i="1"/>
  <c r="AB778" i="1"/>
  <c r="AA778" i="1"/>
  <c r="Z778" i="1"/>
  <c r="W778" i="1"/>
  <c r="X778" i="1" s="1"/>
  <c r="Y778" i="1" s="1"/>
  <c r="V778" i="1"/>
  <c r="AQ777" i="1"/>
  <c r="AP777" i="1"/>
  <c r="AO777" i="1"/>
  <c r="AN777" i="1"/>
  <c r="AM777" i="1"/>
  <c r="AL777" i="1"/>
  <c r="AK777" i="1"/>
  <c r="AJ777" i="1"/>
  <c r="AI777" i="1"/>
  <c r="AH777" i="1"/>
  <c r="AC777" i="1"/>
  <c r="AB777" i="1"/>
  <c r="AA777" i="1"/>
  <c r="Z777" i="1"/>
  <c r="W777" i="1"/>
  <c r="X777" i="1" s="1"/>
  <c r="Y777" i="1" s="1"/>
  <c r="V777" i="1"/>
  <c r="AQ776" i="1"/>
  <c r="AP776" i="1"/>
  <c r="AN776" i="1"/>
  <c r="AM776" i="1"/>
  <c r="AL776" i="1"/>
  <c r="AK776" i="1"/>
  <c r="AJ776" i="1"/>
  <c r="AI776" i="1"/>
  <c r="AH776" i="1"/>
  <c r="AC776" i="1"/>
  <c r="AB776" i="1"/>
  <c r="AA776" i="1"/>
  <c r="Z776" i="1"/>
  <c r="W776" i="1"/>
  <c r="X776" i="1" s="1"/>
  <c r="Y776" i="1" s="1"/>
  <c r="V776" i="1"/>
  <c r="AQ775" i="1"/>
  <c r="AP775" i="1"/>
  <c r="AN775" i="1"/>
  <c r="AM775" i="1"/>
  <c r="AL775" i="1"/>
  <c r="AK775" i="1"/>
  <c r="AJ775" i="1"/>
  <c r="AI775" i="1"/>
  <c r="AH775" i="1"/>
  <c r="AC775" i="1"/>
  <c r="AB775" i="1"/>
  <c r="AA775" i="1"/>
  <c r="Z775" i="1"/>
  <c r="W775" i="1"/>
  <c r="X775" i="1" s="1"/>
  <c r="Y775" i="1" s="1"/>
  <c r="V775" i="1"/>
  <c r="AQ774" i="1"/>
  <c r="AP774" i="1"/>
  <c r="AO774" i="1"/>
  <c r="AN774" i="1"/>
  <c r="AM774" i="1"/>
  <c r="AL774" i="1"/>
  <c r="AK774" i="1"/>
  <c r="AJ774" i="1"/>
  <c r="AI774" i="1"/>
  <c r="AH774" i="1"/>
  <c r="AC774" i="1"/>
  <c r="AB774" i="1"/>
  <c r="AA774" i="1"/>
  <c r="Z774" i="1"/>
  <c r="W774" i="1"/>
  <c r="X774" i="1" s="1"/>
  <c r="Y774" i="1" s="1"/>
  <c r="V774" i="1"/>
  <c r="AQ773" i="1"/>
  <c r="AP773" i="1"/>
  <c r="AO773" i="1"/>
  <c r="AN773" i="1"/>
  <c r="AM773" i="1"/>
  <c r="AL773" i="1"/>
  <c r="AK773" i="1"/>
  <c r="AJ773" i="1"/>
  <c r="AI773" i="1"/>
  <c r="AH773" i="1"/>
  <c r="AC773" i="1"/>
  <c r="AB773" i="1"/>
  <c r="AA773" i="1"/>
  <c r="Z773" i="1"/>
  <c r="W773" i="1"/>
  <c r="X773" i="1" s="1"/>
  <c r="Y773" i="1" s="1"/>
  <c r="V773" i="1"/>
  <c r="AQ772" i="1"/>
  <c r="AP772" i="1"/>
  <c r="AO772" i="1"/>
  <c r="AN772" i="1"/>
  <c r="AM772" i="1"/>
  <c r="AL772" i="1"/>
  <c r="AK772" i="1"/>
  <c r="AJ772" i="1"/>
  <c r="AI772" i="1"/>
  <c r="AH772" i="1"/>
  <c r="AC772" i="1"/>
  <c r="AB772" i="1"/>
  <c r="AA772" i="1"/>
  <c r="Z772" i="1"/>
  <c r="W772" i="1"/>
  <c r="X772" i="1" s="1"/>
  <c r="Y772" i="1" s="1"/>
  <c r="V772" i="1"/>
  <c r="AQ771" i="1"/>
  <c r="AP771" i="1"/>
  <c r="AO771" i="1"/>
  <c r="AN771" i="1"/>
  <c r="AM771" i="1"/>
  <c r="AL771" i="1"/>
  <c r="AK771" i="1"/>
  <c r="AJ771" i="1"/>
  <c r="AI771" i="1"/>
  <c r="AH771" i="1"/>
  <c r="AC771" i="1"/>
  <c r="AB771" i="1"/>
  <c r="AA771" i="1"/>
  <c r="Z771" i="1"/>
  <c r="W771" i="1"/>
  <c r="X771" i="1" s="1"/>
  <c r="Y771" i="1" s="1"/>
  <c r="V771" i="1"/>
  <c r="AQ770" i="1"/>
  <c r="AP770" i="1"/>
  <c r="AO770" i="1"/>
  <c r="AN770" i="1"/>
  <c r="AM770" i="1"/>
  <c r="AL770" i="1"/>
  <c r="AK770" i="1"/>
  <c r="AJ770" i="1"/>
  <c r="AI770" i="1"/>
  <c r="AH770" i="1"/>
  <c r="AC770" i="1"/>
  <c r="AB770" i="1"/>
  <c r="AA770" i="1"/>
  <c r="Z770" i="1"/>
  <c r="W770" i="1"/>
  <c r="X770" i="1" s="1"/>
  <c r="Y770" i="1" s="1"/>
  <c r="V770" i="1"/>
  <c r="AQ769" i="1"/>
  <c r="AP769" i="1"/>
  <c r="AO769" i="1"/>
  <c r="AN769" i="1"/>
  <c r="AM769" i="1"/>
  <c r="AL769" i="1"/>
  <c r="AK769" i="1"/>
  <c r="AJ769" i="1"/>
  <c r="AI769" i="1"/>
  <c r="AH769" i="1"/>
  <c r="AC769" i="1"/>
  <c r="AB769" i="1"/>
  <c r="AA769" i="1"/>
  <c r="Z769" i="1"/>
  <c r="W769" i="1"/>
  <c r="X769" i="1" s="1"/>
  <c r="Y769" i="1" s="1"/>
  <c r="V769" i="1"/>
  <c r="AQ768" i="1"/>
  <c r="AP768" i="1"/>
  <c r="AO768" i="1"/>
  <c r="AN768" i="1"/>
  <c r="AM768" i="1"/>
  <c r="AL768" i="1"/>
  <c r="AK768" i="1"/>
  <c r="AJ768" i="1"/>
  <c r="AI768" i="1"/>
  <c r="AH768" i="1"/>
  <c r="AC768" i="1"/>
  <c r="AB768" i="1"/>
  <c r="AA768" i="1"/>
  <c r="Z768" i="1"/>
  <c r="W768" i="1"/>
  <c r="X768" i="1" s="1"/>
  <c r="Y768" i="1" s="1"/>
  <c r="V768" i="1"/>
  <c r="AQ767" i="1"/>
  <c r="AP767" i="1"/>
  <c r="AO767" i="1"/>
  <c r="AN767" i="1"/>
  <c r="AM767" i="1"/>
  <c r="AL767" i="1"/>
  <c r="AK767" i="1"/>
  <c r="AJ767" i="1"/>
  <c r="AI767" i="1"/>
  <c r="AH767" i="1"/>
  <c r="AC767" i="1"/>
  <c r="AB767" i="1"/>
  <c r="AA767" i="1"/>
  <c r="Z767" i="1"/>
  <c r="W767" i="1"/>
  <c r="X767" i="1" s="1"/>
  <c r="Y767" i="1" s="1"/>
  <c r="V767" i="1"/>
  <c r="AQ766" i="1"/>
  <c r="AP766" i="1"/>
  <c r="AO766" i="1"/>
  <c r="AN766" i="1"/>
  <c r="AM766" i="1"/>
  <c r="AL766" i="1"/>
  <c r="AK766" i="1"/>
  <c r="AJ766" i="1"/>
  <c r="AI766" i="1"/>
  <c r="AH766" i="1"/>
  <c r="AC766" i="1"/>
  <c r="AB766" i="1"/>
  <c r="AA766" i="1"/>
  <c r="Z766" i="1"/>
  <c r="W766" i="1"/>
  <c r="X766" i="1" s="1"/>
  <c r="Y766" i="1" s="1"/>
  <c r="V766" i="1"/>
  <c r="AQ765" i="1"/>
  <c r="AP765" i="1"/>
  <c r="AO765" i="1"/>
  <c r="AN765" i="1"/>
  <c r="AM765" i="1"/>
  <c r="AL765" i="1"/>
  <c r="AK765" i="1"/>
  <c r="AJ765" i="1"/>
  <c r="AI765" i="1"/>
  <c r="AH765" i="1"/>
  <c r="AC765" i="1"/>
  <c r="AB765" i="1"/>
  <c r="AA765" i="1"/>
  <c r="Z765" i="1"/>
  <c r="W765" i="1"/>
  <c r="X765" i="1" s="1"/>
  <c r="Y765" i="1" s="1"/>
  <c r="V765" i="1"/>
  <c r="AQ764" i="1"/>
  <c r="AP764" i="1"/>
  <c r="AO764" i="1"/>
  <c r="AN764" i="1"/>
  <c r="AM764" i="1"/>
  <c r="AL764" i="1"/>
  <c r="AK764" i="1"/>
  <c r="AJ764" i="1"/>
  <c r="AI764" i="1"/>
  <c r="AH764" i="1"/>
  <c r="AC764" i="1"/>
  <c r="AB764" i="1"/>
  <c r="AA764" i="1"/>
  <c r="Z764" i="1"/>
  <c r="W764" i="1"/>
  <c r="X764" i="1" s="1"/>
  <c r="Y764" i="1" s="1"/>
  <c r="V764" i="1"/>
  <c r="AQ763" i="1"/>
  <c r="AP763" i="1"/>
  <c r="AO763" i="1"/>
  <c r="AN763" i="1"/>
  <c r="AM763" i="1"/>
  <c r="AL763" i="1"/>
  <c r="AK763" i="1"/>
  <c r="AJ763" i="1"/>
  <c r="AI763" i="1"/>
  <c r="AH763" i="1"/>
  <c r="AC763" i="1"/>
  <c r="AB763" i="1"/>
  <c r="AA763" i="1"/>
  <c r="Z763" i="1"/>
  <c r="W763" i="1"/>
  <c r="X763" i="1" s="1"/>
  <c r="Y763" i="1" s="1"/>
  <c r="V763" i="1"/>
  <c r="AQ762" i="1"/>
  <c r="AP762" i="1"/>
  <c r="AO762" i="1"/>
  <c r="AN762" i="1"/>
  <c r="AM762" i="1"/>
  <c r="AL762" i="1"/>
  <c r="AK762" i="1"/>
  <c r="AJ762" i="1"/>
  <c r="AI762" i="1"/>
  <c r="AH762" i="1"/>
  <c r="AC762" i="1"/>
  <c r="AB762" i="1"/>
  <c r="AA762" i="1"/>
  <c r="Z762" i="1"/>
  <c r="W762" i="1"/>
  <c r="X762" i="1" s="1"/>
  <c r="Y762" i="1" s="1"/>
  <c r="V762" i="1"/>
  <c r="AQ761" i="1"/>
  <c r="AP761" i="1"/>
  <c r="AO761" i="1"/>
  <c r="AN761" i="1"/>
  <c r="AM761" i="1"/>
  <c r="AL761" i="1"/>
  <c r="AK761" i="1"/>
  <c r="AJ761" i="1"/>
  <c r="AI761" i="1"/>
  <c r="AH761" i="1"/>
  <c r="AC761" i="1"/>
  <c r="AB761" i="1"/>
  <c r="AA761" i="1"/>
  <c r="Z761" i="1"/>
  <c r="W761" i="1"/>
  <c r="X761" i="1" s="1"/>
  <c r="Y761" i="1" s="1"/>
  <c r="V761" i="1"/>
  <c r="AQ760" i="1"/>
  <c r="AP760" i="1"/>
  <c r="AO760" i="1"/>
  <c r="AN760" i="1"/>
  <c r="AM760" i="1"/>
  <c r="AL760" i="1"/>
  <c r="AK760" i="1"/>
  <c r="AJ760" i="1"/>
  <c r="AI760" i="1"/>
  <c r="AH760" i="1"/>
  <c r="AC760" i="1"/>
  <c r="AB760" i="1"/>
  <c r="AA760" i="1"/>
  <c r="Z760" i="1"/>
  <c r="W760" i="1"/>
  <c r="X760" i="1" s="1"/>
  <c r="Y760" i="1" s="1"/>
  <c r="V760" i="1"/>
  <c r="AQ759" i="1"/>
  <c r="AP759" i="1"/>
  <c r="AO759" i="1"/>
  <c r="AN759" i="1"/>
  <c r="AM759" i="1"/>
  <c r="AL759" i="1"/>
  <c r="AK759" i="1"/>
  <c r="AJ759" i="1"/>
  <c r="AI759" i="1"/>
  <c r="AH759" i="1"/>
  <c r="AC759" i="1"/>
  <c r="AB759" i="1"/>
  <c r="AA759" i="1"/>
  <c r="Z759" i="1"/>
  <c r="W759" i="1"/>
  <c r="X759" i="1" s="1"/>
  <c r="Y759" i="1" s="1"/>
  <c r="V759" i="1"/>
  <c r="AQ758" i="1"/>
  <c r="AP758" i="1"/>
  <c r="AO758" i="1"/>
  <c r="AN758" i="1"/>
  <c r="AM758" i="1"/>
  <c r="AL758" i="1"/>
  <c r="AK758" i="1"/>
  <c r="AJ758" i="1"/>
  <c r="AI758" i="1"/>
  <c r="AH758" i="1"/>
  <c r="AC758" i="1"/>
  <c r="AB758" i="1"/>
  <c r="AA758" i="1"/>
  <c r="Z758" i="1"/>
  <c r="W758" i="1"/>
  <c r="X758" i="1" s="1"/>
  <c r="Y758" i="1" s="1"/>
  <c r="V758" i="1"/>
  <c r="AQ757" i="1"/>
  <c r="AP757" i="1"/>
  <c r="AO757" i="1"/>
  <c r="AN757" i="1"/>
  <c r="AM757" i="1"/>
  <c r="AL757" i="1"/>
  <c r="AK757" i="1"/>
  <c r="AJ757" i="1"/>
  <c r="AI757" i="1"/>
  <c r="AH757" i="1"/>
  <c r="AC757" i="1"/>
  <c r="AB757" i="1"/>
  <c r="AA757" i="1"/>
  <c r="Z757" i="1"/>
  <c r="W757" i="1"/>
  <c r="X757" i="1" s="1"/>
  <c r="Y757" i="1" s="1"/>
  <c r="V757" i="1"/>
  <c r="AQ756" i="1"/>
  <c r="AP756" i="1"/>
  <c r="AO756" i="1"/>
  <c r="AN756" i="1"/>
  <c r="AM756" i="1"/>
  <c r="AL756" i="1"/>
  <c r="AK756" i="1"/>
  <c r="AJ756" i="1"/>
  <c r="AI756" i="1"/>
  <c r="AH756" i="1"/>
  <c r="AC756" i="1"/>
  <c r="AB756" i="1"/>
  <c r="AA756" i="1"/>
  <c r="Z756" i="1"/>
  <c r="W756" i="1"/>
  <c r="X756" i="1" s="1"/>
  <c r="Y756" i="1" s="1"/>
  <c r="V756" i="1"/>
  <c r="AQ755" i="1"/>
  <c r="AP755" i="1"/>
  <c r="AO755" i="1"/>
  <c r="AN755" i="1"/>
  <c r="AM755" i="1"/>
  <c r="AL755" i="1"/>
  <c r="AK755" i="1"/>
  <c r="AJ755" i="1"/>
  <c r="AI755" i="1"/>
  <c r="AH755" i="1"/>
  <c r="AC755" i="1"/>
  <c r="AB755" i="1"/>
  <c r="AA755" i="1"/>
  <c r="Z755" i="1"/>
  <c r="W755" i="1"/>
  <c r="X755" i="1" s="1"/>
  <c r="Y755" i="1" s="1"/>
  <c r="V755" i="1"/>
  <c r="AQ754" i="1"/>
  <c r="AP754" i="1"/>
  <c r="AO754" i="1"/>
  <c r="AN754" i="1"/>
  <c r="AM754" i="1"/>
  <c r="AL754" i="1"/>
  <c r="AK754" i="1"/>
  <c r="AJ754" i="1"/>
  <c r="AI754" i="1"/>
  <c r="AH754" i="1"/>
  <c r="AC754" i="1"/>
  <c r="AB754" i="1"/>
  <c r="AA754" i="1"/>
  <c r="Z754" i="1"/>
  <c r="W754" i="1"/>
  <c r="X754" i="1" s="1"/>
  <c r="Y754" i="1" s="1"/>
  <c r="V754" i="1"/>
  <c r="AQ753" i="1"/>
  <c r="AP753" i="1"/>
  <c r="AN753" i="1"/>
  <c r="AM753" i="1"/>
  <c r="AL753" i="1"/>
  <c r="AK753" i="1"/>
  <c r="AI753" i="1"/>
  <c r="AH753" i="1"/>
  <c r="AC753" i="1"/>
  <c r="AB753" i="1"/>
  <c r="AA753" i="1"/>
  <c r="Z753" i="1"/>
  <c r="W753" i="1"/>
  <c r="X753" i="1" s="1"/>
  <c r="Y753" i="1" s="1"/>
  <c r="V753" i="1"/>
  <c r="AQ752" i="1"/>
  <c r="AP752" i="1"/>
  <c r="AO752" i="1"/>
  <c r="AN752" i="1"/>
  <c r="AM752" i="1"/>
  <c r="AL752" i="1"/>
  <c r="AK752" i="1"/>
  <c r="AJ752" i="1"/>
  <c r="AI752" i="1"/>
  <c r="AH752" i="1"/>
  <c r="AC752" i="1"/>
  <c r="AB752" i="1"/>
  <c r="AA752" i="1"/>
  <c r="Z752" i="1"/>
  <c r="W752" i="1"/>
  <c r="X752" i="1" s="1"/>
  <c r="Y752" i="1" s="1"/>
  <c r="V752" i="1"/>
  <c r="AQ751" i="1"/>
  <c r="AP751" i="1"/>
  <c r="AO751" i="1"/>
  <c r="AN751" i="1"/>
  <c r="AM751" i="1"/>
  <c r="AL751" i="1"/>
  <c r="AK751" i="1"/>
  <c r="AJ751" i="1"/>
  <c r="AI751" i="1"/>
  <c r="AH751" i="1"/>
  <c r="AC751" i="1"/>
  <c r="AB751" i="1"/>
  <c r="AA751" i="1"/>
  <c r="Z751" i="1"/>
  <c r="W751" i="1"/>
  <c r="X751" i="1" s="1"/>
  <c r="Y751" i="1" s="1"/>
  <c r="V751" i="1"/>
  <c r="AQ750" i="1"/>
  <c r="AP750" i="1"/>
  <c r="AO750" i="1"/>
  <c r="AN750" i="1"/>
  <c r="AM750" i="1"/>
  <c r="AL750" i="1"/>
  <c r="AK750" i="1"/>
  <c r="AJ750" i="1"/>
  <c r="AI750" i="1"/>
  <c r="AH750" i="1"/>
  <c r="AC750" i="1"/>
  <c r="AB750" i="1"/>
  <c r="AA750" i="1"/>
  <c r="Z750" i="1"/>
  <c r="W750" i="1"/>
  <c r="X750" i="1" s="1"/>
  <c r="Y750" i="1" s="1"/>
  <c r="V750" i="1"/>
  <c r="AQ749" i="1"/>
  <c r="AP749" i="1"/>
  <c r="AO749" i="1"/>
  <c r="AN749" i="1"/>
  <c r="AM749" i="1"/>
  <c r="AL749" i="1"/>
  <c r="AK749" i="1"/>
  <c r="AJ749" i="1"/>
  <c r="AI749" i="1"/>
  <c r="AH749" i="1"/>
  <c r="AC749" i="1"/>
  <c r="AB749" i="1"/>
  <c r="AA749" i="1"/>
  <c r="Z749" i="1"/>
  <c r="W749" i="1"/>
  <c r="X749" i="1" s="1"/>
  <c r="Y749" i="1" s="1"/>
  <c r="V749" i="1"/>
  <c r="AQ748" i="1"/>
  <c r="AP748" i="1"/>
  <c r="AO748" i="1"/>
  <c r="AN748" i="1"/>
  <c r="AM748" i="1"/>
  <c r="AL748" i="1"/>
  <c r="AK748" i="1"/>
  <c r="AJ748" i="1"/>
  <c r="AI748" i="1"/>
  <c r="AH748" i="1"/>
  <c r="AC748" i="1"/>
  <c r="AB748" i="1"/>
  <c r="AA748" i="1"/>
  <c r="Z748" i="1"/>
  <c r="W748" i="1"/>
  <c r="X748" i="1" s="1"/>
  <c r="Y748" i="1" s="1"/>
  <c r="V748" i="1"/>
  <c r="AQ747" i="1"/>
  <c r="AP747" i="1"/>
  <c r="AO747" i="1"/>
  <c r="AN747" i="1"/>
  <c r="AM747" i="1"/>
  <c r="AL747" i="1"/>
  <c r="AK747" i="1"/>
  <c r="AJ747" i="1"/>
  <c r="AI747" i="1"/>
  <c r="AH747" i="1"/>
  <c r="AC747" i="1"/>
  <c r="AB747" i="1"/>
  <c r="AA747" i="1"/>
  <c r="Z747" i="1"/>
  <c r="W747" i="1"/>
  <c r="X747" i="1" s="1"/>
  <c r="Y747" i="1" s="1"/>
  <c r="V747" i="1"/>
  <c r="AQ746" i="1"/>
  <c r="AP746" i="1"/>
  <c r="AO746" i="1"/>
  <c r="AN746" i="1"/>
  <c r="AM746" i="1"/>
  <c r="AL746" i="1"/>
  <c r="AK746" i="1"/>
  <c r="AJ746" i="1"/>
  <c r="AI746" i="1"/>
  <c r="AH746" i="1"/>
  <c r="AC746" i="1"/>
  <c r="AB746" i="1"/>
  <c r="AA746" i="1"/>
  <c r="Z746" i="1"/>
  <c r="W746" i="1"/>
  <c r="X746" i="1" s="1"/>
  <c r="Y746" i="1" s="1"/>
  <c r="V746" i="1"/>
  <c r="AQ745" i="1"/>
  <c r="AP745" i="1"/>
  <c r="AO745" i="1"/>
  <c r="AN745" i="1"/>
  <c r="AM745" i="1"/>
  <c r="AL745" i="1"/>
  <c r="AK745" i="1"/>
  <c r="AJ745" i="1"/>
  <c r="AI745" i="1"/>
  <c r="AH745" i="1"/>
  <c r="AC745" i="1"/>
  <c r="AB745" i="1"/>
  <c r="AA745" i="1"/>
  <c r="Z745" i="1"/>
  <c r="W745" i="1"/>
  <c r="X745" i="1" s="1"/>
  <c r="Y745" i="1" s="1"/>
  <c r="V745" i="1"/>
  <c r="AQ744" i="1"/>
  <c r="AP744" i="1"/>
  <c r="AO744" i="1"/>
  <c r="AN744" i="1"/>
  <c r="AM744" i="1"/>
  <c r="AL744" i="1"/>
  <c r="AK744" i="1"/>
  <c r="AJ744" i="1"/>
  <c r="AI744" i="1"/>
  <c r="AH744" i="1"/>
  <c r="AC744" i="1"/>
  <c r="AB744" i="1"/>
  <c r="AA744" i="1"/>
  <c r="Z744" i="1"/>
  <c r="W744" i="1"/>
  <c r="X744" i="1" s="1"/>
  <c r="Y744" i="1" s="1"/>
  <c r="V744" i="1"/>
  <c r="AQ743" i="1"/>
  <c r="AP743" i="1"/>
  <c r="AO743" i="1"/>
  <c r="AN743" i="1"/>
  <c r="AM743" i="1"/>
  <c r="AL743" i="1"/>
  <c r="AK743" i="1"/>
  <c r="AJ743" i="1"/>
  <c r="AI743" i="1"/>
  <c r="AH743" i="1"/>
  <c r="AC743" i="1"/>
  <c r="AB743" i="1"/>
  <c r="AA743" i="1"/>
  <c r="Z743" i="1"/>
  <c r="W743" i="1"/>
  <c r="X743" i="1" s="1"/>
  <c r="Y743" i="1" s="1"/>
  <c r="V743" i="1"/>
  <c r="AQ742" i="1"/>
  <c r="AP742" i="1"/>
  <c r="AO742" i="1"/>
  <c r="AN742" i="1"/>
  <c r="AM742" i="1"/>
  <c r="AL742" i="1"/>
  <c r="AK742" i="1"/>
  <c r="AJ742" i="1"/>
  <c r="AI742" i="1"/>
  <c r="AH742" i="1"/>
  <c r="AC742" i="1"/>
  <c r="AB742" i="1"/>
  <c r="AA742" i="1"/>
  <c r="Z742" i="1"/>
  <c r="W742" i="1"/>
  <c r="X742" i="1" s="1"/>
  <c r="Y742" i="1" s="1"/>
  <c r="V742" i="1"/>
  <c r="AQ741" i="1"/>
  <c r="AP741" i="1"/>
  <c r="AO741" i="1"/>
  <c r="AN741" i="1"/>
  <c r="AM741" i="1"/>
  <c r="AL741" i="1"/>
  <c r="AK741" i="1"/>
  <c r="AJ741" i="1"/>
  <c r="AI741" i="1"/>
  <c r="AH741" i="1"/>
  <c r="AC741" i="1"/>
  <c r="AB741" i="1"/>
  <c r="AA741" i="1"/>
  <c r="Z741" i="1"/>
  <c r="W741" i="1"/>
  <c r="X741" i="1" s="1"/>
  <c r="Y741" i="1" s="1"/>
  <c r="V741" i="1"/>
  <c r="AQ740" i="1"/>
  <c r="AP740" i="1"/>
  <c r="AO740" i="1"/>
  <c r="AN740" i="1"/>
  <c r="AM740" i="1"/>
  <c r="AL740" i="1"/>
  <c r="AK740" i="1"/>
  <c r="AJ740" i="1"/>
  <c r="AI740" i="1"/>
  <c r="AH740" i="1"/>
  <c r="AC740" i="1"/>
  <c r="AB740" i="1"/>
  <c r="AA740" i="1"/>
  <c r="Z740" i="1"/>
  <c r="W740" i="1"/>
  <c r="X740" i="1" s="1"/>
  <c r="Y740" i="1" s="1"/>
  <c r="V740" i="1"/>
  <c r="AQ739" i="1"/>
  <c r="AP739" i="1"/>
  <c r="AO739" i="1"/>
  <c r="AN739" i="1"/>
  <c r="AM739" i="1"/>
  <c r="AL739" i="1"/>
  <c r="AK739" i="1"/>
  <c r="AJ739" i="1"/>
  <c r="AI739" i="1"/>
  <c r="AH739" i="1"/>
  <c r="AC739" i="1"/>
  <c r="AB739" i="1"/>
  <c r="AA739" i="1"/>
  <c r="Z739" i="1"/>
  <c r="W739" i="1"/>
  <c r="X739" i="1" s="1"/>
  <c r="Y739" i="1" s="1"/>
  <c r="V739" i="1"/>
  <c r="AQ738" i="1"/>
  <c r="AP738" i="1"/>
  <c r="AO738" i="1"/>
  <c r="AN738" i="1"/>
  <c r="AM738" i="1"/>
  <c r="AL738" i="1"/>
  <c r="AK738" i="1"/>
  <c r="AJ738" i="1"/>
  <c r="AI738" i="1"/>
  <c r="AH738" i="1"/>
  <c r="AC738" i="1"/>
  <c r="AB738" i="1"/>
  <c r="AA738" i="1"/>
  <c r="Z738" i="1"/>
  <c r="W738" i="1"/>
  <c r="X738" i="1" s="1"/>
  <c r="Y738" i="1" s="1"/>
  <c r="V738" i="1"/>
  <c r="AQ737" i="1"/>
  <c r="AP737" i="1"/>
  <c r="AO737" i="1"/>
  <c r="AN737" i="1"/>
  <c r="AM737" i="1"/>
  <c r="AL737" i="1"/>
  <c r="AK737" i="1"/>
  <c r="AJ737" i="1"/>
  <c r="AI737" i="1"/>
  <c r="AH737" i="1"/>
  <c r="AC737" i="1"/>
  <c r="AB737" i="1"/>
  <c r="AA737" i="1"/>
  <c r="Z737" i="1"/>
  <c r="W737" i="1"/>
  <c r="X737" i="1" s="1"/>
  <c r="Y737" i="1" s="1"/>
  <c r="V737" i="1"/>
  <c r="AQ736" i="1"/>
  <c r="AP736" i="1"/>
  <c r="AO736" i="1"/>
  <c r="AN736" i="1"/>
  <c r="AM736" i="1"/>
  <c r="AL736" i="1"/>
  <c r="AK736" i="1"/>
  <c r="AJ736" i="1"/>
  <c r="AI736" i="1"/>
  <c r="AH736" i="1"/>
  <c r="AC736" i="1"/>
  <c r="AB736" i="1"/>
  <c r="AA736" i="1"/>
  <c r="Z736" i="1"/>
  <c r="W736" i="1"/>
  <c r="X736" i="1" s="1"/>
  <c r="Y736" i="1" s="1"/>
  <c r="V736" i="1"/>
  <c r="AQ735" i="1"/>
  <c r="AP735" i="1"/>
  <c r="AO735" i="1"/>
  <c r="AN735" i="1"/>
  <c r="AM735" i="1"/>
  <c r="AL735" i="1"/>
  <c r="AK735" i="1"/>
  <c r="AJ735" i="1"/>
  <c r="AI735" i="1"/>
  <c r="AH735" i="1"/>
  <c r="AC735" i="1"/>
  <c r="AB735" i="1"/>
  <c r="AA735" i="1"/>
  <c r="Z735" i="1"/>
  <c r="W735" i="1"/>
  <c r="X735" i="1" s="1"/>
  <c r="Y735" i="1" s="1"/>
  <c r="V735" i="1"/>
  <c r="AQ734" i="1"/>
  <c r="AP734" i="1"/>
  <c r="AO734" i="1"/>
  <c r="AN734" i="1"/>
  <c r="AM734" i="1"/>
  <c r="AL734" i="1"/>
  <c r="AK734" i="1"/>
  <c r="AJ734" i="1"/>
  <c r="AI734" i="1"/>
  <c r="AH734" i="1"/>
  <c r="AC734" i="1"/>
  <c r="AB734" i="1"/>
  <c r="AA734" i="1"/>
  <c r="Z734" i="1"/>
  <c r="W734" i="1"/>
  <c r="X734" i="1" s="1"/>
  <c r="Y734" i="1" s="1"/>
  <c r="V734" i="1"/>
  <c r="AQ733" i="1"/>
  <c r="AP733" i="1"/>
  <c r="AO733" i="1"/>
  <c r="AN733" i="1"/>
  <c r="AM733" i="1"/>
  <c r="AL733" i="1"/>
  <c r="AK733" i="1"/>
  <c r="AJ733" i="1"/>
  <c r="AI733" i="1"/>
  <c r="AH733" i="1"/>
  <c r="AC733" i="1"/>
  <c r="AB733" i="1"/>
  <c r="AA733" i="1"/>
  <c r="Z733" i="1"/>
  <c r="W733" i="1"/>
  <c r="X733" i="1" s="1"/>
  <c r="Y733" i="1" s="1"/>
  <c r="V733" i="1"/>
  <c r="AQ732" i="1"/>
  <c r="AP732" i="1"/>
  <c r="AO732" i="1"/>
  <c r="AN732" i="1"/>
  <c r="AM732" i="1"/>
  <c r="AL732" i="1"/>
  <c r="AK732" i="1"/>
  <c r="AJ732" i="1"/>
  <c r="AI732" i="1"/>
  <c r="AH732" i="1"/>
  <c r="AC732" i="1"/>
  <c r="AB732" i="1"/>
  <c r="AA732" i="1"/>
  <c r="Z732" i="1"/>
  <c r="W732" i="1"/>
  <c r="X732" i="1" s="1"/>
  <c r="Y732" i="1" s="1"/>
  <c r="V732" i="1"/>
  <c r="AQ731" i="1"/>
  <c r="AP731" i="1"/>
  <c r="AO731" i="1"/>
  <c r="AN731" i="1"/>
  <c r="AM731" i="1"/>
  <c r="AL731" i="1"/>
  <c r="AK731" i="1"/>
  <c r="AJ731" i="1"/>
  <c r="AI731" i="1"/>
  <c r="AH731" i="1"/>
  <c r="AC731" i="1"/>
  <c r="AB731" i="1"/>
  <c r="AA731" i="1"/>
  <c r="Z731" i="1"/>
  <c r="W731" i="1"/>
  <c r="X731" i="1" s="1"/>
  <c r="Y731" i="1" s="1"/>
  <c r="V731" i="1"/>
  <c r="AQ730" i="1"/>
  <c r="AP730" i="1"/>
  <c r="AO730" i="1"/>
  <c r="AN730" i="1"/>
  <c r="AM730" i="1"/>
  <c r="AL730" i="1"/>
  <c r="AK730" i="1"/>
  <c r="AJ730" i="1"/>
  <c r="AI730" i="1"/>
  <c r="AH730" i="1"/>
  <c r="AC730" i="1"/>
  <c r="AB730" i="1"/>
  <c r="AA730" i="1"/>
  <c r="Z730" i="1"/>
  <c r="W730" i="1"/>
  <c r="X730" i="1" s="1"/>
  <c r="Y730" i="1" s="1"/>
  <c r="V730" i="1"/>
  <c r="AQ729" i="1"/>
  <c r="AP729" i="1"/>
  <c r="AO729" i="1"/>
  <c r="AN729" i="1"/>
  <c r="AM729" i="1"/>
  <c r="AL729" i="1"/>
  <c r="AK729" i="1"/>
  <c r="AJ729" i="1"/>
  <c r="AI729" i="1"/>
  <c r="AH729" i="1"/>
  <c r="AC729" i="1"/>
  <c r="AB729" i="1"/>
  <c r="AA729" i="1"/>
  <c r="Z729" i="1"/>
  <c r="W729" i="1"/>
  <c r="X729" i="1" s="1"/>
  <c r="Y729" i="1" s="1"/>
  <c r="V729" i="1"/>
  <c r="AQ728" i="1"/>
  <c r="AP728" i="1"/>
  <c r="AO728" i="1"/>
  <c r="AN728" i="1"/>
  <c r="AM728" i="1"/>
  <c r="AL728" i="1"/>
  <c r="AK728" i="1"/>
  <c r="AJ728" i="1"/>
  <c r="AI728" i="1"/>
  <c r="AH728" i="1"/>
  <c r="AC728" i="1"/>
  <c r="AB728" i="1"/>
  <c r="AA728" i="1"/>
  <c r="Z728" i="1"/>
  <c r="W728" i="1"/>
  <c r="X728" i="1" s="1"/>
  <c r="Y728" i="1" s="1"/>
  <c r="V728" i="1"/>
  <c r="AQ727" i="1"/>
  <c r="AP727" i="1"/>
  <c r="AO727" i="1"/>
  <c r="AN727" i="1"/>
  <c r="AM727" i="1"/>
  <c r="AL727" i="1"/>
  <c r="AK727" i="1"/>
  <c r="AJ727" i="1"/>
  <c r="AI727" i="1"/>
  <c r="AH727" i="1"/>
  <c r="AC727" i="1"/>
  <c r="AB727" i="1"/>
  <c r="AA727" i="1"/>
  <c r="Z727" i="1"/>
  <c r="W727" i="1"/>
  <c r="X727" i="1" s="1"/>
  <c r="Y727" i="1" s="1"/>
  <c r="V727" i="1"/>
  <c r="AQ726" i="1"/>
  <c r="AP726" i="1"/>
  <c r="AO726" i="1"/>
  <c r="AN726" i="1"/>
  <c r="AM726" i="1"/>
  <c r="AL726" i="1"/>
  <c r="AK726" i="1"/>
  <c r="AJ726" i="1"/>
  <c r="AI726" i="1"/>
  <c r="AH726" i="1"/>
  <c r="AC726" i="1"/>
  <c r="AB726" i="1"/>
  <c r="AA726" i="1"/>
  <c r="Z726" i="1"/>
  <c r="W726" i="1"/>
  <c r="X726" i="1" s="1"/>
  <c r="Y726" i="1" s="1"/>
  <c r="V726" i="1"/>
  <c r="AQ725" i="1"/>
  <c r="AP725" i="1"/>
  <c r="AO725" i="1"/>
  <c r="AN725" i="1"/>
  <c r="AM725" i="1"/>
  <c r="AL725" i="1"/>
  <c r="AK725" i="1"/>
  <c r="AJ725" i="1"/>
  <c r="AI725" i="1"/>
  <c r="AH725" i="1"/>
  <c r="AC725" i="1"/>
  <c r="AB725" i="1"/>
  <c r="AA725" i="1"/>
  <c r="Z725" i="1"/>
  <c r="W725" i="1"/>
  <c r="X725" i="1" s="1"/>
  <c r="Y725" i="1" s="1"/>
  <c r="V725" i="1"/>
  <c r="AQ724" i="1"/>
  <c r="AP724" i="1"/>
  <c r="AO724" i="1"/>
  <c r="AN724" i="1"/>
  <c r="AM724" i="1"/>
  <c r="AL724" i="1"/>
  <c r="AK724" i="1"/>
  <c r="AJ724" i="1"/>
  <c r="AI724" i="1"/>
  <c r="AH724" i="1"/>
  <c r="AC724" i="1"/>
  <c r="AB724" i="1"/>
  <c r="AA724" i="1"/>
  <c r="Z724" i="1"/>
  <c r="W724" i="1"/>
  <c r="X724" i="1" s="1"/>
  <c r="Y724" i="1" s="1"/>
  <c r="V724" i="1"/>
  <c r="AQ723" i="1"/>
  <c r="AP723" i="1"/>
  <c r="AO723" i="1"/>
  <c r="AN723" i="1"/>
  <c r="AM723" i="1"/>
  <c r="AL723" i="1"/>
  <c r="AK723" i="1"/>
  <c r="AJ723" i="1"/>
  <c r="AI723" i="1"/>
  <c r="AH723" i="1"/>
  <c r="AC723" i="1"/>
  <c r="AB723" i="1"/>
  <c r="AA723" i="1"/>
  <c r="Z723" i="1"/>
  <c r="W723" i="1"/>
  <c r="X723" i="1" s="1"/>
  <c r="Y723" i="1" s="1"/>
  <c r="V723" i="1"/>
  <c r="AQ722" i="1"/>
  <c r="AP722" i="1"/>
  <c r="AO722" i="1"/>
  <c r="AN722" i="1"/>
  <c r="AM722" i="1"/>
  <c r="AL722" i="1"/>
  <c r="AK722" i="1"/>
  <c r="AJ722" i="1"/>
  <c r="AI722" i="1"/>
  <c r="AH722" i="1"/>
  <c r="AC722" i="1"/>
  <c r="AB722" i="1"/>
  <c r="AA722" i="1"/>
  <c r="Z722" i="1"/>
  <c r="W722" i="1"/>
  <c r="X722" i="1" s="1"/>
  <c r="Y722" i="1" s="1"/>
  <c r="V722" i="1"/>
  <c r="AQ721" i="1"/>
  <c r="AP721" i="1"/>
  <c r="AO721" i="1"/>
  <c r="AN721" i="1"/>
  <c r="AM721" i="1"/>
  <c r="AL721" i="1"/>
  <c r="AK721" i="1"/>
  <c r="AJ721" i="1"/>
  <c r="AI721" i="1"/>
  <c r="AH721" i="1"/>
  <c r="AC721" i="1"/>
  <c r="AB721" i="1"/>
  <c r="AA721" i="1"/>
  <c r="Z721" i="1"/>
  <c r="W721" i="1"/>
  <c r="X721" i="1" s="1"/>
  <c r="Y721" i="1" s="1"/>
  <c r="V721" i="1"/>
  <c r="AQ720" i="1"/>
  <c r="AP720" i="1"/>
  <c r="AO720" i="1"/>
  <c r="AN720" i="1"/>
  <c r="AM720" i="1"/>
  <c r="AL720" i="1"/>
  <c r="AK720" i="1"/>
  <c r="AJ720" i="1"/>
  <c r="AI720" i="1"/>
  <c r="AH720" i="1"/>
  <c r="AC720" i="1"/>
  <c r="AB720" i="1"/>
  <c r="AA720" i="1"/>
  <c r="Z720" i="1"/>
  <c r="W720" i="1"/>
  <c r="X720" i="1" s="1"/>
  <c r="Y720" i="1" s="1"/>
  <c r="V720" i="1"/>
  <c r="AQ719" i="1"/>
  <c r="AP719" i="1"/>
  <c r="AO719" i="1"/>
  <c r="AN719" i="1"/>
  <c r="AM719" i="1"/>
  <c r="AL719" i="1"/>
  <c r="AK719" i="1"/>
  <c r="AJ719" i="1"/>
  <c r="AI719" i="1"/>
  <c r="AH719" i="1"/>
  <c r="AC719" i="1"/>
  <c r="AB719" i="1"/>
  <c r="AA719" i="1"/>
  <c r="Z719" i="1"/>
  <c r="W719" i="1"/>
  <c r="X719" i="1" s="1"/>
  <c r="Y719" i="1" s="1"/>
  <c r="V719" i="1"/>
  <c r="AQ718" i="1"/>
  <c r="AP718" i="1"/>
  <c r="AO718" i="1"/>
  <c r="AN718" i="1"/>
  <c r="AM718" i="1"/>
  <c r="AL718" i="1"/>
  <c r="AK718" i="1"/>
  <c r="AJ718" i="1"/>
  <c r="AI718" i="1"/>
  <c r="AH718" i="1"/>
  <c r="AC718" i="1"/>
  <c r="AB718" i="1"/>
  <c r="AA718" i="1"/>
  <c r="Z718" i="1"/>
  <c r="W718" i="1"/>
  <c r="X718" i="1" s="1"/>
  <c r="Y718" i="1" s="1"/>
  <c r="V718" i="1"/>
  <c r="AQ717" i="1"/>
  <c r="AP717" i="1"/>
  <c r="AO717" i="1"/>
  <c r="AN717" i="1"/>
  <c r="AM717" i="1"/>
  <c r="AL717" i="1"/>
  <c r="AK717" i="1"/>
  <c r="AJ717" i="1"/>
  <c r="AI717" i="1"/>
  <c r="AH717" i="1"/>
  <c r="AC717" i="1"/>
  <c r="AB717" i="1"/>
  <c r="AA717" i="1"/>
  <c r="Z717" i="1"/>
  <c r="W717" i="1"/>
  <c r="X717" i="1" s="1"/>
  <c r="Y717" i="1" s="1"/>
  <c r="V717" i="1"/>
  <c r="AQ716" i="1"/>
  <c r="AP716" i="1"/>
  <c r="AO716" i="1"/>
  <c r="AN716" i="1"/>
  <c r="AM716" i="1"/>
  <c r="AL716" i="1"/>
  <c r="AK716" i="1"/>
  <c r="AJ716" i="1"/>
  <c r="AI716" i="1"/>
  <c r="AH716" i="1"/>
  <c r="AC716" i="1"/>
  <c r="AB716" i="1"/>
  <c r="AA716" i="1"/>
  <c r="Z716" i="1"/>
  <c r="W716" i="1"/>
  <c r="X716" i="1" s="1"/>
  <c r="Y716" i="1" s="1"/>
  <c r="V716" i="1"/>
  <c r="AQ715" i="1"/>
  <c r="AP715" i="1"/>
  <c r="AO715" i="1"/>
  <c r="AN715" i="1"/>
  <c r="AM715" i="1"/>
  <c r="AL715" i="1"/>
  <c r="AK715" i="1"/>
  <c r="AJ715" i="1"/>
  <c r="AI715" i="1"/>
  <c r="AH715" i="1"/>
  <c r="AC715" i="1"/>
  <c r="AB715" i="1"/>
  <c r="AA715" i="1"/>
  <c r="Z715" i="1"/>
  <c r="W715" i="1"/>
  <c r="X715" i="1" s="1"/>
  <c r="Y715" i="1" s="1"/>
  <c r="V715" i="1"/>
  <c r="AQ714" i="1"/>
  <c r="AP714" i="1"/>
  <c r="AO714" i="1"/>
  <c r="AN714" i="1"/>
  <c r="AM714" i="1"/>
  <c r="AL714" i="1"/>
  <c r="AK714" i="1"/>
  <c r="AJ714" i="1"/>
  <c r="AI714" i="1"/>
  <c r="AH714" i="1"/>
  <c r="AC714" i="1"/>
  <c r="AB714" i="1"/>
  <c r="AA714" i="1"/>
  <c r="Z714" i="1"/>
  <c r="W714" i="1"/>
  <c r="X714" i="1" s="1"/>
  <c r="Y714" i="1" s="1"/>
  <c r="V714" i="1"/>
  <c r="AQ713" i="1"/>
  <c r="AP713" i="1"/>
  <c r="AO713" i="1"/>
  <c r="AN713" i="1"/>
  <c r="AM713" i="1"/>
  <c r="AL713" i="1"/>
  <c r="AK713" i="1"/>
  <c r="AJ713" i="1"/>
  <c r="AI713" i="1"/>
  <c r="AH713" i="1"/>
  <c r="AC713" i="1"/>
  <c r="AB713" i="1"/>
  <c r="AA713" i="1"/>
  <c r="Z713" i="1"/>
  <c r="W713" i="1"/>
  <c r="X713" i="1" s="1"/>
  <c r="Y713" i="1" s="1"/>
  <c r="V713" i="1"/>
  <c r="AQ712" i="1"/>
  <c r="AP712" i="1"/>
  <c r="AO712" i="1"/>
  <c r="AN712" i="1"/>
  <c r="AM712" i="1"/>
  <c r="AL712" i="1"/>
  <c r="AK712" i="1"/>
  <c r="AJ712" i="1"/>
  <c r="AI712" i="1"/>
  <c r="AH712" i="1"/>
  <c r="AC712" i="1"/>
  <c r="AB712" i="1"/>
  <c r="AA712" i="1"/>
  <c r="Z712" i="1"/>
  <c r="W712" i="1"/>
  <c r="X712" i="1" s="1"/>
  <c r="Y712" i="1" s="1"/>
  <c r="V712" i="1"/>
  <c r="AQ711" i="1"/>
  <c r="AP711" i="1"/>
  <c r="AO711" i="1"/>
  <c r="AN711" i="1"/>
  <c r="AM711" i="1"/>
  <c r="AL711" i="1"/>
  <c r="AK711" i="1"/>
  <c r="AJ711" i="1"/>
  <c r="AI711" i="1"/>
  <c r="AH711" i="1"/>
  <c r="AC711" i="1"/>
  <c r="AB711" i="1"/>
  <c r="AA711" i="1"/>
  <c r="Z711" i="1"/>
  <c r="W711" i="1"/>
  <c r="X711" i="1" s="1"/>
  <c r="Y711" i="1" s="1"/>
  <c r="V711" i="1"/>
  <c r="AQ710" i="1"/>
  <c r="AP710" i="1"/>
  <c r="AO710" i="1"/>
  <c r="AN710" i="1"/>
  <c r="AM710" i="1"/>
  <c r="AL710" i="1"/>
  <c r="AK710" i="1"/>
  <c r="AJ710" i="1"/>
  <c r="AI710" i="1"/>
  <c r="AH710" i="1"/>
  <c r="AC710" i="1"/>
  <c r="AB710" i="1"/>
  <c r="AA710" i="1"/>
  <c r="Z710" i="1"/>
  <c r="W710" i="1"/>
  <c r="X710" i="1" s="1"/>
  <c r="Y710" i="1" s="1"/>
  <c r="V710" i="1"/>
  <c r="AQ709" i="1"/>
  <c r="AP709" i="1"/>
  <c r="AO709" i="1"/>
  <c r="AN709" i="1"/>
  <c r="AM709" i="1"/>
  <c r="AL709" i="1"/>
  <c r="AK709" i="1"/>
  <c r="AJ709" i="1"/>
  <c r="AI709" i="1"/>
  <c r="AH709" i="1"/>
  <c r="AC709" i="1"/>
  <c r="AB709" i="1"/>
  <c r="AA709" i="1"/>
  <c r="Z709" i="1"/>
  <c r="W709" i="1"/>
  <c r="X709" i="1" s="1"/>
  <c r="Y709" i="1" s="1"/>
  <c r="V709" i="1"/>
  <c r="AQ708" i="1"/>
  <c r="AP708" i="1"/>
  <c r="AO708" i="1"/>
  <c r="AN708" i="1"/>
  <c r="AM708" i="1"/>
  <c r="AL708" i="1"/>
  <c r="AK708" i="1"/>
  <c r="AJ708" i="1"/>
  <c r="AI708" i="1"/>
  <c r="AH708" i="1"/>
  <c r="AC708" i="1"/>
  <c r="AB708" i="1"/>
  <c r="AA708" i="1"/>
  <c r="Z708" i="1"/>
  <c r="W708" i="1"/>
  <c r="X708" i="1" s="1"/>
  <c r="Y708" i="1" s="1"/>
  <c r="V708" i="1"/>
  <c r="AQ707" i="1"/>
  <c r="AP707" i="1"/>
  <c r="AO707" i="1"/>
  <c r="AN707" i="1"/>
  <c r="AM707" i="1"/>
  <c r="AL707" i="1"/>
  <c r="AK707" i="1"/>
  <c r="AJ707" i="1"/>
  <c r="AI707" i="1"/>
  <c r="AH707" i="1"/>
  <c r="AC707" i="1"/>
  <c r="AB707" i="1"/>
  <c r="AA707" i="1"/>
  <c r="Z707" i="1"/>
  <c r="W707" i="1"/>
  <c r="X707" i="1" s="1"/>
  <c r="Y707" i="1" s="1"/>
  <c r="V707" i="1"/>
  <c r="AQ706" i="1"/>
  <c r="AP706" i="1"/>
  <c r="AN706" i="1"/>
  <c r="AM706" i="1"/>
  <c r="AL706" i="1"/>
  <c r="AK706" i="1"/>
  <c r="AJ706" i="1"/>
  <c r="AI706" i="1"/>
  <c r="AH706" i="1"/>
  <c r="AC706" i="1"/>
  <c r="AB706" i="1"/>
  <c r="AA706" i="1"/>
  <c r="Z706" i="1"/>
  <c r="W706" i="1"/>
  <c r="X706" i="1" s="1"/>
  <c r="Y706" i="1" s="1"/>
  <c r="V706" i="1"/>
  <c r="AQ705" i="1"/>
  <c r="AP705" i="1"/>
  <c r="AO705" i="1"/>
  <c r="AN705" i="1"/>
  <c r="AM705" i="1"/>
  <c r="AL705" i="1"/>
  <c r="AK705" i="1"/>
  <c r="AJ705" i="1"/>
  <c r="AI705" i="1"/>
  <c r="AH705" i="1"/>
  <c r="AC705" i="1"/>
  <c r="AB705" i="1"/>
  <c r="AA705" i="1"/>
  <c r="Z705" i="1"/>
  <c r="W705" i="1"/>
  <c r="X705" i="1" s="1"/>
  <c r="Y705" i="1" s="1"/>
  <c r="V705" i="1"/>
  <c r="AQ704" i="1"/>
  <c r="AP704" i="1"/>
  <c r="AO704" i="1"/>
  <c r="AN704" i="1"/>
  <c r="AM704" i="1"/>
  <c r="AL704" i="1"/>
  <c r="AK704" i="1"/>
  <c r="AJ704" i="1"/>
  <c r="AI704" i="1"/>
  <c r="AH704" i="1"/>
  <c r="AC704" i="1"/>
  <c r="AB704" i="1"/>
  <c r="AA704" i="1"/>
  <c r="Z704" i="1"/>
  <c r="W704" i="1"/>
  <c r="X704" i="1" s="1"/>
  <c r="Y704" i="1" s="1"/>
  <c r="V704" i="1"/>
  <c r="AQ703" i="1"/>
  <c r="AP703" i="1"/>
  <c r="AO703" i="1"/>
  <c r="AN703" i="1"/>
  <c r="AM703" i="1"/>
  <c r="AL703" i="1"/>
  <c r="AK703" i="1"/>
  <c r="AJ703" i="1"/>
  <c r="AI703" i="1"/>
  <c r="AH703" i="1"/>
  <c r="AC703" i="1"/>
  <c r="AB703" i="1"/>
  <c r="AA703" i="1"/>
  <c r="Z703" i="1"/>
  <c r="W703" i="1"/>
  <c r="X703" i="1" s="1"/>
  <c r="Y703" i="1" s="1"/>
  <c r="V703" i="1"/>
  <c r="AQ702" i="1"/>
  <c r="AP702" i="1"/>
  <c r="AO702" i="1"/>
  <c r="AN702" i="1"/>
  <c r="AM702" i="1"/>
  <c r="AL702" i="1"/>
  <c r="AK702" i="1"/>
  <c r="AJ702" i="1"/>
  <c r="AI702" i="1"/>
  <c r="AH702" i="1"/>
  <c r="AC702" i="1"/>
  <c r="AB702" i="1"/>
  <c r="AA702" i="1"/>
  <c r="Z702" i="1"/>
  <c r="W702" i="1"/>
  <c r="X702" i="1" s="1"/>
  <c r="Y702" i="1" s="1"/>
  <c r="V702" i="1"/>
  <c r="AQ701" i="1"/>
  <c r="AP701" i="1"/>
  <c r="AO701" i="1"/>
  <c r="AN701" i="1"/>
  <c r="AM701" i="1"/>
  <c r="AL701" i="1"/>
  <c r="AK701" i="1"/>
  <c r="AJ701" i="1"/>
  <c r="AI701" i="1"/>
  <c r="AH701" i="1"/>
  <c r="AC701" i="1"/>
  <c r="AB701" i="1"/>
  <c r="AA701" i="1"/>
  <c r="Z701" i="1"/>
  <c r="W701" i="1"/>
  <c r="X701" i="1" s="1"/>
  <c r="Y701" i="1" s="1"/>
  <c r="V701" i="1"/>
  <c r="AQ700" i="1"/>
  <c r="AP700" i="1"/>
  <c r="AO700" i="1"/>
  <c r="AN700" i="1"/>
  <c r="AM700" i="1"/>
  <c r="AL700" i="1"/>
  <c r="AK700" i="1"/>
  <c r="AJ700" i="1"/>
  <c r="AI700" i="1"/>
  <c r="AH700" i="1"/>
  <c r="AC700" i="1"/>
  <c r="AB700" i="1"/>
  <c r="AA700" i="1"/>
  <c r="Z700" i="1"/>
  <c r="W700" i="1"/>
  <c r="X700" i="1" s="1"/>
  <c r="Y700" i="1" s="1"/>
  <c r="V700" i="1"/>
  <c r="AQ699" i="1"/>
  <c r="AP699" i="1"/>
  <c r="AO699" i="1"/>
  <c r="AN699" i="1"/>
  <c r="AM699" i="1"/>
  <c r="AL699" i="1"/>
  <c r="AK699" i="1"/>
  <c r="AJ699" i="1"/>
  <c r="AI699" i="1"/>
  <c r="AH699" i="1"/>
  <c r="AC699" i="1"/>
  <c r="AB699" i="1"/>
  <c r="AA699" i="1"/>
  <c r="Z699" i="1"/>
  <c r="W699" i="1"/>
  <c r="X699" i="1" s="1"/>
  <c r="Y699" i="1" s="1"/>
  <c r="V699" i="1"/>
  <c r="AQ698" i="1"/>
  <c r="AP698" i="1"/>
  <c r="AN698" i="1"/>
  <c r="AM698" i="1"/>
  <c r="AL698" i="1"/>
  <c r="AK698" i="1"/>
  <c r="AJ698" i="1"/>
  <c r="AI698" i="1"/>
  <c r="AH698" i="1"/>
  <c r="AC698" i="1"/>
  <c r="AB698" i="1"/>
  <c r="AA698" i="1"/>
  <c r="Z698" i="1"/>
  <c r="W698" i="1"/>
  <c r="X698" i="1" s="1"/>
  <c r="Y698" i="1" s="1"/>
  <c r="V698" i="1"/>
  <c r="AQ697" i="1"/>
  <c r="AP697" i="1"/>
  <c r="AO697" i="1"/>
  <c r="AN697" i="1"/>
  <c r="AM697" i="1"/>
  <c r="AL697" i="1"/>
  <c r="AK697" i="1"/>
  <c r="AJ697" i="1"/>
  <c r="AI697" i="1"/>
  <c r="AH697" i="1"/>
  <c r="AC697" i="1"/>
  <c r="AB697" i="1"/>
  <c r="AA697" i="1"/>
  <c r="Z697" i="1"/>
  <c r="W697" i="1"/>
  <c r="X697" i="1" s="1"/>
  <c r="Y697" i="1" s="1"/>
  <c r="V697" i="1"/>
  <c r="AQ696" i="1"/>
  <c r="AP696" i="1"/>
  <c r="AO696" i="1"/>
  <c r="AN696" i="1"/>
  <c r="AM696" i="1"/>
  <c r="AL696" i="1"/>
  <c r="AK696" i="1"/>
  <c r="AJ696" i="1"/>
  <c r="AI696" i="1"/>
  <c r="AH696" i="1"/>
  <c r="AC696" i="1"/>
  <c r="AB696" i="1"/>
  <c r="AA696" i="1"/>
  <c r="Z696" i="1"/>
  <c r="W696" i="1"/>
  <c r="X696" i="1" s="1"/>
  <c r="Y696" i="1" s="1"/>
  <c r="V696" i="1"/>
  <c r="AQ695" i="1"/>
  <c r="AP695" i="1"/>
  <c r="AO695" i="1"/>
  <c r="AN695" i="1"/>
  <c r="AM695" i="1"/>
  <c r="AL695" i="1"/>
  <c r="AK695" i="1"/>
  <c r="AJ695" i="1"/>
  <c r="AI695" i="1"/>
  <c r="AH695" i="1"/>
  <c r="AC695" i="1"/>
  <c r="AB695" i="1"/>
  <c r="AA695" i="1"/>
  <c r="Z695" i="1"/>
  <c r="W695" i="1"/>
  <c r="X695" i="1" s="1"/>
  <c r="Y695" i="1" s="1"/>
  <c r="V695" i="1"/>
  <c r="AQ694" i="1"/>
  <c r="AP694" i="1"/>
  <c r="AO694" i="1"/>
  <c r="AN694" i="1"/>
  <c r="AM694" i="1"/>
  <c r="AL694" i="1"/>
  <c r="AK694" i="1"/>
  <c r="AJ694" i="1"/>
  <c r="AI694" i="1"/>
  <c r="AH694" i="1"/>
  <c r="AC694" i="1"/>
  <c r="AB694" i="1"/>
  <c r="AA694" i="1"/>
  <c r="Z694" i="1"/>
  <c r="W694" i="1"/>
  <c r="X694" i="1" s="1"/>
  <c r="Y694" i="1" s="1"/>
  <c r="V694" i="1"/>
  <c r="AQ693" i="1"/>
  <c r="AP693" i="1"/>
  <c r="AO693" i="1"/>
  <c r="AN693" i="1"/>
  <c r="AM693" i="1"/>
  <c r="AL693" i="1"/>
  <c r="AK693" i="1"/>
  <c r="AJ693" i="1"/>
  <c r="AI693" i="1"/>
  <c r="AH693" i="1"/>
  <c r="AC693" i="1"/>
  <c r="AB693" i="1"/>
  <c r="AA693" i="1"/>
  <c r="Z693" i="1"/>
  <c r="W693" i="1"/>
  <c r="X693" i="1" s="1"/>
  <c r="Y693" i="1" s="1"/>
  <c r="V693" i="1"/>
  <c r="AQ692" i="1"/>
  <c r="AP692" i="1"/>
  <c r="AO692" i="1"/>
  <c r="AN692" i="1"/>
  <c r="AM692" i="1"/>
  <c r="AL692" i="1"/>
  <c r="AK692" i="1"/>
  <c r="AJ692" i="1"/>
  <c r="AI692" i="1"/>
  <c r="AH692" i="1"/>
  <c r="AC692" i="1"/>
  <c r="AB692" i="1"/>
  <c r="AA692" i="1"/>
  <c r="Z692" i="1"/>
  <c r="W692" i="1"/>
  <c r="X692" i="1" s="1"/>
  <c r="Y692" i="1" s="1"/>
  <c r="V692" i="1"/>
  <c r="AQ691" i="1"/>
  <c r="AP691" i="1"/>
  <c r="AO691" i="1"/>
  <c r="AN691" i="1"/>
  <c r="AM691" i="1"/>
  <c r="AL691" i="1"/>
  <c r="AK691" i="1"/>
  <c r="AJ691" i="1"/>
  <c r="AI691" i="1"/>
  <c r="AH691" i="1"/>
  <c r="AC691" i="1"/>
  <c r="AB691" i="1"/>
  <c r="AA691" i="1"/>
  <c r="Z691" i="1"/>
  <c r="W691" i="1"/>
  <c r="X691" i="1" s="1"/>
  <c r="Y691" i="1" s="1"/>
  <c r="V691" i="1"/>
  <c r="AQ690" i="1"/>
  <c r="AP690" i="1"/>
  <c r="AO690" i="1"/>
  <c r="AN690" i="1"/>
  <c r="AM690" i="1"/>
  <c r="AL690" i="1"/>
  <c r="AK690" i="1"/>
  <c r="AJ690" i="1"/>
  <c r="AI690" i="1"/>
  <c r="AH690" i="1"/>
  <c r="AC690" i="1"/>
  <c r="AB690" i="1"/>
  <c r="AA690" i="1"/>
  <c r="Z690" i="1"/>
  <c r="W690" i="1"/>
  <c r="X690" i="1" s="1"/>
  <c r="Y690" i="1" s="1"/>
  <c r="V690" i="1"/>
  <c r="AQ689" i="1"/>
  <c r="AP689" i="1"/>
  <c r="AO689" i="1"/>
  <c r="AN689" i="1"/>
  <c r="AM689" i="1"/>
  <c r="AL689" i="1"/>
  <c r="AK689" i="1"/>
  <c r="AJ689" i="1"/>
  <c r="AI689" i="1"/>
  <c r="AH689" i="1"/>
  <c r="AC689" i="1"/>
  <c r="AB689" i="1"/>
  <c r="AA689" i="1"/>
  <c r="Z689" i="1"/>
  <c r="W689" i="1"/>
  <c r="X689" i="1" s="1"/>
  <c r="Y689" i="1" s="1"/>
  <c r="V689" i="1"/>
  <c r="AQ688" i="1"/>
  <c r="AP688" i="1"/>
  <c r="AO688" i="1"/>
  <c r="AN688" i="1"/>
  <c r="AM688" i="1"/>
  <c r="AL688" i="1"/>
  <c r="AK688" i="1"/>
  <c r="AJ688" i="1"/>
  <c r="AI688" i="1"/>
  <c r="AH688" i="1"/>
  <c r="AC688" i="1"/>
  <c r="AB688" i="1"/>
  <c r="AA688" i="1"/>
  <c r="Z688" i="1"/>
  <c r="W688" i="1"/>
  <c r="X688" i="1" s="1"/>
  <c r="Y688" i="1" s="1"/>
  <c r="V688" i="1"/>
  <c r="AQ687" i="1"/>
  <c r="AP687" i="1"/>
  <c r="AO687" i="1"/>
  <c r="AN687" i="1"/>
  <c r="AM687" i="1"/>
  <c r="AL687" i="1"/>
  <c r="AK687" i="1"/>
  <c r="AJ687" i="1"/>
  <c r="AI687" i="1"/>
  <c r="AH687" i="1"/>
  <c r="AC687" i="1"/>
  <c r="AB687" i="1"/>
  <c r="AA687" i="1"/>
  <c r="Z687" i="1"/>
  <c r="W687" i="1"/>
  <c r="X687" i="1" s="1"/>
  <c r="Y687" i="1" s="1"/>
  <c r="V687" i="1"/>
  <c r="AQ686" i="1"/>
  <c r="AP686" i="1"/>
  <c r="AO686" i="1"/>
  <c r="AN686" i="1"/>
  <c r="AM686" i="1"/>
  <c r="AL686" i="1"/>
  <c r="AK686" i="1"/>
  <c r="AJ686" i="1"/>
  <c r="AI686" i="1"/>
  <c r="AH686" i="1"/>
  <c r="AC686" i="1"/>
  <c r="AB686" i="1"/>
  <c r="AA686" i="1"/>
  <c r="Z686" i="1"/>
  <c r="W686" i="1"/>
  <c r="X686" i="1" s="1"/>
  <c r="Y686" i="1" s="1"/>
  <c r="V686" i="1"/>
  <c r="AQ685" i="1"/>
  <c r="AP685" i="1"/>
  <c r="AO685" i="1"/>
  <c r="AN685" i="1"/>
  <c r="AM685" i="1"/>
  <c r="AL685" i="1"/>
  <c r="AK685" i="1"/>
  <c r="AJ685" i="1"/>
  <c r="AI685" i="1"/>
  <c r="AH685" i="1"/>
  <c r="AC685" i="1"/>
  <c r="AB685" i="1"/>
  <c r="AA685" i="1"/>
  <c r="Z685" i="1"/>
  <c r="W685" i="1"/>
  <c r="X685" i="1" s="1"/>
  <c r="Y685" i="1" s="1"/>
  <c r="V685" i="1"/>
  <c r="AQ684" i="1"/>
  <c r="AP684" i="1"/>
  <c r="AO684" i="1"/>
  <c r="AN684" i="1"/>
  <c r="AM684" i="1"/>
  <c r="AL684" i="1"/>
  <c r="AK684" i="1"/>
  <c r="AJ684" i="1"/>
  <c r="AI684" i="1"/>
  <c r="AH684" i="1"/>
  <c r="AC684" i="1"/>
  <c r="AB684" i="1"/>
  <c r="AA684" i="1"/>
  <c r="Z684" i="1"/>
  <c r="W684" i="1"/>
  <c r="X684" i="1" s="1"/>
  <c r="Y684" i="1" s="1"/>
  <c r="V684" i="1"/>
  <c r="AQ683" i="1"/>
  <c r="AP683" i="1"/>
  <c r="AO683" i="1"/>
  <c r="AN683" i="1"/>
  <c r="AM683" i="1"/>
  <c r="AL683" i="1"/>
  <c r="AK683" i="1"/>
  <c r="AJ683" i="1"/>
  <c r="AI683" i="1"/>
  <c r="AH683" i="1"/>
  <c r="AC683" i="1"/>
  <c r="AB683" i="1"/>
  <c r="AA683" i="1"/>
  <c r="Z683" i="1"/>
  <c r="W683" i="1"/>
  <c r="X683" i="1" s="1"/>
  <c r="Y683" i="1" s="1"/>
  <c r="V683" i="1"/>
  <c r="AQ682" i="1"/>
  <c r="AP682" i="1"/>
  <c r="AO682" i="1"/>
  <c r="AN682" i="1"/>
  <c r="AM682" i="1"/>
  <c r="AL682" i="1"/>
  <c r="AK682" i="1"/>
  <c r="AJ682" i="1"/>
  <c r="AI682" i="1"/>
  <c r="AH682" i="1"/>
  <c r="AC682" i="1"/>
  <c r="AB682" i="1"/>
  <c r="AA682" i="1"/>
  <c r="Z682" i="1"/>
  <c r="W682" i="1"/>
  <c r="X682" i="1" s="1"/>
  <c r="Y682" i="1" s="1"/>
  <c r="V682" i="1"/>
  <c r="AQ681" i="1"/>
  <c r="AP681" i="1"/>
  <c r="AO681" i="1"/>
  <c r="AN681" i="1"/>
  <c r="AM681" i="1"/>
  <c r="AL681" i="1"/>
  <c r="AK681" i="1"/>
  <c r="AJ681" i="1"/>
  <c r="AI681" i="1"/>
  <c r="AH681" i="1"/>
  <c r="AC681" i="1"/>
  <c r="AB681" i="1"/>
  <c r="AA681" i="1"/>
  <c r="Z681" i="1"/>
  <c r="W681" i="1"/>
  <c r="X681" i="1" s="1"/>
  <c r="Y681" i="1" s="1"/>
  <c r="V681" i="1"/>
  <c r="AQ680" i="1"/>
  <c r="AP680" i="1"/>
  <c r="AO680" i="1"/>
  <c r="AN680" i="1"/>
  <c r="AM680" i="1"/>
  <c r="AL680" i="1"/>
  <c r="AK680" i="1"/>
  <c r="AJ680" i="1"/>
  <c r="AI680" i="1"/>
  <c r="AH680" i="1"/>
  <c r="AC680" i="1"/>
  <c r="AB680" i="1"/>
  <c r="AA680" i="1"/>
  <c r="Z680" i="1"/>
  <c r="W680" i="1"/>
  <c r="X680" i="1" s="1"/>
  <c r="Y680" i="1" s="1"/>
  <c r="V680" i="1"/>
  <c r="AQ679" i="1"/>
  <c r="AP679" i="1"/>
  <c r="AO679" i="1"/>
  <c r="AN679" i="1"/>
  <c r="AM679" i="1"/>
  <c r="AL679" i="1"/>
  <c r="AK679" i="1"/>
  <c r="AJ679" i="1"/>
  <c r="AI679" i="1"/>
  <c r="AH679" i="1"/>
  <c r="AC679" i="1"/>
  <c r="AB679" i="1"/>
  <c r="AA679" i="1"/>
  <c r="Z679" i="1"/>
  <c r="W679" i="1"/>
  <c r="X679" i="1" s="1"/>
  <c r="Y679" i="1" s="1"/>
  <c r="V679" i="1"/>
  <c r="AQ678" i="1"/>
  <c r="AP678" i="1"/>
  <c r="AO678" i="1"/>
  <c r="AN678" i="1"/>
  <c r="AM678" i="1"/>
  <c r="AL678" i="1"/>
  <c r="AK678" i="1"/>
  <c r="AJ678" i="1"/>
  <c r="AI678" i="1"/>
  <c r="AH678" i="1"/>
  <c r="AC678" i="1"/>
  <c r="AB678" i="1"/>
  <c r="AA678" i="1"/>
  <c r="Z678" i="1"/>
  <c r="W678" i="1"/>
  <c r="X678" i="1" s="1"/>
  <c r="Y678" i="1" s="1"/>
  <c r="V678" i="1"/>
  <c r="AQ677" i="1"/>
  <c r="AP677" i="1"/>
  <c r="AO677" i="1"/>
  <c r="AN677" i="1"/>
  <c r="AM677" i="1"/>
  <c r="AL677" i="1"/>
  <c r="AK677" i="1"/>
  <c r="AJ677" i="1"/>
  <c r="AI677" i="1"/>
  <c r="AH677" i="1"/>
  <c r="AC677" i="1"/>
  <c r="AB677" i="1"/>
  <c r="AA677" i="1"/>
  <c r="Z677" i="1"/>
  <c r="W677" i="1"/>
  <c r="X677" i="1" s="1"/>
  <c r="Y677" i="1" s="1"/>
  <c r="V677" i="1"/>
  <c r="AQ676" i="1"/>
  <c r="AP676" i="1"/>
  <c r="AO676" i="1"/>
  <c r="AN676" i="1"/>
  <c r="AM676" i="1"/>
  <c r="AL676" i="1"/>
  <c r="AK676" i="1"/>
  <c r="AJ676" i="1"/>
  <c r="AI676" i="1"/>
  <c r="AH676" i="1"/>
  <c r="AC676" i="1"/>
  <c r="AB676" i="1"/>
  <c r="AA676" i="1"/>
  <c r="Z676" i="1"/>
  <c r="W676" i="1"/>
  <c r="X676" i="1" s="1"/>
  <c r="Y676" i="1" s="1"/>
  <c r="V676" i="1"/>
  <c r="AQ675" i="1"/>
  <c r="AP675" i="1"/>
  <c r="AO675" i="1"/>
  <c r="AN675" i="1"/>
  <c r="AM675" i="1"/>
  <c r="AL675" i="1"/>
  <c r="AK675" i="1"/>
  <c r="AJ675" i="1"/>
  <c r="AI675" i="1"/>
  <c r="AH675" i="1"/>
  <c r="AC675" i="1"/>
  <c r="AB675" i="1"/>
  <c r="AA675" i="1"/>
  <c r="Z675" i="1"/>
  <c r="W675" i="1"/>
  <c r="X675" i="1" s="1"/>
  <c r="Y675" i="1" s="1"/>
  <c r="V675" i="1"/>
  <c r="AQ674" i="1"/>
  <c r="AP674" i="1"/>
  <c r="AO674" i="1"/>
  <c r="AN674" i="1"/>
  <c r="AM674" i="1"/>
  <c r="AL674" i="1"/>
  <c r="AK674" i="1"/>
  <c r="AJ674" i="1"/>
  <c r="AI674" i="1"/>
  <c r="AH674" i="1"/>
  <c r="AC674" i="1"/>
  <c r="AB674" i="1"/>
  <c r="AA674" i="1"/>
  <c r="Z674" i="1"/>
  <c r="W674" i="1"/>
  <c r="X674" i="1" s="1"/>
  <c r="Y674" i="1" s="1"/>
  <c r="V674" i="1"/>
  <c r="AQ673" i="1"/>
  <c r="AP673" i="1"/>
  <c r="AO673" i="1"/>
  <c r="AN673" i="1"/>
  <c r="AM673" i="1"/>
  <c r="AL673" i="1"/>
  <c r="AK673" i="1"/>
  <c r="AJ673" i="1"/>
  <c r="AI673" i="1"/>
  <c r="AH673" i="1"/>
  <c r="AC673" i="1"/>
  <c r="AB673" i="1"/>
  <c r="AA673" i="1"/>
  <c r="Z673" i="1"/>
  <c r="W673" i="1"/>
  <c r="X673" i="1" s="1"/>
  <c r="Y673" i="1" s="1"/>
  <c r="V673" i="1"/>
  <c r="AQ672" i="1"/>
  <c r="AP672" i="1"/>
  <c r="AO672" i="1"/>
  <c r="AN672" i="1"/>
  <c r="AM672" i="1"/>
  <c r="AL672" i="1"/>
  <c r="AK672" i="1"/>
  <c r="AJ672" i="1"/>
  <c r="AI672" i="1"/>
  <c r="AH672" i="1"/>
  <c r="AC672" i="1"/>
  <c r="AB672" i="1"/>
  <c r="AA672" i="1"/>
  <c r="Z672" i="1"/>
  <c r="W672" i="1"/>
  <c r="X672" i="1" s="1"/>
  <c r="Y672" i="1" s="1"/>
  <c r="V672" i="1"/>
  <c r="AQ671" i="1"/>
  <c r="AP671" i="1"/>
  <c r="AO671" i="1"/>
  <c r="AN671" i="1"/>
  <c r="AM671" i="1"/>
  <c r="AL671" i="1"/>
  <c r="AK671" i="1"/>
  <c r="AJ671" i="1"/>
  <c r="AI671" i="1"/>
  <c r="AH671" i="1"/>
  <c r="AC671" i="1"/>
  <c r="AB671" i="1"/>
  <c r="AA671" i="1"/>
  <c r="Z671" i="1"/>
  <c r="W671" i="1"/>
  <c r="X671" i="1" s="1"/>
  <c r="Y671" i="1" s="1"/>
  <c r="V671" i="1"/>
  <c r="AQ670" i="1"/>
  <c r="AP670" i="1"/>
  <c r="AO670" i="1"/>
  <c r="AN670" i="1"/>
  <c r="AM670" i="1"/>
  <c r="AL670" i="1"/>
  <c r="AK670" i="1"/>
  <c r="AJ670" i="1"/>
  <c r="AI670" i="1"/>
  <c r="AH670" i="1"/>
  <c r="AC670" i="1"/>
  <c r="AB670" i="1"/>
  <c r="AA670" i="1"/>
  <c r="Z670" i="1"/>
  <c r="W670" i="1"/>
  <c r="X670" i="1" s="1"/>
  <c r="Y670" i="1" s="1"/>
  <c r="V670" i="1"/>
  <c r="AQ669" i="1"/>
  <c r="AP669" i="1"/>
  <c r="AO669" i="1"/>
  <c r="AN669" i="1"/>
  <c r="AM669" i="1"/>
  <c r="AL669" i="1"/>
  <c r="AK669" i="1"/>
  <c r="AJ669" i="1"/>
  <c r="AI669" i="1"/>
  <c r="AH669" i="1"/>
  <c r="AC669" i="1"/>
  <c r="AB669" i="1"/>
  <c r="AA669" i="1"/>
  <c r="Z669" i="1"/>
  <c r="W669" i="1"/>
  <c r="X669" i="1" s="1"/>
  <c r="Y669" i="1" s="1"/>
  <c r="V669" i="1"/>
  <c r="AQ668" i="1"/>
  <c r="AP668" i="1"/>
  <c r="AO668" i="1"/>
  <c r="AN668" i="1"/>
  <c r="AM668" i="1"/>
  <c r="AL668" i="1"/>
  <c r="AK668" i="1"/>
  <c r="AJ668" i="1"/>
  <c r="AI668" i="1"/>
  <c r="AH668" i="1"/>
  <c r="AC668" i="1"/>
  <c r="AB668" i="1"/>
  <c r="AA668" i="1"/>
  <c r="Z668" i="1"/>
  <c r="W668" i="1"/>
  <c r="X668" i="1" s="1"/>
  <c r="Y668" i="1" s="1"/>
  <c r="V668" i="1"/>
  <c r="AQ667" i="1"/>
  <c r="AP667" i="1"/>
  <c r="AO667" i="1"/>
  <c r="AN667" i="1"/>
  <c r="AM667" i="1"/>
  <c r="AL667" i="1"/>
  <c r="AK667" i="1"/>
  <c r="AJ667" i="1"/>
  <c r="AI667" i="1"/>
  <c r="AH667" i="1"/>
  <c r="AC667" i="1"/>
  <c r="AB667" i="1"/>
  <c r="AA667" i="1"/>
  <c r="Z667" i="1"/>
  <c r="W667" i="1"/>
  <c r="X667" i="1" s="1"/>
  <c r="Y667" i="1" s="1"/>
  <c r="V667" i="1"/>
  <c r="AQ666" i="1"/>
  <c r="AP666" i="1"/>
  <c r="AO666" i="1"/>
  <c r="AN666" i="1"/>
  <c r="AM666" i="1"/>
  <c r="AL666" i="1"/>
  <c r="AK666" i="1"/>
  <c r="AJ666" i="1"/>
  <c r="AI666" i="1"/>
  <c r="AH666" i="1"/>
  <c r="AC666" i="1"/>
  <c r="AB666" i="1"/>
  <c r="AA666" i="1"/>
  <c r="Z666" i="1"/>
  <c r="W666" i="1"/>
  <c r="X666" i="1" s="1"/>
  <c r="Y666" i="1" s="1"/>
  <c r="V666" i="1"/>
  <c r="AQ665" i="1"/>
  <c r="AP665" i="1"/>
  <c r="AO665" i="1"/>
  <c r="AN665" i="1"/>
  <c r="AM665" i="1"/>
  <c r="AL665" i="1"/>
  <c r="AK665" i="1"/>
  <c r="AJ665" i="1"/>
  <c r="AI665" i="1"/>
  <c r="AH665" i="1"/>
  <c r="AC665" i="1"/>
  <c r="AB665" i="1"/>
  <c r="AA665" i="1"/>
  <c r="Z665" i="1"/>
  <c r="W665" i="1"/>
  <c r="X665" i="1" s="1"/>
  <c r="Y665" i="1" s="1"/>
  <c r="V665" i="1"/>
  <c r="AQ664" i="1"/>
  <c r="AP664" i="1"/>
  <c r="AO664" i="1"/>
  <c r="AN664" i="1"/>
  <c r="AM664" i="1"/>
  <c r="AL664" i="1"/>
  <c r="AK664" i="1"/>
  <c r="AJ664" i="1"/>
  <c r="AI664" i="1"/>
  <c r="AH664" i="1"/>
  <c r="AC664" i="1"/>
  <c r="AB664" i="1"/>
  <c r="AA664" i="1"/>
  <c r="Z664" i="1"/>
  <c r="W664" i="1"/>
  <c r="X664" i="1" s="1"/>
  <c r="Y664" i="1" s="1"/>
  <c r="V664" i="1"/>
  <c r="AQ663" i="1"/>
  <c r="AP663" i="1"/>
  <c r="AO663" i="1"/>
  <c r="AN663" i="1"/>
  <c r="AM663" i="1"/>
  <c r="AL663" i="1"/>
  <c r="AK663" i="1"/>
  <c r="AJ663" i="1"/>
  <c r="AI663" i="1"/>
  <c r="AH663" i="1"/>
  <c r="AC663" i="1"/>
  <c r="AB663" i="1"/>
  <c r="AA663" i="1"/>
  <c r="Z663" i="1"/>
  <c r="W663" i="1"/>
  <c r="X663" i="1" s="1"/>
  <c r="Y663" i="1" s="1"/>
  <c r="V663" i="1"/>
  <c r="AQ662" i="1"/>
  <c r="AP662" i="1"/>
  <c r="AO662" i="1"/>
  <c r="AN662" i="1"/>
  <c r="AM662" i="1"/>
  <c r="AL662" i="1"/>
  <c r="AK662" i="1"/>
  <c r="AJ662" i="1"/>
  <c r="AI662" i="1"/>
  <c r="AH662" i="1"/>
  <c r="AC662" i="1"/>
  <c r="AB662" i="1"/>
  <c r="AA662" i="1"/>
  <c r="Z662" i="1"/>
  <c r="W662" i="1"/>
  <c r="X662" i="1" s="1"/>
  <c r="Y662" i="1" s="1"/>
  <c r="V662" i="1"/>
  <c r="AQ661" i="1"/>
  <c r="AP661" i="1"/>
  <c r="AO661" i="1"/>
  <c r="AN661" i="1"/>
  <c r="AM661" i="1"/>
  <c r="AL661" i="1"/>
  <c r="AK661" i="1"/>
  <c r="AJ661" i="1"/>
  <c r="AI661" i="1"/>
  <c r="AH661" i="1"/>
  <c r="AC661" i="1"/>
  <c r="AB661" i="1"/>
  <c r="AA661" i="1"/>
  <c r="Z661" i="1"/>
  <c r="W661" i="1"/>
  <c r="X661" i="1" s="1"/>
  <c r="Y661" i="1" s="1"/>
  <c r="V661" i="1"/>
  <c r="AQ660" i="1"/>
  <c r="AP660" i="1"/>
  <c r="AO660" i="1"/>
  <c r="AN660" i="1"/>
  <c r="AM660" i="1"/>
  <c r="AL660" i="1"/>
  <c r="AK660" i="1"/>
  <c r="AI660" i="1"/>
  <c r="AH660" i="1"/>
  <c r="AC660" i="1"/>
  <c r="AB660" i="1"/>
  <c r="AA660" i="1"/>
  <c r="Z660" i="1"/>
  <c r="W660" i="1"/>
  <c r="X660" i="1" s="1"/>
  <c r="Y660" i="1" s="1"/>
  <c r="V660" i="1"/>
  <c r="AQ659" i="1"/>
  <c r="AP659" i="1"/>
  <c r="AO659" i="1"/>
  <c r="AN659" i="1"/>
  <c r="AM659" i="1"/>
  <c r="AL659" i="1"/>
  <c r="AK659" i="1"/>
  <c r="AJ659" i="1"/>
  <c r="AI659" i="1"/>
  <c r="AH659" i="1"/>
  <c r="AC659" i="1"/>
  <c r="AB659" i="1"/>
  <c r="AA659" i="1"/>
  <c r="Z659" i="1"/>
  <c r="W659" i="1"/>
  <c r="X659" i="1" s="1"/>
  <c r="Y659" i="1" s="1"/>
  <c r="V659" i="1"/>
  <c r="AQ658" i="1"/>
  <c r="AP658" i="1"/>
  <c r="AO658" i="1"/>
  <c r="AN658" i="1"/>
  <c r="AM658" i="1"/>
  <c r="AL658" i="1"/>
  <c r="AK658" i="1"/>
  <c r="AJ658" i="1"/>
  <c r="AI658" i="1"/>
  <c r="AH658" i="1"/>
  <c r="AC658" i="1"/>
  <c r="AB658" i="1"/>
  <c r="AA658" i="1"/>
  <c r="Z658" i="1"/>
  <c r="W658" i="1"/>
  <c r="X658" i="1" s="1"/>
  <c r="Y658" i="1" s="1"/>
  <c r="V658" i="1"/>
  <c r="AQ657" i="1"/>
  <c r="AP657" i="1"/>
  <c r="AO657" i="1"/>
  <c r="AN657" i="1"/>
  <c r="AM657" i="1"/>
  <c r="AL657" i="1"/>
  <c r="AK657" i="1"/>
  <c r="AJ657" i="1"/>
  <c r="AI657" i="1"/>
  <c r="AH657" i="1"/>
  <c r="AC657" i="1"/>
  <c r="AB657" i="1"/>
  <c r="AA657" i="1"/>
  <c r="Z657" i="1"/>
  <c r="W657" i="1"/>
  <c r="X657" i="1" s="1"/>
  <c r="Y657" i="1" s="1"/>
  <c r="V657" i="1"/>
  <c r="AQ656" i="1"/>
  <c r="AP656" i="1"/>
  <c r="AO656" i="1"/>
  <c r="AN656" i="1"/>
  <c r="AM656" i="1"/>
  <c r="AL656" i="1"/>
  <c r="AK656" i="1"/>
  <c r="AJ656" i="1"/>
  <c r="AI656" i="1"/>
  <c r="AH656" i="1"/>
  <c r="AC656" i="1"/>
  <c r="AB656" i="1"/>
  <c r="AA656" i="1"/>
  <c r="Z656" i="1"/>
  <c r="W656" i="1"/>
  <c r="X656" i="1" s="1"/>
  <c r="Y656" i="1" s="1"/>
  <c r="V656" i="1"/>
  <c r="AQ655" i="1"/>
  <c r="AP655" i="1"/>
  <c r="AO655" i="1"/>
  <c r="AN655" i="1"/>
  <c r="AM655" i="1"/>
  <c r="AL655" i="1"/>
  <c r="AK655" i="1"/>
  <c r="AJ655" i="1"/>
  <c r="AI655" i="1"/>
  <c r="AH655" i="1"/>
  <c r="AC655" i="1"/>
  <c r="AB655" i="1"/>
  <c r="AA655" i="1"/>
  <c r="Z655" i="1"/>
  <c r="W655" i="1"/>
  <c r="X655" i="1" s="1"/>
  <c r="Y655" i="1" s="1"/>
  <c r="V655" i="1"/>
  <c r="AQ654" i="1"/>
  <c r="AP654" i="1"/>
  <c r="AO654" i="1"/>
  <c r="AN654" i="1"/>
  <c r="AM654" i="1"/>
  <c r="AL654" i="1"/>
  <c r="AK654" i="1"/>
  <c r="AJ654" i="1"/>
  <c r="AI654" i="1"/>
  <c r="AH654" i="1"/>
  <c r="AC654" i="1"/>
  <c r="AB654" i="1"/>
  <c r="AA654" i="1"/>
  <c r="Z654" i="1"/>
  <c r="W654" i="1"/>
  <c r="X654" i="1" s="1"/>
  <c r="Y654" i="1" s="1"/>
  <c r="V654" i="1"/>
  <c r="AQ653" i="1"/>
  <c r="AP653" i="1"/>
  <c r="AO653" i="1"/>
  <c r="AN653" i="1"/>
  <c r="AM653" i="1"/>
  <c r="AL653" i="1"/>
  <c r="AK653" i="1"/>
  <c r="AJ653" i="1"/>
  <c r="AI653" i="1"/>
  <c r="AH653" i="1"/>
  <c r="AC653" i="1"/>
  <c r="AB653" i="1"/>
  <c r="AA653" i="1"/>
  <c r="Z653" i="1"/>
  <c r="W653" i="1"/>
  <c r="X653" i="1" s="1"/>
  <c r="Y653" i="1" s="1"/>
  <c r="V653" i="1"/>
  <c r="AQ652" i="1"/>
  <c r="AP652" i="1"/>
  <c r="AO652" i="1"/>
  <c r="AN652" i="1"/>
  <c r="AM652" i="1"/>
  <c r="AL652" i="1"/>
  <c r="AK652" i="1"/>
  <c r="AJ652" i="1"/>
  <c r="AI652" i="1"/>
  <c r="AH652" i="1"/>
  <c r="AC652" i="1"/>
  <c r="AB652" i="1"/>
  <c r="AA652" i="1"/>
  <c r="Z652" i="1"/>
  <c r="W652" i="1"/>
  <c r="X652" i="1" s="1"/>
  <c r="Y652" i="1" s="1"/>
  <c r="V652" i="1"/>
  <c r="AQ651" i="1"/>
  <c r="AP651" i="1"/>
  <c r="AO651" i="1"/>
  <c r="AN651" i="1"/>
  <c r="AM651" i="1"/>
  <c r="AL651" i="1"/>
  <c r="AK651" i="1"/>
  <c r="AJ651" i="1"/>
  <c r="AI651" i="1"/>
  <c r="AH651" i="1"/>
  <c r="AC651" i="1"/>
  <c r="AB651" i="1"/>
  <c r="AA651" i="1"/>
  <c r="Z651" i="1"/>
  <c r="W651" i="1"/>
  <c r="X651" i="1" s="1"/>
  <c r="Y651" i="1" s="1"/>
  <c r="V651" i="1"/>
  <c r="AQ650" i="1"/>
  <c r="AP650" i="1"/>
  <c r="AO650" i="1"/>
  <c r="AN650" i="1"/>
  <c r="AM650" i="1"/>
  <c r="AL650" i="1"/>
  <c r="AK650" i="1"/>
  <c r="AJ650" i="1"/>
  <c r="AI650" i="1"/>
  <c r="AH650" i="1"/>
  <c r="AC650" i="1"/>
  <c r="AB650" i="1"/>
  <c r="AA650" i="1"/>
  <c r="Z650" i="1"/>
  <c r="W650" i="1"/>
  <c r="X650" i="1" s="1"/>
  <c r="Y650" i="1" s="1"/>
  <c r="V650" i="1"/>
  <c r="AQ649" i="1"/>
  <c r="AP649" i="1"/>
  <c r="AO649" i="1"/>
  <c r="AN649" i="1"/>
  <c r="AM649" i="1"/>
  <c r="AL649" i="1"/>
  <c r="AK649" i="1"/>
  <c r="AJ649" i="1"/>
  <c r="AI649" i="1"/>
  <c r="AH649" i="1"/>
  <c r="AC649" i="1"/>
  <c r="AB649" i="1"/>
  <c r="AA649" i="1"/>
  <c r="Z649" i="1"/>
  <c r="W649" i="1"/>
  <c r="X649" i="1" s="1"/>
  <c r="Y649" i="1" s="1"/>
  <c r="V649" i="1"/>
  <c r="AQ648" i="1"/>
  <c r="AP648" i="1"/>
  <c r="AO648" i="1"/>
  <c r="AN648" i="1"/>
  <c r="AM648" i="1"/>
  <c r="AL648" i="1"/>
  <c r="AK648" i="1"/>
  <c r="AJ648" i="1"/>
  <c r="AI648" i="1"/>
  <c r="AH648" i="1"/>
  <c r="AC648" i="1"/>
  <c r="AB648" i="1"/>
  <c r="AA648" i="1"/>
  <c r="Z648" i="1"/>
  <c r="W648" i="1"/>
  <c r="X648" i="1" s="1"/>
  <c r="Y648" i="1" s="1"/>
  <c r="V648" i="1"/>
  <c r="AQ647" i="1"/>
  <c r="AP647" i="1"/>
  <c r="AO647" i="1"/>
  <c r="AN647" i="1"/>
  <c r="AM647" i="1"/>
  <c r="AL647" i="1"/>
  <c r="AK647" i="1"/>
  <c r="AJ647" i="1"/>
  <c r="AI647" i="1"/>
  <c r="AH647" i="1"/>
  <c r="AC647" i="1"/>
  <c r="AB647" i="1"/>
  <c r="AA647" i="1"/>
  <c r="Z647" i="1"/>
  <c r="W647" i="1"/>
  <c r="X647" i="1" s="1"/>
  <c r="Y647" i="1" s="1"/>
  <c r="V647" i="1"/>
  <c r="AQ646" i="1"/>
  <c r="AP646" i="1"/>
  <c r="AO646" i="1"/>
  <c r="AN646" i="1"/>
  <c r="AM646" i="1"/>
  <c r="AL646" i="1"/>
  <c r="AK646" i="1"/>
  <c r="AJ646" i="1"/>
  <c r="AI646" i="1"/>
  <c r="AH646" i="1"/>
  <c r="AC646" i="1"/>
  <c r="AB646" i="1"/>
  <c r="AA646" i="1"/>
  <c r="Z646" i="1"/>
  <c r="W646" i="1"/>
  <c r="X646" i="1" s="1"/>
  <c r="Y646" i="1" s="1"/>
  <c r="V646" i="1"/>
  <c r="AQ645" i="1"/>
  <c r="AP645" i="1"/>
  <c r="AO645" i="1"/>
  <c r="AN645" i="1"/>
  <c r="AM645" i="1"/>
  <c r="AL645" i="1"/>
  <c r="AK645" i="1"/>
  <c r="AJ645" i="1"/>
  <c r="AI645" i="1"/>
  <c r="AH645" i="1"/>
  <c r="AC645" i="1"/>
  <c r="AB645" i="1"/>
  <c r="AA645" i="1"/>
  <c r="Z645" i="1"/>
  <c r="W645" i="1"/>
  <c r="X645" i="1" s="1"/>
  <c r="Y645" i="1" s="1"/>
  <c r="V645" i="1"/>
  <c r="AQ644" i="1"/>
  <c r="AP644" i="1"/>
  <c r="AO644" i="1"/>
  <c r="AN644" i="1"/>
  <c r="AM644" i="1"/>
  <c r="AL644" i="1"/>
  <c r="AK644" i="1"/>
  <c r="AJ644" i="1"/>
  <c r="AI644" i="1"/>
  <c r="AH644" i="1"/>
  <c r="AC644" i="1"/>
  <c r="AB644" i="1"/>
  <c r="AA644" i="1"/>
  <c r="Z644" i="1"/>
  <c r="W644" i="1"/>
  <c r="X644" i="1" s="1"/>
  <c r="Y644" i="1" s="1"/>
  <c r="V644" i="1"/>
  <c r="AQ643" i="1"/>
  <c r="AP643" i="1"/>
  <c r="AO643" i="1"/>
  <c r="AN643" i="1"/>
  <c r="AM643" i="1"/>
  <c r="AL643" i="1"/>
  <c r="AK643" i="1"/>
  <c r="AJ643" i="1"/>
  <c r="AI643" i="1"/>
  <c r="AH643" i="1"/>
  <c r="AC643" i="1"/>
  <c r="AB643" i="1"/>
  <c r="AA643" i="1"/>
  <c r="Z643" i="1"/>
  <c r="W643" i="1"/>
  <c r="X643" i="1" s="1"/>
  <c r="Y643" i="1" s="1"/>
  <c r="V643" i="1"/>
  <c r="AQ642" i="1"/>
  <c r="AP642" i="1"/>
  <c r="AO642" i="1"/>
  <c r="AN642" i="1"/>
  <c r="AM642" i="1"/>
  <c r="AL642" i="1"/>
  <c r="AK642" i="1"/>
  <c r="AJ642" i="1"/>
  <c r="AI642" i="1"/>
  <c r="AH642" i="1"/>
  <c r="AC642" i="1"/>
  <c r="AB642" i="1"/>
  <c r="AA642" i="1"/>
  <c r="Z642" i="1"/>
  <c r="W642" i="1"/>
  <c r="X642" i="1" s="1"/>
  <c r="Y642" i="1" s="1"/>
  <c r="V642" i="1"/>
  <c r="AQ641" i="1"/>
  <c r="AP641" i="1"/>
  <c r="AO641" i="1"/>
  <c r="AN641" i="1"/>
  <c r="AM641" i="1"/>
  <c r="AL641" i="1"/>
  <c r="AK641" i="1"/>
  <c r="AJ641" i="1"/>
  <c r="AI641" i="1"/>
  <c r="AH641" i="1"/>
  <c r="AC641" i="1"/>
  <c r="AB641" i="1"/>
  <c r="AA641" i="1"/>
  <c r="Z641" i="1"/>
  <c r="W641" i="1"/>
  <c r="X641" i="1" s="1"/>
  <c r="Y641" i="1" s="1"/>
  <c r="V641" i="1"/>
  <c r="AQ640" i="1"/>
  <c r="AP640" i="1"/>
  <c r="AO640" i="1"/>
  <c r="AN640" i="1"/>
  <c r="AM640" i="1"/>
  <c r="AL640" i="1"/>
  <c r="AK640" i="1"/>
  <c r="AJ640" i="1"/>
  <c r="AI640" i="1"/>
  <c r="AH640" i="1"/>
  <c r="AC640" i="1"/>
  <c r="AB640" i="1"/>
  <c r="AA640" i="1"/>
  <c r="Z640" i="1"/>
  <c r="W640" i="1"/>
  <c r="X640" i="1" s="1"/>
  <c r="Y640" i="1" s="1"/>
  <c r="V640" i="1"/>
  <c r="AQ639" i="1"/>
  <c r="AP639" i="1"/>
  <c r="AO639" i="1"/>
  <c r="AN639" i="1"/>
  <c r="AM639" i="1"/>
  <c r="AL639" i="1"/>
  <c r="AK639" i="1"/>
  <c r="AJ639" i="1"/>
  <c r="AI639" i="1"/>
  <c r="AH639" i="1"/>
  <c r="AC639" i="1"/>
  <c r="AB639" i="1"/>
  <c r="AA639" i="1"/>
  <c r="Z639" i="1"/>
  <c r="W639" i="1"/>
  <c r="X639" i="1" s="1"/>
  <c r="Y639" i="1" s="1"/>
  <c r="V639" i="1"/>
  <c r="AQ638" i="1"/>
  <c r="AP638" i="1"/>
  <c r="AO638" i="1"/>
  <c r="AN638" i="1"/>
  <c r="AM638" i="1"/>
  <c r="AL638" i="1"/>
  <c r="AK638" i="1"/>
  <c r="AJ638" i="1"/>
  <c r="AI638" i="1"/>
  <c r="AH638" i="1"/>
  <c r="AC638" i="1"/>
  <c r="AB638" i="1"/>
  <c r="AA638" i="1"/>
  <c r="Z638" i="1"/>
  <c r="W638" i="1"/>
  <c r="X638" i="1" s="1"/>
  <c r="Y638" i="1" s="1"/>
  <c r="V638" i="1"/>
  <c r="AQ637" i="1"/>
  <c r="AP637" i="1"/>
  <c r="AO637" i="1"/>
  <c r="AN637" i="1"/>
  <c r="AM637" i="1"/>
  <c r="AL637" i="1"/>
  <c r="AK637" i="1"/>
  <c r="AJ637" i="1"/>
  <c r="AI637" i="1"/>
  <c r="AH637" i="1"/>
  <c r="AC637" i="1"/>
  <c r="AB637" i="1"/>
  <c r="AA637" i="1"/>
  <c r="Z637" i="1"/>
  <c r="W637" i="1"/>
  <c r="X637" i="1" s="1"/>
  <c r="Y637" i="1" s="1"/>
  <c r="V637" i="1"/>
  <c r="AQ636" i="1"/>
  <c r="AP636" i="1"/>
  <c r="AO636" i="1"/>
  <c r="AN636" i="1"/>
  <c r="AM636" i="1"/>
  <c r="AL636" i="1"/>
  <c r="AK636" i="1"/>
  <c r="AJ636" i="1"/>
  <c r="AI636" i="1"/>
  <c r="AH636" i="1"/>
  <c r="AC636" i="1"/>
  <c r="AB636" i="1"/>
  <c r="AA636" i="1"/>
  <c r="Z636" i="1"/>
  <c r="W636" i="1"/>
  <c r="X636" i="1" s="1"/>
  <c r="Y636" i="1" s="1"/>
  <c r="V636" i="1"/>
  <c r="AQ635" i="1"/>
  <c r="AP635" i="1"/>
  <c r="AO635" i="1"/>
  <c r="AN635" i="1"/>
  <c r="AM635" i="1"/>
  <c r="AL635" i="1"/>
  <c r="AK635" i="1"/>
  <c r="AJ635" i="1"/>
  <c r="AI635" i="1"/>
  <c r="AH635" i="1"/>
  <c r="AC635" i="1"/>
  <c r="AB635" i="1"/>
  <c r="AA635" i="1"/>
  <c r="Z635" i="1"/>
  <c r="W635" i="1"/>
  <c r="X635" i="1" s="1"/>
  <c r="Y635" i="1" s="1"/>
  <c r="V635" i="1"/>
  <c r="AQ634" i="1"/>
  <c r="AP634" i="1"/>
  <c r="AO634" i="1"/>
  <c r="AN634" i="1"/>
  <c r="AM634" i="1"/>
  <c r="AL634" i="1"/>
  <c r="AK634" i="1"/>
  <c r="AJ634" i="1"/>
  <c r="AI634" i="1"/>
  <c r="AH634" i="1"/>
  <c r="AC634" i="1"/>
  <c r="AB634" i="1"/>
  <c r="AA634" i="1"/>
  <c r="Z634" i="1"/>
  <c r="W634" i="1"/>
  <c r="X634" i="1" s="1"/>
  <c r="Y634" i="1" s="1"/>
  <c r="V634" i="1"/>
  <c r="AQ633" i="1"/>
  <c r="AP633" i="1"/>
  <c r="AO633" i="1"/>
  <c r="AN633" i="1"/>
  <c r="AM633" i="1"/>
  <c r="AL633" i="1"/>
  <c r="AK633" i="1"/>
  <c r="AJ633" i="1"/>
  <c r="AI633" i="1"/>
  <c r="AH633" i="1"/>
  <c r="AC633" i="1"/>
  <c r="AB633" i="1"/>
  <c r="AA633" i="1"/>
  <c r="Z633" i="1"/>
  <c r="W633" i="1"/>
  <c r="X633" i="1" s="1"/>
  <c r="Y633" i="1" s="1"/>
  <c r="V633" i="1"/>
  <c r="AQ632" i="1"/>
  <c r="AP632" i="1"/>
  <c r="AO632" i="1"/>
  <c r="AN632" i="1"/>
  <c r="AM632" i="1"/>
  <c r="AL632" i="1"/>
  <c r="AK632" i="1"/>
  <c r="AJ632" i="1"/>
  <c r="AI632" i="1"/>
  <c r="AH632" i="1"/>
  <c r="AC632" i="1"/>
  <c r="AB632" i="1"/>
  <c r="AA632" i="1"/>
  <c r="Z632" i="1"/>
  <c r="W632" i="1"/>
  <c r="X632" i="1" s="1"/>
  <c r="Y632" i="1" s="1"/>
  <c r="V632" i="1"/>
  <c r="AQ631" i="1"/>
  <c r="AP631" i="1"/>
  <c r="AO631" i="1"/>
  <c r="AN631" i="1"/>
  <c r="AM631" i="1"/>
  <c r="AL631" i="1"/>
  <c r="AK631" i="1"/>
  <c r="AJ631" i="1"/>
  <c r="AI631" i="1"/>
  <c r="AH631" i="1"/>
  <c r="AC631" i="1"/>
  <c r="AB631" i="1"/>
  <c r="AA631" i="1"/>
  <c r="Z631" i="1"/>
  <c r="W631" i="1"/>
  <c r="X631" i="1" s="1"/>
  <c r="Y631" i="1" s="1"/>
  <c r="V631" i="1"/>
  <c r="AQ630" i="1"/>
  <c r="AP630" i="1"/>
  <c r="AO630" i="1"/>
  <c r="AN630" i="1"/>
  <c r="AM630" i="1"/>
  <c r="AL630" i="1"/>
  <c r="AK630" i="1"/>
  <c r="AJ630" i="1"/>
  <c r="AI630" i="1"/>
  <c r="AH630" i="1"/>
  <c r="AC630" i="1"/>
  <c r="AB630" i="1"/>
  <c r="AA630" i="1"/>
  <c r="Z630" i="1"/>
  <c r="W630" i="1"/>
  <c r="X630" i="1" s="1"/>
  <c r="Y630" i="1" s="1"/>
  <c r="V630" i="1"/>
  <c r="AQ629" i="1"/>
  <c r="AP629" i="1"/>
  <c r="AO629" i="1"/>
  <c r="AN629" i="1"/>
  <c r="AM629" i="1"/>
  <c r="AL629" i="1"/>
  <c r="AK629" i="1"/>
  <c r="AJ629" i="1"/>
  <c r="AI629" i="1"/>
  <c r="AH629" i="1"/>
  <c r="AC629" i="1"/>
  <c r="AB629" i="1"/>
  <c r="AA629" i="1"/>
  <c r="Z629" i="1"/>
  <c r="W629" i="1"/>
  <c r="X629" i="1" s="1"/>
  <c r="Y629" i="1" s="1"/>
  <c r="V629" i="1"/>
  <c r="AQ628" i="1"/>
  <c r="AP628" i="1"/>
  <c r="AO628" i="1"/>
  <c r="AN628" i="1"/>
  <c r="AM628" i="1"/>
  <c r="AL628" i="1"/>
  <c r="AK628" i="1"/>
  <c r="AJ628" i="1"/>
  <c r="AI628" i="1"/>
  <c r="AH628" i="1"/>
  <c r="AC628" i="1"/>
  <c r="AB628" i="1"/>
  <c r="AA628" i="1"/>
  <c r="Z628" i="1"/>
  <c r="W628" i="1"/>
  <c r="X628" i="1" s="1"/>
  <c r="Y628" i="1" s="1"/>
  <c r="V628" i="1"/>
  <c r="AQ627" i="1"/>
  <c r="AP627" i="1"/>
  <c r="AO627" i="1"/>
  <c r="AN627" i="1"/>
  <c r="AM627" i="1"/>
  <c r="AL627" i="1"/>
  <c r="AK627" i="1"/>
  <c r="AJ627" i="1"/>
  <c r="AI627" i="1"/>
  <c r="AH627" i="1"/>
  <c r="AC627" i="1"/>
  <c r="AB627" i="1"/>
  <c r="AA627" i="1"/>
  <c r="Z627" i="1"/>
  <c r="W627" i="1"/>
  <c r="X627" i="1" s="1"/>
  <c r="Y627" i="1" s="1"/>
  <c r="V627" i="1"/>
  <c r="AQ626" i="1"/>
  <c r="AP626" i="1"/>
  <c r="AO626" i="1"/>
  <c r="AN626" i="1"/>
  <c r="AM626" i="1"/>
  <c r="AL626" i="1"/>
  <c r="AK626" i="1"/>
  <c r="AJ626" i="1"/>
  <c r="AI626" i="1"/>
  <c r="AH626" i="1"/>
  <c r="AC626" i="1"/>
  <c r="AB626" i="1"/>
  <c r="AA626" i="1"/>
  <c r="Z626" i="1"/>
  <c r="W626" i="1"/>
  <c r="X626" i="1" s="1"/>
  <c r="Y626" i="1" s="1"/>
  <c r="V626" i="1"/>
  <c r="AQ625" i="1"/>
  <c r="AP625" i="1"/>
  <c r="AO625" i="1"/>
  <c r="AN625" i="1"/>
  <c r="AM625" i="1"/>
  <c r="AL625" i="1"/>
  <c r="AK625" i="1"/>
  <c r="AJ625" i="1"/>
  <c r="AI625" i="1"/>
  <c r="AH625" i="1"/>
  <c r="AC625" i="1"/>
  <c r="AB625" i="1"/>
  <c r="AA625" i="1"/>
  <c r="Z625" i="1"/>
  <c r="W625" i="1"/>
  <c r="X625" i="1" s="1"/>
  <c r="Y625" i="1" s="1"/>
  <c r="V625" i="1"/>
  <c r="AQ624" i="1"/>
  <c r="AP624" i="1"/>
  <c r="AO624" i="1"/>
  <c r="AN624" i="1"/>
  <c r="AM624" i="1"/>
  <c r="AL624" i="1"/>
  <c r="AK624" i="1"/>
  <c r="AJ624" i="1"/>
  <c r="AI624" i="1"/>
  <c r="AH624" i="1"/>
  <c r="AC624" i="1"/>
  <c r="AB624" i="1"/>
  <c r="AA624" i="1"/>
  <c r="Z624" i="1"/>
  <c r="W624" i="1"/>
  <c r="X624" i="1" s="1"/>
  <c r="Y624" i="1" s="1"/>
  <c r="V624" i="1"/>
  <c r="AQ623" i="1"/>
  <c r="AP623" i="1"/>
  <c r="AO623" i="1"/>
  <c r="AN623" i="1"/>
  <c r="AM623" i="1"/>
  <c r="AL623" i="1"/>
  <c r="AK623" i="1"/>
  <c r="AJ623" i="1"/>
  <c r="AI623" i="1"/>
  <c r="AH623" i="1"/>
  <c r="AC623" i="1"/>
  <c r="AB623" i="1"/>
  <c r="AA623" i="1"/>
  <c r="Z623" i="1"/>
  <c r="W623" i="1"/>
  <c r="X623" i="1" s="1"/>
  <c r="Y623" i="1" s="1"/>
  <c r="V623" i="1"/>
  <c r="AQ622" i="1"/>
  <c r="AP622" i="1"/>
  <c r="AO622" i="1"/>
  <c r="AN622" i="1"/>
  <c r="AM622" i="1"/>
  <c r="AL622" i="1"/>
  <c r="AK622" i="1"/>
  <c r="AJ622" i="1"/>
  <c r="AI622" i="1"/>
  <c r="AH622" i="1"/>
  <c r="AC622" i="1"/>
  <c r="AB622" i="1"/>
  <c r="AA622" i="1"/>
  <c r="Z622" i="1"/>
  <c r="W622" i="1"/>
  <c r="X622" i="1" s="1"/>
  <c r="Y622" i="1" s="1"/>
  <c r="V622" i="1"/>
  <c r="AQ621" i="1"/>
  <c r="AP621" i="1"/>
  <c r="AO621" i="1"/>
  <c r="AN621" i="1"/>
  <c r="AM621" i="1"/>
  <c r="AL621" i="1"/>
  <c r="AK621" i="1"/>
  <c r="AJ621" i="1"/>
  <c r="AI621" i="1"/>
  <c r="AH621" i="1"/>
  <c r="AC621" i="1"/>
  <c r="AB621" i="1"/>
  <c r="AA621" i="1"/>
  <c r="Z621" i="1"/>
  <c r="W621" i="1"/>
  <c r="X621" i="1" s="1"/>
  <c r="Y621" i="1" s="1"/>
  <c r="V621" i="1"/>
  <c r="AQ620" i="1"/>
  <c r="AP620" i="1"/>
  <c r="AO620" i="1"/>
  <c r="AN620" i="1"/>
  <c r="AM620" i="1"/>
  <c r="AL620" i="1"/>
  <c r="AK620" i="1"/>
  <c r="AJ620" i="1"/>
  <c r="AI620" i="1"/>
  <c r="AH620" i="1"/>
  <c r="AC620" i="1"/>
  <c r="AB620" i="1"/>
  <c r="AA620" i="1"/>
  <c r="Z620" i="1"/>
  <c r="W620" i="1"/>
  <c r="X620" i="1" s="1"/>
  <c r="Y620" i="1" s="1"/>
  <c r="V620" i="1"/>
  <c r="AQ619" i="1"/>
  <c r="AP619" i="1"/>
  <c r="AO619" i="1"/>
  <c r="AN619" i="1"/>
  <c r="AM619" i="1"/>
  <c r="AL619" i="1"/>
  <c r="AK619" i="1"/>
  <c r="AJ619" i="1"/>
  <c r="AI619" i="1"/>
  <c r="AH619" i="1"/>
  <c r="AC619" i="1"/>
  <c r="AB619" i="1"/>
  <c r="AA619" i="1"/>
  <c r="Z619" i="1"/>
  <c r="W619" i="1"/>
  <c r="X619" i="1" s="1"/>
  <c r="Y619" i="1" s="1"/>
  <c r="V619" i="1"/>
  <c r="AQ618" i="1"/>
  <c r="AP618" i="1"/>
  <c r="AO618" i="1"/>
  <c r="AN618" i="1"/>
  <c r="AM618" i="1"/>
  <c r="AL618" i="1"/>
  <c r="AK618" i="1"/>
  <c r="AJ618" i="1"/>
  <c r="AI618" i="1"/>
  <c r="AH618" i="1"/>
  <c r="AC618" i="1"/>
  <c r="AB618" i="1"/>
  <c r="AA618" i="1"/>
  <c r="Z618" i="1"/>
  <c r="W618" i="1"/>
  <c r="X618" i="1" s="1"/>
  <c r="Y618" i="1" s="1"/>
  <c r="V618" i="1"/>
  <c r="AQ617" i="1"/>
  <c r="AP617" i="1"/>
  <c r="AO617" i="1"/>
  <c r="AN617" i="1"/>
  <c r="AM617" i="1"/>
  <c r="AL617" i="1"/>
  <c r="AK617" i="1"/>
  <c r="AJ617" i="1"/>
  <c r="AI617" i="1"/>
  <c r="AH617" i="1"/>
  <c r="AC617" i="1"/>
  <c r="AB617" i="1"/>
  <c r="AA617" i="1"/>
  <c r="Z617" i="1"/>
  <c r="W617" i="1"/>
  <c r="X617" i="1" s="1"/>
  <c r="Y617" i="1" s="1"/>
  <c r="V617" i="1"/>
  <c r="AQ616" i="1"/>
  <c r="AP616" i="1"/>
  <c r="AO616" i="1"/>
  <c r="AN616" i="1"/>
  <c r="AM616" i="1"/>
  <c r="AL616" i="1"/>
  <c r="AK616" i="1"/>
  <c r="AJ616" i="1"/>
  <c r="AI616" i="1"/>
  <c r="AH616" i="1"/>
  <c r="AC616" i="1"/>
  <c r="AB616" i="1"/>
  <c r="AA616" i="1"/>
  <c r="Z616" i="1"/>
  <c r="W616" i="1"/>
  <c r="X616" i="1" s="1"/>
  <c r="Y616" i="1" s="1"/>
  <c r="V616" i="1"/>
  <c r="AQ615" i="1"/>
  <c r="AP615" i="1"/>
  <c r="AO615" i="1"/>
  <c r="AN615" i="1"/>
  <c r="AM615" i="1"/>
  <c r="AL615" i="1"/>
  <c r="AK615" i="1"/>
  <c r="AJ615" i="1"/>
  <c r="AI615" i="1"/>
  <c r="AH615" i="1"/>
  <c r="AC615" i="1"/>
  <c r="AB615" i="1"/>
  <c r="AA615" i="1"/>
  <c r="Z615" i="1"/>
  <c r="W615" i="1"/>
  <c r="X615" i="1" s="1"/>
  <c r="Y615" i="1" s="1"/>
  <c r="V615" i="1"/>
  <c r="AQ614" i="1"/>
  <c r="AP614" i="1"/>
  <c r="AO614" i="1"/>
  <c r="AN614" i="1"/>
  <c r="AM614" i="1"/>
  <c r="AL614" i="1"/>
  <c r="AK614" i="1"/>
  <c r="AI614" i="1"/>
  <c r="AH614" i="1"/>
  <c r="AC614" i="1"/>
  <c r="AB614" i="1"/>
  <c r="AA614" i="1"/>
  <c r="Z614" i="1"/>
  <c r="W614" i="1"/>
  <c r="X614" i="1" s="1"/>
  <c r="Y614" i="1" s="1"/>
  <c r="V614" i="1"/>
  <c r="AQ613" i="1"/>
  <c r="AP613" i="1"/>
  <c r="AO613" i="1"/>
  <c r="AN613" i="1"/>
  <c r="AM613" i="1"/>
  <c r="AL613" i="1"/>
  <c r="AK613" i="1"/>
  <c r="AJ613" i="1"/>
  <c r="AI613" i="1"/>
  <c r="AH613" i="1"/>
  <c r="AC613" i="1"/>
  <c r="AB613" i="1"/>
  <c r="AA613" i="1"/>
  <c r="Z613" i="1"/>
  <c r="W613" i="1"/>
  <c r="X613" i="1" s="1"/>
  <c r="Y613" i="1" s="1"/>
  <c r="V613" i="1"/>
  <c r="AQ612" i="1"/>
  <c r="AP612" i="1"/>
  <c r="AO612" i="1"/>
  <c r="AN612" i="1"/>
  <c r="AM612" i="1"/>
  <c r="AL612" i="1"/>
  <c r="AK612" i="1"/>
  <c r="AJ612" i="1"/>
  <c r="AI612" i="1"/>
  <c r="AH612" i="1"/>
  <c r="AC612" i="1"/>
  <c r="AB612" i="1"/>
  <c r="AA612" i="1"/>
  <c r="Z612" i="1"/>
  <c r="W612" i="1"/>
  <c r="X612" i="1" s="1"/>
  <c r="Y612" i="1" s="1"/>
  <c r="V612" i="1"/>
  <c r="AQ611" i="1"/>
  <c r="AP611" i="1"/>
  <c r="AO611" i="1"/>
  <c r="AN611" i="1"/>
  <c r="AM611" i="1"/>
  <c r="AL611" i="1"/>
  <c r="AK611" i="1"/>
  <c r="AJ611" i="1"/>
  <c r="AI611" i="1"/>
  <c r="AH611" i="1"/>
  <c r="AC611" i="1"/>
  <c r="AB611" i="1"/>
  <c r="AA611" i="1"/>
  <c r="Z611" i="1"/>
  <c r="W611" i="1"/>
  <c r="X611" i="1" s="1"/>
  <c r="Y611" i="1" s="1"/>
  <c r="V611" i="1"/>
  <c r="AQ610" i="1"/>
  <c r="AP610" i="1"/>
  <c r="AO610" i="1"/>
  <c r="AN610" i="1"/>
  <c r="AM610" i="1"/>
  <c r="AL610" i="1"/>
  <c r="AK610" i="1"/>
  <c r="AJ610" i="1"/>
  <c r="AI610" i="1"/>
  <c r="AH610" i="1"/>
  <c r="AC610" i="1"/>
  <c r="AB610" i="1"/>
  <c r="AA610" i="1"/>
  <c r="Z610" i="1"/>
  <c r="W610" i="1"/>
  <c r="X610" i="1" s="1"/>
  <c r="Y610" i="1" s="1"/>
  <c r="V610" i="1"/>
  <c r="AQ609" i="1"/>
  <c r="AP609" i="1"/>
  <c r="AO609" i="1"/>
  <c r="AN609" i="1"/>
  <c r="AM609" i="1"/>
  <c r="AL609" i="1"/>
  <c r="AK609" i="1"/>
  <c r="AJ609" i="1"/>
  <c r="AI609" i="1"/>
  <c r="AH609" i="1"/>
  <c r="AC609" i="1"/>
  <c r="AB609" i="1"/>
  <c r="AA609" i="1"/>
  <c r="Z609" i="1"/>
  <c r="W609" i="1"/>
  <c r="X609" i="1" s="1"/>
  <c r="Y609" i="1" s="1"/>
  <c r="V609" i="1"/>
  <c r="AQ608" i="1"/>
  <c r="AP608" i="1"/>
  <c r="AO608" i="1"/>
  <c r="AN608" i="1"/>
  <c r="AM608" i="1"/>
  <c r="AL608" i="1"/>
  <c r="AK608" i="1"/>
  <c r="AJ608" i="1"/>
  <c r="AI608" i="1"/>
  <c r="AH608" i="1"/>
  <c r="AC608" i="1"/>
  <c r="AB608" i="1"/>
  <c r="AA608" i="1"/>
  <c r="Z608" i="1"/>
  <c r="W608" i="1"/>
  <c r="X608" i="1" s="1"/>
  <c r="Y608" i="1" s="1"/>
  <c r="V608" i="1"/>
  <c r="AQ607" i="1"/>
  <c r="AP607" i="1"/>
  <c r="AO607" i="1"/>
  <c r="AN607" i="1"/>
  <c r="AM607" i="1"/>
  <c r="AL607" i="1"/>
  <c r="AK607" i="1"/>
  <c r="AJ607" i="1"/>
  <c r="AI607" i="1"/>
  <c r="AH607" i="1"/>
  <c r="AC607" i="1"/>
  <c r="AB607" i="1"/>
  <c r="AA607" i="1"/>
  <c r="Z607" i="1"/>
  <c r="W607" i="1"/>
  <c r="X607" i="1" s="1"/>
  <c r="Y607" i="1" s="1"/>
  <c r="V607" i="1"/>
  <c r="AQ606" i="1"/>
  <c r="AP606" i="1"/>
  <c r="AO606" i="1"/>
  <c r="AN606" i="1"/>
  <c r="AM606" i="1"/>
  <c r="AL606" i="1"/>
  <c r="AK606" i="1"/>
  <c r="AJ606" i="1"/>
  <c r="AI606" i="1"/>
  <c r="AH606" i="1"/>
  <c r="AC606" i="1"/>
  <c r="AB606" i="1"/>
  <c r="AA606" i="1"/>
  <c r="Z606" i="1"/>
  <c r="W606" i="1"/>
  <c r="X606" i="1" s="1"/>
  <c r="Y606" i="1" s="1"/>
  <c r="V606" i="1"/>
  <c r="AQ605" i="1"/>
  <c r="AP605" i="1"/>
  <c r="AO605" i="1"/>
  <c r="AN605" i="1"/>
  <c r="AM605" i="1"/>
  <c r="AL605" i="1"/>
  <c r="AK605" i="1"/>
  <c r="AJ605" i="1"/>
  <c r="AI605" i="1"/>
  <c r="AH605" i="1"/>
  <c r="AC605" i="1"/>
  <c r="AB605" i="1"/>
  <c r="AA605" i="1"/>
  <c r="Z605" i="1"/>
  <c r="W605" i="1"/>
  <c r="X605" i="1" s="1"/>
  <c r="Y605" i="1" s="1"/>
  <c r="V605" i="1"/>
  <c r="AQ604" i="1"/>
  <c r="AP604" i="1"/>
  <c r="AO604" i="1"/>
  <c r="AN604" i="1"/>
  <c r="AM604" i="1"/>
  <c r="AL604" i="1"/>
  <c r="AK604" i="1"/>
  <c r="AJ604" i="1"/>
  <c r="AI604" i="1"/>
  <c r="AH604" i="1"/>
  <c r="AC604" i="1"/>
  <c r="AB604" i="1"/>
  <c r="AA604" i="1"/>
  <c r="Z604" i="1"/>
  <c r="W604" i="1"/>
  <c r="X604" i="1" s="1"/>
  <c r="Y604" i="1" s="1"/>
  <c r="V604" i="1"/>
  <c r="AQ603" i="1"/>
  <c r="AP603" i="1"/>
  <c r="AO603" i="1"/>
  <c r="AN603" i="1"/>
  <c r="AM603" i="1"/>
  <c r="AL603" i="1"/>
  <c r="AK603" i="1"/>
  <c r="AJ603" i="1"/>
  <c r="AI603" i="1"/>
  <c r="AH603" i="1"/>
  <c r="AC603" i="1"/>
  <c r="AB603" i="1"/>
  <c r="AA603" i="1"/>
  <c r="Z603" i="1"/>
  <c r="W603" i="1"/>
  <c r="X603" i="1" s="1"/>
  <c r="Y603" i="1" s="1"/>
  <c r="V603" i="1"/>
  <c r="AQ602" i="1"/>
  <c r="AP602" i="1"/>
  <c r="AO602" i="1"/>
  <c r="AN602" i="1"/>
  <c r="AM602" i="1"/>
  <c r="AL602" i="1"/>
  <c r="AK602" i="1"/>
  <c r="AJ602" i="1"/>
  <c r="AI602" i="1"/>
  <c r="AH602" i="1"/>
  <c r="AC602" i="1"/>
  <c r="AB602" i="1"/>
  <c r="AA602" i="1"/>
  <c r="Z602" i="1"/>
  <c r="W602" i="1"/>
  <c r="X602" i="1" s="1"/>
  <c r="Y602" i="1" s="1"/>
  <c r="V602" i="1"/>
  <c r="AQ601" i="1"/>
  <c r="AP601" i="1"/>
  <c r="AO601" i="1"/>
  <c r="AN601" i="1"/>
  <c r="AM601" i="1"/>
  <c r="AL601" i="1"/>
  <c r="AK601" i="1"/>
  <c r="AJ601" i="1"/>
  <c r="AI601" i="1"/>
  <c r="AH601" i="1"/>
  <c r="AC601" i="1"/>
  <c r="AB601" i="1"/>
  <c r="AA601" i="1"/>
  <c r="Z601" i="1"/>
  <c r="W601" i="1"/>
  <c r="X601" i="1" s="1"/>
  <c r="Y601" i="1" s="1"/>
  <c r="V601" i="1"/>
  <c r="AQ600" i="1"/>
  <c r="AP600" i="1"/>
  <c r="AO600" i="1"/>
  <c r="AN600" i="1"/>
  <c r="AM600" i="1"/>
  <c r="AL600" i="1"/>
  <c r="AK600" i="1"/>
  <c r="AJ600" i="1"/>
  <c r="AI600" i="1"/>
  <c r="AH600" i="1"/>
  <c r="AC600" i="1"/>
  <c r="AB600" i="1"/>
  <c r="AA600" i="1"/>
  <c r="Z600" i="1"/>
  <c r="W600" i="1"/>
  <c r="X600" i="1" s="1"/>
  <c r="Y600" i="1" s="1"/>
  <c r="V600" i="1"/>
  <c r="AQ599" i="1"/>
  <c r="AP599" i="1"/>
  <c r="AO599" i="1"/>
  <c r="AN599" i="1"/>
  <c r="AM599" i="1"/>
  <c r="AL599" i="1"/>
  <c r="AK599" i="1"/>
  <c r="AJ599" i="1"/>
  <c r="AI599" i="1"/>
  <c r="AH599" i="1"/>
  <c r="AC599" i="1"/>
  <c r="AB599" i="1"/>
  <c r="AA599" i="1"/>
  <c r="Z599" i="1"/>
  <c r="W599" i="1"/>
  <c r="X599" i="1" s="1"/>
  <c r="Y599" i="1" s="1"/>
  <c r="V599" i="1"/>
  <c r="AQ598" i="1"/>
  <c r="AP598" i="1"/>
  <c r="AO598" i="1"/>
  <c r="AN598" i="1"/>
  <c r="AM598" i="1"/>
  <c r="AL598" i="1"/>
  <c r="AK598" i="1"/>
  <c r="AJ598" i="1"/>
  <c r="AI598" i="1"/>
  <c r="AH598" i="1"/>
  <c r="AC598" i="1"/>
  <c r="AB598" i="1"/>
  <c r="AA598" i="1"/>
  <c r="Z598" i="1"/>
  <c r="W598" i="1"/>
  <c r="X598" i="1" s="1"/>
  <c r="Y598" i="1" s="1"/>
  <c r="V598" i="1"/>
  <c r="AQ597" i="1"/>
  <c r="AP597" i="1"/>
  <c r="AO597" i="1"/>
  <c r="AN597" i="1"/>
  <c r="AM597" i="1"/>
  <c r="AL597" i="1"/>
  <c r="AK597" i="1"/>
  <c r="AJ597" i="1"/>
  <c r="AI597" i="1"/>
  <c r="AH597" i="1"/>
  <c r="AC597" i="1"/>
  <c r="AB597" i="1"/>
  <c r="AA597" i="1"/>
  <c r="Z597" i="1"/>
  <c r="W597" i="1"/>
  <c r="X597" i="1" s="1"/>
  <c r="Y597" i="1" s="1"/>
  <c r="V597" i="1"/>
  <c r="AQ596" i="1"/>
  <c r="AP596" i="1"/>
  <c r="AO596" i="1"/>
  <c r="AN596" i="1"/>
  <c r="AM596" i="1"/>
  <c r="AL596" i="1"/>
  <c r="AK596" i="1"/>
  <c r="AJ596" i="1"/>
  <c r="AI596" i="1"/>
  <c r="AH596" i="1"/>
  <c r="AC596" i="1"/>
  <c r="AB596" i="1"/>
  <c r="AA596" i="1"/>
  <c r="Z596" i="1"/>
  <c r="W596" i="1"/>
  <c r="X596" i="1" s="1"/>
  <c r="Y596" i="1" s="1"/>
  <c r="V596" i="1"/>
  <c r="AQ595" i="1"/>
  <c r="AP595" i="1"/>
  <c r="AO595" i="1"/>
  <c r="AN595" i="1"/>
  <c r="AM595" i="1"/>
  <c r="AL595" i="1"/>
  <c r="AK595" i="1"/>
  <c r="AJ595" i="1"/>
  <c r="AI595" i="1"/>
  <c r="AH595" i="1"/>
  <c r="AC595" i="1"/>
  <c r="AB595" i="1"/>
  <c r="AA595" i="1"/>
  <c r="Z595" i="1"/>
  <c r="W595" i="1"/>
  <c r="X595" i="1" s="1"/>
  <c r="Y595" i="1" s="1"/>
  <c r="V595" i="1"/>
  <c r="AQ594" i="1"/>
  <c r="AP594" i="1"/>
  <c r="AO594" i="1"/>
  <c r="AN594" i="1"/>
  <c r="AM594" i="1"/>
  <c r="AL594" i="1"/>
  <c r="AK594" i="1"/>
  <c r="AJ594" i="1"/>
  <c r="AI594" i="1"/>
  <c r="AH594" i="1"/>
  <c r="AC594" i="1"/>
  <c r="AB594" i="1"/>
  <c r="AA594" i="1"/>
  <c r="Z594" i="1"/>
  <c r="W594" i="1"/>
  <c r="X594" i="1" s="1"/>
  <c r="Y594" i="1" s="1"/>
  <c r="V594" i="1"/>
  <c r="AQ593" i="1"/>
  <c r="AP593" i="1"/>
  <c r="AO593" i="1"/>
  <c r="AN593" i="1"/>
  <c r="AM593" i="1"/>
  <c r="AL593" i="1"/>
  <c r="AK593" i="1"/>
  <c r="AJ593" i="1"/>
  <c r="AI593" i="1"/>
  <c r="AH593" i="1"/>
  <c r="AC593" i="1"/>
  <c r="AB593" i="1"/>
  <c r="AA593" i="1"/>
  <c r="Z593" i="1"/>
  <c r="W593" i="1"/>
  <c r="X593" i="1" s="1"/>
  <c r="Y593" i="1" s="1"/>
  <c r="V593" i="1"/>
  <c r="AQ592" i="1"/>
  <c r="AP592" i="1"/>
  <c r="AO592" i="1"/>
  <c r="AN592" i="1"/>
  <c r="AM592" i="1"/>
  <c r="AL592" i="1"/>
  <c r="AK592" i="1"/>
  <c r="AJ592" i="1"/>
  <c r="AI592" i="1"/>
  <c r="AH592" i="1"/>
  <c r="AC592" i="1"/>
  <c r="AB592" i="1"/>
  <c r="AA592" i="1"/>
  <c r="Z592" i="1"/>
  <c r="W592" i="1"/>
  <c r="X592" i="1" s="1"/>
  <c r="Y592" i="1" s="1"/>
  <c r="V592" i="1"/>
  <c r="AQ591" i="1"/>
  <c r="AP591" i="1"/>
  <c r="AO591" i="1"/>
  <c r="AN591" i="1"/>
  <c r="AM591" i="1"/>
  <c r="AL591" i="1"/>
  <c r="AK591" i="1"/>
  <c r="AJ591" i="1"/>
  <c r="AI591" i="1"/>
  <c r="AH591" i="1"/>
  <c r="AC591" i="1"/>
  <c r="AB591" i="1"/>
  <c r="AA591" i="1"/>
  <c r="Z591" i="1"/>
  <c r="W591" i="1"/>
  <c r="X591" i="1" s="1"/>
  <c r="Y591" i="1" s="1"/>
  <c r="V591" i="1"/>
  <c r="AQ590" i="1"/>
  <c r="AP590" i="1"/>
  <c r="AO590" i="1"/>
  <c r="AN590" i="1"/>
  <c r="AM590" i="1"/>
  <c r="AL590" i="1"/>
  <c r="AK590" i="1"/>
  <c r="AJ590" i="1"/>
  <c r="AI590" i="1"/>
  <c r="AH590" i="1"/>
  <c r="AC590" i="1"/>
  <c r="AB590" i="1"/>
  <c r="AA590" i="1"/>
  <c r="Z590" i="1"/>
  <c r="W590" i="1"/>
  <c r="X590" i="1" s="1"/>
  <c r="Y590" i="1" s="1"/>
  <c r="V590" i="1"/>
  <c r="AQ589" i="1"/>
  <c r="AP589" i="1"/>
  <c r="AO589" i="1"/>
  <c r="AN589" i="1"/>
  <c r="AM589" i="1"/>
  <c r="AL589" i="1"/>
  <c r="AK589" i="1"/>
  <c r="AJ589" i="1"/>
  <c r="AI589" i="1"/>
  <c r="AH589" i="1"/>
  <c r="AC589" i="1"/>
  <c r="AB589" i="1"/>
  <c r="AA589" i="1"/>
  <c r="Z589" i="1"/>
  <c r="W589" i="1"/>
  <c r="X589" i="1" s="1"/>
  <c r="Y589" i="1" s="1"/>
  <c r="V589" i="1"/>
  <c r="AQ588" i="1"/>
  <c r="AP588" i="1"/>
  <c r="AO588" i="1"/>
  <c r="AN588" i="1"/>
  <c r="AM588" i="1"/>
  <c r="AL588" i="1"/>
  <c r="AK588" i="1"/>
  <c r="AJ588" i="1"/>
  <c r="AI588" i="1"/>
  <c r="AH588" i="1"/>
  <c r="AC588" i="1"/>
  <c r="AB588" i="1"/>
  <c r="AA588" i="1"/>
  <c r="Z588" i="1"/>
  <c r="W588" i="1"/>
  <c r="X588" i="1" s="1"/>
  <c r="Y588" i="1" s="1"/>
  <c r="V588" i="1"/>
  <c r="AQ587" i="1"/>
  <c r="AP587" i="1"/>
  <c r="AO587" i="1"/>
  <c r="AN587" i="1"/>
  <c r="AM587" i="1"/>
  <c r="AL587" i="1"/>
  <c r="AK587" i="1"/>
  <c r="AJ587" i="1"/>
  <c r="AI587" i="1"/>
  <c r="AH587" i="1"/>
  <c r="AC587" i="1"/>
  <c r="AB587" i="1"/>
  <c r="AA587" i="1"/>
  <c r="Z587" i="1"/>
  <c r="W587" i="1"/>
  <c r="X587" i="1" s="1"/>
  <c r="Y587" i="1" s="1"/>
  <c r="V587" i="1"/>
  <c r="AQ586" i="1"/>
  <c r="AP586" i="1"/>
  <c r="AO586" i="1"/>
  <c r="AN586" i="1"/>
  <c r="AM586" i="1"/>
  <c r="AL586" i="1"/>
  <c r="AK586" i="1"/>
  <c r="AJ586" i="1"/>
  <c r="AI586" i="1"/>
  <c r="AH586" i="1"/>
  <c r="AC586" i="1"/>
  <c r="AB586" i="1"/>
  <c r="AA586" i="1"/>
  <c r="Z586" i="1"/>
  <c r="W586" i="1"/>
  <c r="X586" i="1" s="1"/>
  <c r="Y586" i="1" s="1"/>
  <c r="V586" i="1"/>
  <c r="AQ585" i="1"/>
  <c r="AP585" i="1"/>
  <c r="AO585" i="1"/>
  <c r="AN585" i="1"/>
  <c r="AM585" i="1"/>
  <c r="AL585" i="1"/>
  <c r="AK585" i="1"/>
  <c r="AJ585" i="1"/>
  <c r="AI585" i="1"/>
  <c r="AH585" i="1"/>
  <c r="AC585" i="1"/>
  <c r="AB585" i="1"/>
  <c r="AA585" i="1"/>
  <c r="Z585" i="1"/>
  <c r="W585" i="1"/>
  <c r="X585" i="1" s="1"/>
  <c r="Y585" i="1" s="1"/>
  <c r="V585" i="1"/>
  <c r="AQ584" i="1"/>
  <c r="AP584" i="1"/>
  <c r="AO584" i="1"/>
  <c r="AN584" i="1"/>
  <c r="AM584" i="1"/>
  <c r="AL584" i="1"/>
  <c r="AK584" i="1"/>
  <c r="AJ584" i="1"/>
  <c r="AI584" i="1"/>
  <c r="AH584" i="1"/>
  <c r="AC584" i="1"/>
  <c r="AB584" i="1"/>
  <c r="AA584" i="1"/>
  <c r="Z584" i="1"/>
  <c r="W584" i="1"/>
  <c r="X584" i="1" s="1"/>
  <c r="Y584" i="1" s="1"/>
  <c r="V584" i="1"/>
  <c r="AQ583" i="1"/>
  <c r="AP583" i="1"/>
  <c r="AO583" i="1"/>
  <c r="AN583" i="1"/>
  <c r="AM583" i="1"/>
  <c r="AL583" i="1"/>
  <c r="AK583" i="1"/>
  <c r="AJ583" i="1"/>
  <c r="AI583" i="1"/>
  <c r="AH583" i="1"/>
  <c r="AC583" i="1"/>
  <c r="AB583" i="1"/>
  <c r="AA583" i="1"/>
  <c r="Z583" i="1"/>
  <c r="W583" i="1"/>
  <c r="X583" i="1" s="1"/>
  <c r="Y583" i="1" s="1"/>
  <c r="V583" i="1"/>
  <c r="AQ582" i="1"/>
  <c r="AP582" i="1"/>
  <c r="AO582" i="1"/>
  <c r="AN582" i="1"/>
  <c r="AM582" i="1"/>
  <c r="AL582" i="1"/>
  <c r="AK582" i="1"/>
  <c r="AJ582" i="1"/>
  <c r="AI582" i="1"/>
  <c r="AH582" i="1"/>
  <c r="AC582" i="1"/>
  <c r="AB582" i="1"/>
  <c r="AA582" i="1"/>
  <c r="Z582" i="1"/>
  <c r="W582" i="1"/>
  <c r="X582" i="1" s="1"/>
  <c r="Y582" i="1" s="1"/>
  <c r="V582" i="1"/>
  <c r="AQ581" i="1"/>
  <c r="AP581" i="1"/>
  <c r="AO581" i="1"/>
  <c r="AN581" i="1"/>
  <c r="AM581" i="1"/>
  <c r="AL581" i="1"/>
  <c r="AK581" i="1"/>
  <c r="AJ581" i="1"/>
  <c r="AI581" i="1"/>
  <c r="AH581" i="1"/>
  <c r="AC581" i="1"/>
  <c r="AB581" i="1"/>
  <c r="AA581" i="1"/>
  <c r="Z581" i="1"/>
  <c r="W581" i="1"/>
  <c r="X581" i="1" s="1"/>
  <c r="Y581" i="1" s="1"/>
  <c r="V581" i="1"/>
  <c r="AQ580" i="1"/>
  <c r="AP580" i="1"/>
  <c r="AO580" i="1"/>
  <c r="AN580" i="1"/>
  <c r="AM580" i="1"/>
  <c r="AL580" i="1"/>
  <c r="AK580" i="1"/>
  <c r="AJ580" i="1"/>
  <c r="AI580" i="1"/>
  <c r="AH580" i="1"/>
  <c r="AC580" i="1"/>
  <c r="AB580" i="1"/>
  <c r="AA580" i="1"/>
  <c r="Z580" i="1"/>
  <c r="W580" i="1"/>
  <c r="X580" i="1" s="1"/>
  <c r="Y580" i="1" s="1"/>
  <c r="V580" i="1"/>
  <c r="AQ579" i="1"/>
  <c r="AP579" i="1"/>
  <c r="AO579" i="1"/>
  <c r="AN579" i="1"/>
  <c r="AM579" i="1"/>
  <c r="AL579" i="1"/>
  <c r="AK579" i="1"/>
  <c r="AJ579" i="1"/>
  <c r="AI579" i="1"/>
  <c r="AH579" i="1"/>
  <c r="AC579" i="1"/>
  <c r="AB579" i="1"/>
  <c r="AA579" i="1"/>
  <c r="Z579" i="1"/>
  <c r="W579" i="1"/>
  <c r="X579" i="1" s="1"/>
  <c r="Y579" i="1" s="1"/>
  <c r="V579" i="1"/>
  <c r="AQ578" i="1"/>
  <c r="AP578" i="1"/>
  <c r="AO578" i="1"/>
  <c r="AN578" i="1"/>
  <c r="AM578" i="1"/>
  <c r="AL578" i="1"/>
  <c r="AK578" i="1"/>
  <c r="AI578" i="1"/>
  <c r="AH578" i="1"/>
  <c r="AC578" i="1"/>
  <c r="AB578" i="1"/>
  <c r="AA578" i="1"/>
  <c r="Z578" i="1"/>
  <c r="W578" i="1"/>
  <c r="X578" i="1" s="1"/>
  <c r="Y578" i="1" s="1"/>
  <c r="V578" i="1"/>
  <c r="AQ577" i="1"/>
  <c r="AP577" i="1"/>
  <c r="AO577" i="1"/>
  <c r="AN577" i="1"/>
  <c r="AM577" i="1"/>
  <c r="AL577" i="1"/>
  <c r="AK577" i="1"/>
  <c r="AJ577" i="1"/>
  <c r="AI577" i="1"/>
  <c r="AH577" i="1"/>
  <c r="AC577" i="1"/>
  <c r="AB577" i="1"/>
  <c r="AA577" i="1"/>
  <c r="Z577" i="1"/>
  <c r="W577" i="1"/>
  <c r="X577" i="1" s="1"/>
  <c r="Y577" i="1" s="1"/>
  <c r="V577" i="1"/>
  <c r="AQ576" i="1"/>
  <c r="AP576" i="1"/>
  <c r="AO576" i="1"/>
  <c r="AN576" i="1"/>
  <c r="AM576" i="1"/>
  <c r="AL576" i="1"/>
  <c r="AK576" i="1"/>
  <c r="AJ576" i="1"/>
  <c r="AI576" i="1"/>
  <c r="AH576" i="1"/>
  <c r="AC576" i="1"/>
  <c r="AB576" i="1"/>
  <c r="AA576" i="1"/>
  <c r="Z576" i="1"/>
  <c r="W576" i="1"/>
  <c r="X576" i="1" s="1"/>
  <c r="Y576" i="1" s="1"/>
  <c r="V576" i="1"/>
  <c r="AQ575" i="1"/>
  <c r="AP575" i="1"/>
  <c r="AO575" i="1"/>
  <c r="AN575" i="1"/>
  <c r="AM575" i="1"/>
  <c r="AL575" i="1"/>
  <c r="AK575" i="1"/>
  <c r="AJ575" i="1"/>
  <c r="AI575" i="1"/>
  <c r="AH575" i="1"/>
  <c r="AC575" i="1"/>
  <c r="AB575" i="1"/>
  <c r="AA575" i="1"/>
  <c r="Z575" i="1"/>
  <c r="W575" i="1"/>
  <c r="X575" i="1" s="1"/>
  <c r="Y575" i="1" s="1"/>
  <c r="V575" i="1"/>
  <c r="AQ574" i="1"/>
  <c r="AP574" i="1"/>
  <c r="AO574" i="1"/>
  <c r="AN574" i="1"/>
  <c r="AM574" i="1"/>
  <c r="AL574" i="1"/>
  <c r="AK574" i="1"/>
  <c r="AJ574" i="1"/>
  <c r="AI574" i="1"/>
  <c r="AH574" i="1"/>
  <c r="AC574" i="1"/>
  <c r="AB574" i="1"/>
  <c r="AA574" i="1"/>
  <c r="Z574" i="1"/>
  <c r="W574" i="1"/>
  <c r="X574" i="1" s="1"/>
  <c r="Y574" i="1" s="1"/>
  <c r="V574" i="1"/>
  <c r="AQ573" i="1"/>
  <c r="AP573" i="1"/>
  <c r="AN573" i="1"/>
  <c r="AM573" i="1"/>
  <c r="AL573" i="1"/>
  <c r="AK573" i="1"/>
  <c r="AJ573" i="1"/>
  <c r="AI573" i="1"/>
  <c r="AH573" i="1"/>
  <c r="AC573" i="1"/>
  <c r="AB573" i="1"/>
  <c r="AA573" i="1"/>
  <c r="Z573" i="1"/>
  <c r="W573" i="1"/>
  <c r="X573" i="1" s="1"/>
  <c r="Y573" i="1" s="1"/>
  <c r="V573" i="1"/>
  <c r="AQ572" i="1"/>
  <c r="AP572" i="1"/>
  <c r="AO572" i="1"/>
  <c r="AN572" i="1"/>
  <c r="AM572" i="1"/>
  <c r="AL572" i="1"/>
  <c r="AK572" i="1"/>
  <c r="AJ572" i="1"/>
  <c r="AI572" i="1"/>
  <c r="AH572" i="1"/>
  <c r="AC572" i="1"/>
  <c r="AB572" i="1"/>
  <c r="AA572" i="1"/>
  <c r="Z572" i="1"/>
  <c r="W572" i="1"/>
  <c r="X572" i="1" s="1"/>
  <c r="Y572" i="1" s="1"/>
  <c r="V572" i="1"/>
  <c r="AQ571" i="1"/>
  <c r="AP571" i="1"/>
  <c r="AO571" i="1"/>
  <c r="AN571" i="1"/>
  <c r="AM571" i="1"/>
  <c r="AL571" i="1"/>
  <c r="AK571" i="1"/>
  <c r="AJ571" i="1"/>
  <c r="AI571" i="1"/>
  <c r="AH571" i="1"/>
  <c r="AC571" i="1"/>
  <c r="AB571" i="1"/>
  <c r="AA571" i="1"/>
  <c r="Z571" i="1"/>
  <c r="W571" i="1"/>
  <c r="X571" i="1" s="1"/>
  <c r="Y571" i="1" s="1"/>
  <c r="V571" i="1"/>
  <c r="AQ570" i="1"/>
  <c r="AP570" i="1"/>
  <c r="AO570" i="1"/>
  <c r="AN570" i="1"/>
  <c r="AM570" i="1"/>
  <c r="AL570" i="1"/>
  <c r="AK570" i="1"/>
  <c r="AJ570" i="1"/>
  <c r="AI570" i="1"/>
  <c r="AH570" i="1"/>
  <c r="AC570" i="1"/>
  <c r="AB570" i="1"/>
  <c r="AA570" i="1"/>
  <c r="Z570" i="1"/>
  <c r="W570" i="1"/>
  <c r="X570" i="1" s="1"/>
  <c r="Y570" i="1" s="1"/>
  <c r="V570" i="1"/>
  <c r="AQ569" i="1"/>
  <c r="AP569" i="1"/>
  <c r="AO569" i="1"/>
  <c r="AN569" i="1"/>
  <c r="AM569" i="1"/>
  <c r="AL569" i="1"/>
  <c r="AK569" i="1"/>
  <c r="AJ569" i="1"/>
  <c r="AI569" i="1"/>
  <c r="AH569" i="1"/>
  <c r="AC569" i="1"/>
  <c r="AB569" i="1"/>
  <c r="AA569" i="1"/>
  <c r="Z569" i="1"/>
  <c r="W569" i="1"/>
  <c r="X569" i="1" s="1"/>
  <c r="Y569" i="1" s="1"/>
  <c r="V569" i="1"/>
  <c r="AQ568" i="1"/>
  <c r="AP568" i="1"/>
  <c r="AO568" i="1"/>
  <c r="AN568" i="1"/>
  <c r="AM568" i="1"/>
  <c r="AL568" i="1"/>
  <c r="AK568" i="1"/>
  <c r="AJ568" i="1"/>
  <c r="AI568" i="1"/>
  <c r="AH568" i="1"/>
  <c r="AC568" i="1"/>
  <c r="AB568" i="1"/>
  <c r="AA568" i="1"/>
  <c r="Z568" i="1"/>
  <c r="W568" i="1"/>
  <c r="X568" i="1" s="1"/>
  <c r="Y568" i="1" s="1"/>
  <c r="V568" i="1"/>
  <c r="AQ567" i="1"/>
  <c r="AP567" i="1"/>
  <c r="AO567" i="1"/>
  <c r="AN567" i="1"/>
  <c r="AM567" i="1"/>
  <c r="AL567" i="1"/>
  <c r="AK567" i="1"/>
  <c r="AJ567" i="1"/>
  <c r="AI567" i="1"/>
  <c r="AH567" i="1"/>
  <c r="AC567" i="1"/>
  <c r="AB567" i="1"/>
  <c r="AA567" i="1"/>
  <c r="Z567" i="1"/>
  <c r="W567" i="1"/>
  <c r="X567" i="1" s="1"/>
  <c r="Y567" i="1" s="1"/>
  <c r="V567" i="1"/>
  <c r="AQ566" i="1"/>
  <c r="AP566" i="1"/>
  <c r="AO566" i="1"/>
  <c r="AN566" i="1"/>
  <c r="AM566" i="1"/>
  <c r="AL566" i="1"/>
  <c r="AK566" i="1"/>
  <c r="AJ566" i="1"/>
  <c r="AI566" i="1"/>
  <c r="AH566" i="1"/>
  <c r="AC566" i="1"/>
  <c r="AB566" i="1"/>
  <c r="AA566" i="1"/>
  <c r="Z566" i="1"/>
  <c r="W566" i="1"/>
  <c r="X566" i="1" s="1"/>
  <c r="Y566" i="1" s="1"/>
  <c r="V566" i="1"/>
  <c r="AQ565" i="1"/>
  <c r="AP565" i="1"/>
  <c r="AO565" i="1"/>
  <c r="AN565" i="1"/>
  <c r="AM565" i="1"/>
  <c r="AL565" i="1"/>
  <c r="AK565" i="1"/>
  <c r="AJ565" i="1"/>
  <c r="AI565" i="1"/>
  <c r="AH565" i="1"/>
  <c r="AC565" i="1"/>
  <c r="AB565" i="1"/>
  <c r="AA565" i="1"/>
  <c r="Z565" i="1"/>
  <c r="W565" i="1"/>
  <c r="X565" i="1" s="1"/>
  <c r="Y565" i="1" s="1"/>
  <c r="V565" i="1"/>
  <c r="AQ564" i="1"/>
  <c r="AP564" i="1"/>
  <c r="AO564" i="1"/>
  <c r="AN564" i="1"/>
  <c r="AM564" i="1"/>
  <c r="AL564" i="1"/>
  <c r="AK564" i="1"/>
  <c r="AJ564" i="1"/>
  <c r="AI564" i="1"/>
  <c r="AH564" i="1"/>
  <c r="AC564" i="1"/>
  <c r="AB564" i="1"/>
  <c r="AA564" i="1"/>
  <c r="Z564" i="1"/>
  <c r="W564" i="1"/>
  <c r="X564" i="1" s="1"/>
  <c r="Y564" i="1" s="1"/>
  <c r="V564" i="1"/>
  <c r="AQ563" i="1"/>
  <c r="AP563" i="1"/>
  <c r="AO563" i="1"/>
  <c r="AN563" i="1"/>
  <c r="AM563" i="1"/>
  <c r="AL563" i="1"/>
  <c r="AK563" i="1"/>
  <c r="AJ563" i="1"/>
  <c r="AI563" i="1"/>
  <c r="AH563" i="1"/>
  <c r="AC563" i="1"/>
  <c r="AB563" i="1"/>
  <c r="AA563" i="1"/>
  <c r="Z563" i="1"/>
  <c r="W563" i="1"/>
  <c r="X563" i="1" s="1"/>
  <c r="Y563" i="1" s="1"/>
  <c r="V563" i="1"/>
  <c r="AQ562" i="1"/>
  <c r="AP562" i="1"/>
  <c r="AO562" i="1"/>
  <c r="AN562" i="1"/>
  <c r="AM562" i="1"/>
  <c r="AL562" i="1"/>
  <c r="AK562" i="1"/>
  <c r="AJ562" i="1"/>
  <c r="AI562" i="1"/>
  <c r="AH562" i="1"/>
  <c r="AC562" i="1"/>
  <c r="AB562" i="1"/>
  <c r="AA562" i="1"/>
  <c r="Z562" i="1"/>
  <c r="W562" i="1"/>
  <c r="X562" i="1" s="1"/>
  <c r="Y562" i="1" s="1"/>
  <c r="V562" i="1"/>
  <c r="AQ561" i="1"/>
  <c r="AP561" i="1"/>
  <c r="AO561" i="1"/>
  <c r="AN561" i="1"/>
  <c r="AM561" i="1"/>
  <c r="AL561" i="1"/>
  <c r="AK561" i="1"/>
  <c r="AJ561" i="1"/>
  <c r="AI561" i="1"/>
  <c r="AH561" i="1"/>
  <c r="AC561" i="1"/>
  <c r="AB561" i="1"/>
  <c r="AA561" i="1"/>
  <c r="Z561" i="1"/>
  <c r="W561" i="1"/>
  <c r="X561" i="1" s="1"/>
  <c r="Y561" i="1" s="1"/>
  <c r="V561" i="1"/>
  <c r="AQ560" i="1"/>
  <c r="AP560" i="1"/>
  <c r="AO560" i="1"/>
  <c r="AN560" i="1"/>
  <c r="AM560" i="1"/>
  <c r="AL560" i="1"/>
  <c r="AK560" i="1"/>
  <c r="AJ560" i="1"/>
  <c r="AI560" i="1"/>
  <c r="AH560" i="1"/>
  <c r="AC560" i="1"/>
  <c r="AB560" i="1"/>
  <c r="AA560" i="1"/>
  <c r="Z560" i="1"/>
  <c r="W560" i="1"/>
  <c r="X560" i="1" s="1"/>
  <c r="Y560" i="1" s="1"/>
  <c r="V560" i="1"/>
  <c r="AQ559" i="1"/>
  <c r="AP559" i="1"/>
  <c r="AO559" i="1"/>
  <c r="AN559" i="1"/>
  <c r="AM559" i="1"/>
  <c r="AL559" i="1"/>
  <c r="AK559" i="1"/>
  <c r="AJ559" i="1"/>
  <c r="AI559" i="1"/>
  <c r="AH559" i="1"/>
  <c r="AC559" i="1"/>
  <c r="AB559" i="1"/>
  <c r="AA559" i="1"/>
  <c r="Z559" i="1"/>
  <c r="W559" i="1"/>
  <c r="X559" i="1" s="1"/>
  <c r="Y559" i="1" s="1"/>
  <c r="V559" i="1"/>
  <c r="AQ558" i="1"/>
  <c r="AP558" i="1"/>
  <c r="AO558" i="1"/>
  <c r="AN558" i="1"/>
  <c r="AM558" i="1"/>
  <c r="AL558" i="1"/>
  <c r="AK558" i="1"/>
  <c r="AJ558" i="1"/>
  <c r="AI558" i="1"/>
  <c r="AH558" i="1"/>
  <c r="AC558" i="1"/>
  <c r="AB558" i="1"/>
  <c r="AA558" i="1"/>
  <c r="Z558" i="1"/>
  <c r="W558" i="1"/>
  <c r="X558" i="1" s="1"/>
  <c r="Y558" i="1" s="1"/>
  <c r="V558" i="1"/>
  <c r="AQ557" i="1"/>
  <c r="AP557" i="1"/>
  <c r="AO557" i="1"/>
  <c r="AN557" i="1"/>
  <c r="AM557" i="1"/>
  <c r="AL557" i="1"/>
  <c r="AK557" i="1"/>
  <c r="AJ557" i="1"/>
  <c r="AI557" i="1"/>
  <c r="AH557" i="1"/>
  <c r="AC557" i="1"/>
  <c r="AB557" i="1"/>
  <c r="AA557" i="1"/>
  <c r="Z557" i="1"/>
  <c r="W557" i="1"/>
  <c r="X557" i="1" s="1"/>
  <c r="Y557" i="1" s="1"/>
  <c r="V557" i="1"/>
  <c r="AQ556" i="1"/>
  <c r="AP556" i="1"/>
  <c r="AO556" i="1"/>
  <c r="AN556" i="1"/>
  <c r="AM556" i="1"/>
  <c r="AL556" i="1"/>
  <c r="AK556" i="1"/>
  <c r="AI556" i="1"/>
  <c r="AH556" i="1"/>
  <c r="AC556" i="1"/>
  <c r="AB556" i="1"/>
  <c r="AA556" i="1"/>
  <c r="Z556" i="1"/>
  <c r="W556" i="1"/>
  <c r="X556" i="1" s="1"/>
  <c r="Y556" i="1" s="1"/>
  <c r="V556" i="1"/>
  <c r="AQ555" i="1"/>
  <c r="AP555" i="1"/>
  <c r="AO555" i="1"/>
  <c r="AN555" i="1"/>
  <c r="AM555" i="1"/>
  <c r="AL555" i="1"/>
  <c r="AK555" i="1"/>
  <c r="AJ555" i="1"/>
  <c r="AI555" i="1"/>
  <c r="AH555" i="1"/>
  <c r="AC555" i="1"/>
  <c r="AB555" i="1"/>
  <c r="AA555" i="1"/>
  <c r="Z555" i="1"/>
  <c r="W555" i="1"/>
  <c r="X555" i="1" s="1"/>
  <c r="Y555" i="1" s="1"/>
  <c r="V555" i="1"/>
  <c r="AQ554" i="1"/>
  <c r="AP554" i="1"/>
  <c r="AO554" i="1"/>
  <c r="AN554" i="1"/>
  <c r="AM554" i="1"/>
  <c r="AL554" i="1"/>
  <c r="AK554" i="1"/>
  <c r="AJ554" i="1"/>
  <c r="AI554" i="1"/>
  <c r="AH554" i="1"/>
  <c r="AC554" i="1"/>
  <c r="AB554" i="1"/>
  <c r="AA554" i="1"/>
  <c r="Z554" i="1"/>
  <c r="W554" i="1"/>
  <c r="X554" i="1" s="1"/>
  <c r="Y554" i="1" s="1"/>
  <c r="V554" i="1"/>
  <c r="AQ553" i="1"/>
  <c r="AP553" i="1"/>
  <c r="AO553" i="1"/>
  <c r="AN553" i="1"/>
  <c r="AM553" i="1"/>
  <c r="AL553" i="1"/>
  <c r="AK553" i="1"/>
  <c r="AJ553" i="1"/>
  <c r="AI553" i="1"/>
  <c r="AH553" i="1"/>
  <c r="AC553" i="1"/>
  <c r="AB553" i="1"/>
  <c r="AA553" i="1"/>
  <c r="Z553" i="1"/>
  <c r="W553" i="1"/>
  <c r="X553" i="1" s="1"/>
  <c r="Y553" i="1" s="1"/>
  <c r="V553" i="1"/>
  <c r="AQ552" i="1"/>
  <c r="AP552" i="1"/>
  <c r="AO552" i="1"/>
  <c r="AN552" i="1"/>
  <c r="AM552" i="1"/>
  <c r="AL552" i="1"/>
  <c r="AK552" i="1"/>
  <c r="AJ552" i="1"/>
  <c r="AI552" i="1"/>
  <c r="AH552" i="1"/>
  <c r="AC552" i="1"/>
  <c r="AB552" i="1"/>
  <c r="AA552" i="1"/>
  <c r="Z552" i="1"/>
  <c r="W552" i="1"/>
  <c r="X552" i="1" s="1"/>
  <c r="Y552" i="1" s="1"/>
  <c r="V552" i="1"/>
  <c r="AQ551" i="1"/>
  <c r="AP551" i="1"/>
  <c r="AO551" i="1"/>
  <c r="AN551" i="1"/>
  <c r="AM551" i="1"/>
  <c r="AL551" i="1"/>
  <c r="AK551" i="1"/>
  <c r="AJ551" i="1"/>
  <c r="AI551" i="1"/>
  <c r="AH551" i="1"/>
  <c r="AC551" i="1"/>
  <c r="AB551" i="1"/>
  <c r="AA551" i="1"/>
  <c r="Z551" i="1"/>
  <c r="W551" i="1"/>
  <c r="X551" i="1" s="1"/>
  <c r="Y551" i="1" s="1"/>
  <c r="V551" i="1"/>
  <c r="AQ550" i="1"/>
  <c r="AP550" i="1"/>
  <c r="AO550" i="1"/>
  <c r="AN550" i="1"/>
  <c r="AM550" i="1"/>
  <c r="AL550" i="1"/>
  <c r="AK550" i="1"/>
  <c r="AJ550" i="1"/>
  <c r="AI550" i="1"/>
  <c r="AH550" i="1"/>
  <c r="AC550" i="1"/>
  <c r="AB550" i="1"/>
  <c r="AA550" i="1"/>
  <c r="Z550" i="1"/>
  <c r="W550" i="1"/>
  <c r="X550" i="1" s="1"/>
  <c r="Y550" i="1" s="1"/>
  <c r="V550" i="1"/>
  <c r="AQ549" i="1"/>
  <c r="AP549" i="1"/>
  <c r="AO549" i="1"/>
  <c r="AN549" i="1"/>
  <c r="AM549" i="1"/>
  <c r="AL549" i="1"/>
  <c r="AK549" i="1"/>
  <c r="AJ549" i="1"/>
  <c r="AI549" i="1"/>
  <c r="AH549" i="1"/>
  <c r="AC549" i="1"/>
  <c r="AB549" i="1"/>
  <c r="AA549" i="1"/>
  <c r="Z549" i="1"/>
  <c r="W549" i="1"/>
  <c r="X549" i="1" s="1"/>
  <c r="Y549" i="1" s="1"/>
  <c r="V549" i="1"/>
  <c r="AQ548" i="1"/>
  <c r="AP548" i="1"/>
  <c r="AO548" i="1"/>
  <c r="AN548" i="1"/>
  <c r="AM548" i="1"/>
  <c r="AL548" i="1"/>
  <c r="AK548" i="1"/>
  <c r="AJ548" i="1"/>
  <c r="AI548" i="1"/>
  <c r="AH548" i="1"/>
  <c r="AC548" i="1"/>
  <c r="AB548" i="1"/>
  <c r="AA548" i="1"/>
  <c r="Z548" i="1"/>
  <c r="W548" i="1"/>
  <c r="X548" i="1" s="1"/>
  <c r="Y548" i="1" s="1"/>
  <c r="V548" i="1"/>
  <c r="AQ547" i="1"/>
  <c r="AP547" i="1"/>
  <c r="AO547" i="1"/>
  <c r="AN547" i="1"/>
  <c r="AM547" i="1"/>
  <c r="AL547" i="1"/>
  <c r="AK547" i="1"/>
  <c r="AJ547" i="1"/>
  <c r="AI547" i="1"/>
  <c r="AH547" i="1"/>
  <c r="AC547" i="1"/>
  <c r="AB547" i="1"/>
  <c r="AA547" i="1"/>
  <c r="Z547" i="1"/>
  <c r="W547" i="1"/>
  <c r="X547" i="1" s="1"/>
  <c r="Y547" i="1" s="1"/>
  <c r="V547" i="1"/>
  <c r="AQ546" i="1"/>
  <c r="AP546" i="1"/>
  <c r="AO546" i="1"/>
  <c r="AN546" i="1"/>
  <c r="AM546" i="1"/>
  <c r="AL546" i="1"/>
  <c r="AK546" i="1"/>
  <c r="AJ546" i="1"/>
  <c r="AI546" i="1"/>
  <c r="AH546" i="1"/>
  <c r="AC546" i="1"/>
  <c r="AB546" i="1"/>
  <c r="AA546" i="1"/>
  <c r="Z546" i="1"/>
  <c r="W546" i="1"/>
  <c r="X546" i="1" s="1"/>
  <c r="Y546" i="1" s="1"/>
  <c r="V546" i="1"/>
  <c r="AQ545" i="1"/>
  <c r="AP545" i="1"/>
  <c r="AO545" i="1"/>
  <c r="AN545" i="1"/>
  <c r="AM545" i="1"/>
  <c r="AL545" i="1"/>
  <c r="AK545" i="1"/>
  <c r="AJ545" i="1"/>
  <c r="AI545" i="1"/>
  <c r="AH545" i="1"/>
  <c r="AC545" i="1"/>
  <c r="AB545" i="1"/>
  <c r="AA545" i="1"/>
  <c r="Z545" i="1"/>
  <c r="W545" i="1"/>
  <c r="X545" i="1" s="1"/>
  <c r="Y545" i="1" s="1"/>
  <c r="V545" i="1"/>
  <c r="AQ544" i="1"/>
  <c r="AP544" i="1"/>
  <c r="AO544" i="1"/>
  <c r="AN544" i="1"/>
  <c r="AM544" i="1"/>
  <c r="AL544" i="1"/>
  <c r="AK544" i="1"/>
  <c r="AJ544" i="1"/>
  <c r="AI544" i="1"/>
  <c r="AH544" i="1"/>
  <c r="AC544" i="1"/>
  <c r="AB544" i="1"/>
  <c r="AA544" i="1"/>
  <c r="Z544" i="1"/>
  <c r="W544" i="1"/>
  <c r="X544" i="1" s="1"/>
  <c r="Y544" i="1" s="1"/>
  <c r="V544" i="1"/>
  <c r="AQ543" i="1"/>
  <c r="AP543" i="1"/>
  <c r="AO543" i="1"/>
  <c r="AN543" i="1"/>
  <c r="AM543" i="1"/>
  <c r="AL543" i="1"/>
  <c r="AK543" i="1"/>
  <c r="AJ543" i="1"/>
  <c r="AI543" i="1"/>
  <c r="AH543" i="1"/>
  <c r="AC543" i="1"/>
  <c r="AB543" i="1"/>
  <c r="AA543" i="1"/>
  <c r="Z543" i="1"/>
  <c r="W543" i="1"/>
  <c r="X543" i="1" s="1"/>
  <c r="Y543" i="1" s="1"/>
  <c r="V543" i="1"/>
  <c r="AQ542" i="1"/>
  <c r="AP542" i="1"/>
  <c r="AO542" i="1"/>
  <c r="AN542" i="1"/>
  <c r="AM542" i="1"/>
  <c r="AL542" i="1"/>
  <c r="AK542" i="1"/>
  <c r="AJ542" i="1"/>
  <c r="AI542" i="1"/>
  <c r="AH542" i="1"/>
  <c r="AC542" i="1"/>
  <c r="AB542" i="1"/>
  <c r="AA542" i="1"/>
  <c r="Z542" i="1"/>
  <c r="W542" i="1"/>
  <c r="X542" i="1" s="1"/>
  <c r="Y542" i="1" s="1"/>
  <c r="V542" i="1"/>
  <c r="AQ541" i="1"/>
  <c r="AP541" i="1"/>
  <c r="AO541" i="1"/>
  <c r="AN541" i="1"/>
  <c r="AM541" i="1"/>
  <c r="AL541" i="1"/>
  <c r="AK541" i="1"/>
  <c r="AJ541" i="1"/>
  <c r="AI541" i="1"/>
  <c r="AH541" i="1"/>
  <c r="AC541" i="1"/>
  <c r="AB541" i="1"/>
  <c r="AA541" i="1"/>
  <c r="Z541" i="1"/>
  <c r="W541" i="1"/>
  <c r="X541" i="1" s="1"/>
  <c r="Y541" i="1" s="1"/>
  <c r="V541" i="1"/>
  <c r="AQ540" i="1"/>
  <c r="AP540" i="1"/>
  <c r="AO540" i="1"/>
  <c r="AN540" i="1"/>
  <c r="AM540" i="1"/>
  <c r="AL540" i="1"/>
  <c r="AK540" i="1"/>
  <c r="AJ540" i="1"/>
  <c r="AI540" i="1"/>
  <c r="AH540" i="1"/>
  <c r="AC540" i="1"/>
  <c r="AB540" i="1"/>
  <c r="AA540" i="1"/>
  <c r="Z540" i="1"/>
  <c r="W540" i="1"/>
  <c r="X540" i="1" s="1"/>
  <c r="Y540" i="1" s="1"/>
  <c r="V540" i="1"/>
  <c r="AQ539" i="1"/>
  <c r="AP539" i="1"/>
  <c r="AO539" i="1"/>
  <c r="AN539" i="1"/>
  <c r="AM539" i="1"/>
  <c r="AL539" i="1"/>
  <c r="AK539" i="1"/>
  <c r="AJ539" i="1"/>
  <c r="AI539" i="1"/>
  <c r="AH539" i="1"/>
  <c r="AC539" i="1"/>
  <c r="AB539" i="1"/>
  <c r="AA539" i="1"/>
  <c r="Z539" i="1"/>
  <c r="W539" i="1"/>
  <c r="X539" i="1" s="1"/>
  <c r="Y539" i="1" s="1"/>
  <c r="V539" i="1"/>
  <c r="AQ538" i="1"/>
  <c r="AP538" i="1"/>
  <c r="AO538" i="1"/>
  <c r="AN538" i="1"/>
  <c r="AM538" i="1"/>
  <c r="AL538" i="1"/>
  <c r="AK538" i="1"/>
  <c r="AJ538" i="1"/>
  <c r="AI538" i="1"/>
  <c r="AH538" i="1"/>
  <c r="AC538" i="1"/>
  <c r="AB538" i="1"/>
  <c r="AA538" i="1"/>
  <c r="Z538" i="1"/>
  <c r="W538" i="1"/>
  <c r="X538" i="1" s="1"/>
  <c r="Y538" i="1" s="1"/>
  <c r="V538" i="1"/>
  <c r="AQ537" i="1"/>
  <c r="AP537" i="1"/>
  <c r="AO537" i="1"/>
  <c r="AN537" i="1"/>
  <c r="AM537" i="1"/>
  <c r="AL537" i="1"/>
  <c r="AK537" i="1"/>
  <c r="AJ537" i="1"/>
  <c r="AI537" i="1"/>
  <c r="AH537" i="1"/>
  <c r="AC537" i="1"/>
  <c r="AB537" i="1"/>
  <c r="AA537" i="1"/>
  <c r="Z537" i="1"/>
  <c r="W537" i="1"/>
  <c r="X537" i="1" s="1"/>
  <c r="Y537" i="1" s="1"/>
  <c r="V537" i="1"/>
  <c r="AQ536" i="1"/>
  <c r="AP536" i="1"/>
  <c r="AO536" i="1"/>
  <c r="AN536" i="1"/>
  <c r="AM536" i="1"/>
  <c r="AL536" i="1"/>
  <c r="AK536" i="1"/>
  <c r="AJ536" i="1"/>
  <c r="AI536" i="1"/>
  <c r="AH536" i="1"/>
  <c r="AC536" i="1"/>
  <c r="AB536" i="1"/>
  <c r="AA536" i="1"/>
  <c r="Z536" i="1"/>
  <c r="W536" i="1"/>
  <c r="X536" i="1" s="1"/>
  <c r="Y536" i="1" s="1"/>
  <c r="V536" i="1"/>
  <c r="AQ535" i="1"/>
  <c r="AP535" i="1"/>
  <c r="AO535" i="1"/>
  <c r="AN535" i="1"/>
  <c r="AM535" i="1"/>
  <c r="AL535" i="1"/>
  <c r="AK535" i="1"/>
  <c r="AJ535" i="1"/>
  <c r="AI535" i="1"/>
  <c r="AH535" i="1"/>
  <c r="AC535" i="1"/>
  <c r="AB535" i="1"/>
  <c r="AA535" i="1"/>
  <c r="Z535" i="1"/>
  <c r="W535" i="1"/>
  <c r="X535" i="1" s="1"/>
  <c r="Y535" i="1" s="1"/>
  <c r="V535" i="1"/>
  <c r="AQ534" i="1"/>
  <c r="AP534" i="1"/>
  <c r="AO534" i="1"/>
  <c r="AN534" i="1"/>
  <c r="AM534" i="1"/>
  <c r="AL534" i="1"/>
  <c r="AK534" i="1"/>
  <c r="AJ534" i="1"/>
  <c r="AI534" i="1"/>
  <c r="AH534" i="1"/>
  <c r="AC534" i="1"/>
  <c r="AB534" i="1"/>
  <c r="AA534" i="1"/>
  <c r="Z534" i="1"/>
  <c r="W534" i="1"/>
  <c r="X534" i="1" s="1"/>
  <c r="Y534" i="1" s="1"/>
  <c r="V534" i="1"/>
  <c r="AQ533" i="1"/>
  <c r="AP533" i="1"/>
  <c r="AN533" i="1"/>
  <c r="AM533" i="1"/>
  <c r="AL533" i="1"/>
  <c r="AK533" i="1"/>
  <c r="AJ533" i="1"/>
  <c r="AI533" i="1"/>
  <c r="AH533" i="1"/>
  <c r="AC533" i="1"/>
  <c r="AB533" i="1"/>
  <c r="AA533" i="1"/>
  <c r="Z533" i="1"/>
  <c r="W533" i="1"/>
  <c r="X533" i="1" s="1"/>
  <c r="Y533" i="1" s="1"/>
  <c r="V533" i="1"/>
  <c r="AQ532" i="1"/>
  <c r="AP532" i="1"/>
  <c r="AO532" i="1"/>
  <c r="AN532" i="1"/>
  <c r="AM532" i="1"/>
  <c r="AL532" i="1"/>
  <c r="AK532" i="1"/>
  <c r="AJ532" i="1"/>
  <c r="AI532" i="1"/>
  <c r="AH532" i="1"/>
  <c r="AC532" i="1"/>
  <c r="AB532" i="1"/>
  <c r="AA532" i="1"/>
  <c r="Z532" i="1"/>
  <c r="W532" i="1"/>
  <c r="X532" i="1" s="1"/>
  <c r="Y532" i="1" s="1"/>
  <c r="V532" i="1"/>
  <c r="AQ531" i="1"/>
  <c r="AP531" i="1"/>
  <c r="AO531" i="1"/>
  <c r="AN531" i="1"/>
  <c r="AM531" i="1"/>
  <c r="AL531" i="1"/>
  <c r="AK531" i="1"/>
  <c r="AJ531" i="1"/>
  <c r="AI531" i="1"/>
  <c r="AH531" i="1"/>
  <c r="AC531" i="1"/>
  <c r="AB531" i="1"/>
  <c r="AA531" i="1"/>
  <c r="Z531" i="1"/>
  <c r="W531" i="1"/>
  <c r="X531" i="1" s="1"/>
  <c r="Y531" i="1" s="1"/>
  <c r="V531" i="1"/>
  <c r="AQ530" i="1"/>
  <c r="AP530" i="1"/>
  <c r="AO530" i="1"/>
  <c r="AN530" i="1"/>
  <c r="AM530" i="1"/>
  <c r="AL530" i="1"/>
  <c r="AK530" i="1"/>
  <c r="AJ530" i="1"/>
  <c r="AI530" i="1"/>
  <c r="AH530" i="1"/>
  <c r="AC530" i="1"/>
  <c r="AB530" i="1"/>
  <c r="AA530" i="1"/>
  <c r="Z530" i="1"/>
  <c r="W530" i="1"/>
  <c r="X530" i="1" s="1"/>
  <c r="Y530" i="1" s="1"/>
  <c r="V530" i="1"/>
  <c r="AQ529" i="1"/>
  <c r="AP529" i="1"/>
  <c r="AO529" i="1"/>
  <c r="AN529" i="1"/>
  <c r="AM529" i="1"/>
  <c r="AL529" i="1"/>
  <c r="AK529" i="1"/>
  <c r="AJ529" i="1"/>
  <c r="AI529" i="1"/>
  <c r="AH529" i="1"/>
  <c r="AC529" i="1"/>
  <c r="AB529" i="1"/>
  <c r="AA529" i="1"/>
  <c r="Z529" i="1"/>
  <c r="W529" i="1"/>
  <c r="X529" i="1" s="1"/>
  <c r="Y529" i="1" s="1"/>
  <c r="V529" i="1"/>
  <c r="AQ528" i="1"/>
  <c r="AP528" i="1"/>
  <c r="AO528" i="1"/>
  <c r="AN528" i="1"/>
  <c r="AM528" i="1"/>
  <c r="AL528" i="1"/>
  <c r="AK528" i="1"/>
  <c r="AJ528" i="1"/>
  <c r="AI528" i="1"/>
  <c r="AH528" i="1"/>
  <c r="AC528" i="1"/>
  <c r="AB528" i="1"/>
  <c r="AA528" i="1"/>
  <c r="Z528" i="1"/>
  <c r="W528" i="1"/>
  <c r="X528" i="1" s="1"/>
  <c r="Y528" i="1" s="1"/>
  <c r="V528" i="1"/>
  <c r="AQ527" i="1"/>
  <c r="AP527" i="1"/>
  <c r="AO527" i="1"/>
  <c r="AN527" i="1"/>
  <c r="AM527" i="1"/>
  <c r="AL527" i="1"/>
  <c r="AK527" i="1"/>
  <c r="AJ527" i="1"/>
  <c r="AI527" i="1"/>
  <c r="AH527" i="1"/>
  <c r="AC527" i="1"/>
  <c r="AB527" i="1"/>
  <c r="AA527" i="1"/>
  <c r="Z527" i="1"/>
  <c r="W527" i="1"/>
  <c r="X527" i="1" s="1"/>
  <c r="Y527" i="1" s="1"/>
  <c r="V527" i="1"/>
  <c r="AQ526" i="1"/>
  <c r="AP526" i="1"/>
  <c r="AO526" i="1"/>
  <c r="AN526" i="1"/>
  <c r="AM526" i="1"/>
  <c r="AL526" i="1"/>
  <c r="AK526" i="1"/>
  <c r="AJ526" i="1"/>
  <c r="AI526" i="1"/>
  <c r="AH526" i="1"/>
  <c r="AC526" i="1"/>
  <c r="AB526" i="1"/>
  <c r="AA526" i="1"/>
  <c r="Z526" i="1"/>
  <c r="W526" i="1"/>
  <c r="X526" i="1" s="1"/>
  <c r="Y526" i="1" s="1"/>
  <c r="V526" i="1"/>
  <c r="AQ525" i="1"/>
  <c r="AP525" i="1"/>
  <c r="AO525" i="1"/>
  <c r="AN525" i="1"/>
  <c r="AM525" i="1"/>
  <c r="AL525" i="1"/>
  <c r="AK525" i="1"/>
  <c r="AJ525" i="1"/>
  <c r="AI525" i="1"/>
  <c r="AH525" i="1"/>
  <c r="AC525" i="1"/>
  <c r="AB525" i="1"/>
  <c r="AA525" i="1"/>
  <c r="Z525" i="1"/>
  <c r="W525" i="1"/>
  <c r="X525" i="1" s="1"/>
  <c r="Y525" i="1" s="1"/>
  <c r="V525" i="1"/>
  <c r="AQ524" i="1"/>
  <c r="AP524" i="1"/>
  <c r="AO524" i="1"/>
  <c r="AN524" i="1"/>
  <c r="AM524" i="1"/>
  <c r="AL524" i="1"/>
  <c r="AK524" i="1"/>
  <c r="AJ524" i="1"/>
  <c r="AI524" i="1"/>
  <c r="AH524" i="1"/>
  <c r="AC524" i="1"/>
  <c r="AB524" i="1"/>
  <c r="AA524" i="1"/>
  <c r="Z524" i="1"/>
  <c r="W524" i="1"/>
  <c r="X524" i="1" s="1"/>
  <c r="Y524" i="1" s="1"/>
  <c r="V524" i="1"/>
  <c r="AQ523" i="1"/>
  <c r="AP523" i="1"/>
  <c r="AO523" i="1"/>
  <c r="AN523" i="1"/>
  <c r="AM523" i="1"/>
  <c r="AL523" i="1"/>
  <c r="AK523" i="1"/>
  <c r="AJ523" i="1"/>
  <c r="AI523" i="1"/>
  <c r="AH523" i="1"/>
  <c r="AC523" i="1"/>
  <c r="AB523" i="1"/>
  <c r="AA523" i="1"/>
  <c r="Z523" i="1"/>
  <c r="W523" i="1"/>
  <c r="X523" i="1" s="1"/>
  <c r="Y523" i="1" s="1"/>
  <c r="V523" i="1"/>
  <c r="AQ522" i="1"/>
  <c r="AP522" i="1"/>
  <c r="AO522" i="1"/>
  <c r="AN522" i="1"/>
  <c r="AM522" i="1"/>
  <c r="AL522" i="1"/>
  <c r="AK522" i="1"/>
  <c r="AJ522" i="1"/>
  <c r="AI522" i="1"/>
  <c r="AH522" i="1"/>
  <c r="AC522" i="1"/>
  <c r="AB522" i="1"/>
  <c r="AA522" i="1"/>
  <c r="Z522" i="1"/>
  <c r="W522" i="1"/>
  <c r="X522" i="1" s="1"/>
  <c r="Y522" i="1" s="1"/>
  <c r="V522" i="1"/>
  <c r="AQ521" i="1"/>
  <c r="AP521" i="1"/>
  <c r="AO521" i="1"/>
  <c r="AN521" i="1"/>
  <c r="AM521" i="1"/>
  <c r="AL521" i="1"/>
  <c r="AK521" i="1"/>
  <c r="AJ521" i="1"/>
  <c r="AI521" i="1"/>
  <c r="AH521" i="1"/>
  <c r="AC521" i="1"/>
  <c r="AB521" i="1"/>
  <c r="AA521" i="1"/>
  <c r="Z521" i="1"/>
  <c r="W521" i="1"/>
  <c r="X521" i="1" s="1"/>
  <c r="Y521" i="1" s="1"/>
  <c r="V521" i="1"/>
  <c r="AQ520" i="1"/>
  <c r="AP520" i="1"/>
  <c r="AO520" i="1"/>
  <c r="AN520" i="1"/>
  <c r="AM520" i="1"/>
  <c r="AL520" i="1"/>
  <c r="AK520" i="1"/>
  <c r="AJ520" i="1"/>
  <c r="AI520" i="1"/>
  <c r="AH520" i="1"/>
  <c r="AC520" i="1"/>
  <c r="AB520" i="1"/>
  <c r="AA520" i="1"/>
  <c r="Z520" i="1"/>
  <c r="W520" i="1"/>
  <c r="X520" i="1" s="1"/>
  <c r="Y520" i="1" s="1"/>
  <c r="V520" i="1"/>
  <c r="AQ519" i="1"/>
  <c r="AP519" i="1"/>
  <c r="AO519" i="1"/>
  <c r="AN519" i="1"/>
  <c r="AM519" i="1"/>
  <c r="AL519" i="1"/>
  <c r="AK519" i="1"/>
  <c r="AJ519" i="1"/>
  <c r="AI519" i="1"/>
  <c r="AH519" i="1"/>
  <c r="AC519" i="1"/>
  <c r="AB519" i="1"/>
  <c r="AA519" i="1"/>
  <c r="Z519" i="1"/>
  <c r="W519" i="1"/>
  <c r="X519" i="1" s="1"/>
  <c r="Y519" i="1" s="1"/>
  <c r="V519" i="1"/>
  <c r="AQ518" i="1"/>
  <c r="AP518" i="1"/>
  <c r="AO518" i="1"/>
  <c r="AN518" i="1"/>
  <c r="AM518" i="1"/>
  <c r="AL518" i="1"/>
  <c r="AK518" i="1"/>
  <c r="AJ518" i="1"/>
  <c r="AI518" i="1"/>
  <c r="AH518" i="1"/>
  <c r="AC518" i="1"/>
  <c r="AB518" i="1"/>
  <c r="AA518" i="1"/>
  <c r="Z518" i="1"/>
  <c r="W518" i="1"/>
  <c r="X518" i="1" s="1"/>
  <c r="Y518" i="1" s="1"/>
  <c r="V518" i="1"/>
  <c r="AQ517" i="1"/>
  <c r="AP517" i="1"/>
  <c r="AO517" i="1"/>
  <c r="AN517" i="1"/>
  <c r="AM517" i="1"/>
  <c r="AL517" i="1"/>
  <c r="AK517" i="1"/>
  <c r="AJ517" i="1"/>
  <c r="AI517" i="1"/>
  <c r="AH517" i="1"/>
  <c r="AC517" i="1"/>
  <c r="AB517" i="1"/>
  <c r="AA517" i="1"/>
  <c r="Z517" i="1"/>
  <c r="W517" i="1"/>
  <c r="X517" i="1" s="1"/>
  <c r="Y517" i="1" s="1"/>
  <c r="V517" i="1"/>
  <c r="AQ516" i="1"/>
  <c r="AP516" i="1"/>
  <c r="AO516" i="1"/>
  <c r="AN516" i="1"/>
  <c r="AM516" i="1"/>
  <c r="AL516" i="1"/>
  <c r="AK516" i="1"/>
  <c r="AJ516" i="1"/>
  <c r="AI516" i="1"/>
  <c r="AH516" i="1"/>
  <c r="AC516" i="1"/>
  <c r="AB516" i="1"/>
  <c r="AA516" i="1"/>
  <c r="Z516" i="1"/>
  <c r="W516" i="1"/>
  <c r="X516" i="1" s="1"/>
  <c r="Y516" i="1" s="1"/>
  <c r="V516" i="1"/>
  <c r="AQ515" i="1"/>
  <c r="AP515" i="1"/>
  <c r="AO515" i="1"/>
  <c r="AN515" i="1"/>
  <c r="AM515" i="1"/>
  <c r="AL515" i="1"/>
  <c r="AK515" i="1"/>
  <c r="AJ515" i="1"/>
  <c r="AI515" i="1"/>
  <c r="AH515" i="1"/>
  <c r="AC515" i="1"/>
  <c r="AB515" i="1"/>
  <c r="AA515" i="1"/>
  <c r="Z515" i="1"/>
  <c r="W515" i="1"/>
  <c r="X515" i="1" s="1"/>
  <c r="Y515" i="1" s="1"/>
  <c r="V515" i="1"/>
  <c r="AQ514" i="1"/>
  <c r="AP514" i="1"/>
  <c r="AO514" i="1"/>
  <c r="AN514" i="1"/>
  <c r="AM514" i="1"/>
  <c r="AL514" i="1"/>
  <c r="AK514" i="1"/>
  <c r="AJ514" i="1"/>
  <c r="AI514" i="1"/>
  <c r="AH514" i="1"/>
  <c r="AC514" i="1"/>
  <c r="AB514" i="1"/>
  <c r="AA514" i="1"/>
  <c r="Z514" i="1"/>
  <c r="W514" i="1"/>
  <c r="X514" i="1" s="1"/>
  <c r="Y514" i="1" s="1"/>
  <c r="V514" i="1"/>
  <c r="AQ513" i="1"/>
  <c r="AP513" i="1"/>
  <c r="AO513" i="1"/>
  <c r="AN513" i="1"/>
  <c r="AM513" i="1"/>
  <c r="AL513" i="1"/>
  <c r="AK513" i="1"/>
  <c r="AJ513" i="1"/>
  <c r="AI513" i="1"/>
  <c r="AH513" i="1"/>
  <c r="AC513" i="1"/>
  <c r="AB513" i="1"/>
  <c r="AA513" i="1"/>
  <c r="Z513" i="1"/>
  <c r="W513" i="1"/>
  <c r="X513" i="1" s="1"/>
  <c r="Y513" i="1" s="1"/>
  <c r="V513" i="1"/>
  <c r="AQ512" i="1"/>
  <c r="AP512" i="1"/>
  <c r="AO512" i="1"/>
  <c r="AN512" i="1"/>
  <c r="AM512" i="1"/>
  <c r="AL512" i="1"/>
  <c r="AK512" i="1"/>
  <c r="AJ512" i="1"/>
  <c r="AI512" i="1"/>
  <c r="AH512" i="1"/>
  <c r="AC512" i="1"/>
  <c r="AB512" i="1"/>
  <c r="AA512" i="1"/>
  <c r="Z512" i="1"/>
  <c r="W512" i="1"/>
  <c r="X512" i="1" s="1"/>
  <c r="Y512" i="1" s="1"/>
  <c r="V512" i="1"/>
  <c r="AQ511" i="1"/>
  <c r="AP511" i="1"/>
  <c r="AO511" i="1"/>
  <c r="AN511" i="1"/>
  <c r="AM511" i="1"/>
  <c r="AL511" i="1"/>
  <c r="AK511" i="1"/>
  <c r="AJ511" i="1"/>
  <c r="AI511" i="1"/>
  <c r="AH511" i="1"/>
  <c r="AC511" i="1"/>
  <c r="AB511" i="1"/>
  <c r="AA511" i="1"/>
  <c r="Z511" i="1"/>
  <c r="W511" i="1"/>
  <c r="X511" i="1" s="1"/>
  <c r="Y511" i="1" s="1"/>
  <c r="V511" i="1"/>
  <c r="AQ510" i="1"/>
  <c r="AP510" i="1"/>
  <c r="AO510" i="1"/>
  <c r="AN510" i="1"/>
  <c r="AM510" i="1"/>
  <c r="AL510" i="1"/>
  <c r="AK510" i="1"/>
  <c r="AJ510" i="1"/>
  <c r="AI510" i="1"/>
  <c r="AH510" i="1"/>
  <c r="AC510" i="1"/>
  <c r="AB510" i="1"/>
  <c r="AA510" i="1"/>
  <c r="Z510" i="1"/>
  <c r="W510" i="1"/>
  <c r="X510" i="1" s="1"/>
  <c r="Y510" i="1" s="1"/>
  <c r="V510" i="1"/>
  <c r="AQ509" i="1"/>
  <c r="AP509" i="1"/>
  <c r="AO509" i="1"/>
  <c r="AN509" i="1"/>
  <c r="AM509" i="1"/>
  <c r="AL509" i="1"/>
  <c r="AK509" i="1"/>
  <c r="AJ509" i="1"/>
  <c r="AI509" i="1"/>
  <c r="AH509" i="1"/>
  <c r="AC509" i="1"/>
  <c r="AB509" i="1"/>
  <c r="AA509" i="1"/>
  <c r="Z509" i="1"/>
  <c r="W509" i="1"/>
  <c r="X509" i="1" s="1"/>
  <c r="Y509" i="1" s="1"/>
  <c r="V509" i="1"/>
  <c r="AQ508" i="1"/>
  <c r="AP508" i="1"/>
  <c r="AO508" i="1"/>
  <c r="AN508" i="1"/>
  <c r="AM508" i="1"/>
  <c r="AL508" i="1"/>
  <c r="AK508" i="1"/>
  <c r="AJ508" i="1"/>
  <c r="AI508" i="1"/>
  <c r="AH508" i="1"/>
  <c r="AC508" i="1"/>
  <c r="AB508" i="1"/>
  <c r="AA508" i="1"/>
  <c r="Z508" i="1"/>
  <c r="W508" i="1"/>
  <c r="X508" i="1" s="1"/>
  <c r="Y508" i="1" s="1"/>
  <c r="V508" i="1"/>
  <c r="AQ507" i="1"/>
  <c r="AP507" i="1"/>
  <c r="AO507" i="1"/>
  <c r="AN507" i="1"/>
  <c r="AM507" i="1"/>
  <c r="AL507" i="1"/>
  <c r="AK507" i="1"/>
  <c r="AJ507" i="1"/>
  <c r="AI507" i="1"/>
  <c r="AH507" i="1"/>
  <c r="AC507" i="1"/>
  <c r="AB507" i="1"/>
  <c r="AA507" i="1"/>
  <c r="Z507" i="1"/>
  <c r="W507" i="1"/>
  <c r="X507" i="1" s="1"/>
  <c r="Y507" i="1" s="1"/>
  <c r="V507" i="1"/>
  <c r="AQ506" i="1"/>
  <c r="AP506" i="1"/>
  <c r="AO506" i="1"/>
  <c r="AN506" i="1"/>
  <c r="AM506" i="1"/>
  <c r="AL506" i="1"/>
  <c r="AK506" i="1"/>
  <c r="AJ506" i="1"/>
  <c r="AI506" i="1"/>
  <c r="AH506" i="1"/>
  <c r="AC506" i="1"/>
  <c r="AB506" i="1"/>
  <c r="AA506" i="1"/>
  <c r="Z506" i="1"/>
  <c r="W506" i="1"/>
  <c r="X506" i="1" s="1"/>
  <c r="Y506" i="1" s="1"/>
  <c r="V506" i="1"/>
  <c r="AQ505" i="1"/>
  <c r="AP505" i="1"/>
  <c r="AO505" i="1"/>
  <c r="AN505" i="1"/>
  <c r="AM505" i="1"/>
  <c r="AL505" i="1"/>
  <c r="AK505" i="1"/>
  <c r="AJ505" i="1"/>
  <c r="AI505" i="1"/>
  <c r="AH505" i="1"/>
  <c r="AC505" i="1"/>
  <c r="AB505" i="1"/>
  <c r="AA505" i="1"/>
  <c r="Z505" i="1"/>
  <c r="W505" i="1"/>
  <c r="X505" i="1" s="1"/>
  <c r="Y505" i="1" s="1"/>
  <c r="V505" i="1"/>
  <c r="AQ504" i="1"/>
  <c r="AP504" i="1"/>
  <c r="AO504" i="1"/>
  <c r="AN504" i="1"/>
  <c r="AM504" i="1"/>
  <c r="AL504" i="1"/>
  <c r="AK504" i="1"/>
  <c r="AJ504" i="1"/>
  <c r="AI504" i="1"/>
  <c r="AH504" i="1"/>
  <c r="AC504" i="1"/>
  <c r="AB504" i="1"/>
  <c r="AA504" i="1"/>
  <c r="Z504" i="1"/>
  <c r="W504" i="1"/>
  <c r="X504" i="1" s="1"/>
  <c r="Y504" i="1" s="1"/>
  <c r="V504" i="1"/>
  <c r="AQ503" i="1"/>
  <c r="AP503" i="1"/>
  <c r="AO503" i="1"/>
  <c r="AN503" i="1"/>
  <c r="AM503" i="1"/>
  <c r="AL503" i="1"/>
  <c r="AK503" i="1"/>
  <c r="AJ503" i="1"/>
  <c r="AI503" i="1"/>
  <c r="AH503" i="1"/>
  <c r="AC503" i="1"/>
  <c r="AB503" i="1"/>
  <c r="AA503" i="1"/>
  <c r="Z503" i="1"/>
  <c r="W503" i="1"/>
  <c r="X503" i="1" s="1"/>
  <c r="Y503" i="1" s="1"/>
  <c r="V503" i="1"/>
  <c r="AQ502" i="1"/>
  <c r="AP502" i="1"/>
  <c r="AO502" i="1"/>
  <c r="AN502" i="1"/>
  <c r="AM502" i="1"/>
  <c r="AL502" i="1"/>
  <c r="AK502" i="1"/>
  <c r="AJ502" i="1"/>
  <c r="AI502" i="1"/>
  <c r="AH502" i="1"/>
  <c r="AC502" i="1"/>
  <c r="AB502" i="1"/>
  <c r="AA502" i="1"/>
  <c r="Z502" i="1"/>
  <c r="W502" i="1"/>
  <c r="X502" i="1" s="1"/>
  <c r="Y502" i="1" s="1"/>
  <c r="V502" i="1"/>
  <c r="AQ501" i="1"/>
  <c r="AP501" i="1"/>
  <c r="AO501" i="1"/>
  <c r="AN501" i="1"/>
  <c r="AM501" i="1"/>
  <c r="AL501" i="1"/>
  <c r="AK501" i="1"/>
  <c r="AJ501" i="1"/>
  <c r="AI501" i="1"/>
  <c r="AH501" i="1"/>
  <c r="AC501" i="1"/>
  <c r="AB501" i="1"/>
  <c r="AA501" i="1"/>
  <c r="Z501" i="1"/>
  <c r="W501" i="1"/>
  <c r="X501" i="1" s="1"/>
  <c r="Y501" i="1" s="1"/>
  <c r="V501" i="1"/>
  <c r="AQ500" i="1"/>
  <c r="AP500" i="1"/>
  <c r="AO500" i="1"/>
  <c r="AN500" i="1"/>
  <c r="AM500" i="1"/>
  <c r="AL500" i="1"/>
  <c r="AK500" i="1"/>
  <c r="AJ500" i="1"/>
  <c r="AI500" i="1"/>
  <c r="AH500" i="1"/>
  <c r="AC500" i="1"/>
  <c r="AB500" i="1"/>
  <c r="AA500" i="1"/>
  <c r="Z500" i="1"/>
  <c r="W500" i="1"/>
  <c r="X500" i="1" s="1"/>
  <c r="Y500" i="1" s="1"/>
  <c r="V500" i="1"/>
  <c r="AQ499" i="1"/>
  <c r="AP499" i="1"/>
  <c r="AO499" i="1"/>
  <c r="AN499" i="1"/>
  <c r="AM499" i="1"/>
  <c r="AL499" i="1"/>
  <c r="AK499" i="1"/>
  <c r="AJ499" i="1"/>
  <c r="AI499" i="1"/>
  <c r="AH499" i="1"/>
  <c r="AC499" i="1"/>
  <c r="AB499" i="1"/>
  <c r="AA499" i="1"/>
  <c r="Z499" i="1"/>
  <c r="W499" i="1"/>
  <c r="X499" i="1" s="1"/>
  <c r="Y499" i="1" s="1"/>
  <c r="V499" i="1"/>
  <c r="AQ498" i="1"/>
  <c r="AP498" i="1"/>
  <c r="AO498" i="1"/>
  <c r="AN498" i="1"/>
  <c r="AM498" i="1"/>
  <c r="AL498" i="1"/>
  <c r="AK498" i="1"/>
  <c r="AJ498" i="1"/>
  <c r="AI498" i="1"/>
  <c r="AH498" i="1"/>
  <c r="AC498" i="1"/>
  <c r="AB498" i="1"/>
  <c r="AA498" i="1"/>
  <c r="Z498" i="1"/>
  <c r="W498" i="1"/>
  <c r="X498" i="1" s="1"/>
  <c r="Y498" i="1" s="1"/>
  <c r="V498" i="1"/>
  <c r="AQ497" i="1"/>
  <c r="AP497" i="1"/>
  <c r="AO497" i="1"/>
  <c r="AN497" i="1"/>
  <c r="AM497" i="1"/>
  <c r="AL497" i="1"/>
  <c r="AK497" i="1"/>
  <c r="AJ497" i="1"/>
  <c r="AI497" i="1"/>
  <c r="AH497" i="1"/>
  <c r="AC497" i="1"/>
  <c r="AB497" i="1"/>
  <c r="AA497" i="1"/>
  <c r="Z497" i="1"/>
  <c r="W497" i="1"/>
  <c r="X497" i="1" s="1"/>
  <c r="Y497" i="1" s="1"/>
  <c r="V497" i="1"/>
  <c r="AQ496" i="1"/>
  <c r="AP496" i="1"/>
  <c r="AO496" i="1"/>
  <c r="AN496" i="1"/>
  <c r="AM496" i="1"/>
  <c r="AL496" i="1"/>
  <c r="AK496" i="1"/>
  <c r="AJ496" i="1"/>
  <c r="AI496" i="1"/>
  <c r="AH496" i="1"/>
  <c r="AC496" i="1"/>
  <c r="AB496" i="1"/>
  <c r="AA496" i="1"/>
  <c r="Z496" i="1"/>
  <c r="W496" i="1"/>
  <c r="X496" i="1" s="1"/>
  <c r="Y496" i="1" s="1"/>
  <c r="V496" i="1"/>
  <c r="AQ495" i="1"/>
  <c r="AP495" i="1"/>
  <c r="AO495" i="1"/>
  <c r="AN495" i="1"/>
  <c r="AM495" i="1"/>
  <c r="AL495" i="1"/>
  <c r="AK495" i="1"/>
  <c r="AJ495" i="1"/>
  <c r="AI495" i="1"/>
  <c r="AH495" i="1"/>
  <c r="AC495" i="1"/>
  <c r="AB495" i="1"/>
  <c r="AA495" i="1"/>
  <c r="Z495" i="1"/>
  <c r="W495" i="1"/>
  <c r="X495" i="1" s="1"/>
  <c r="Y495" i="1" s="1"/>
  <c r="V495" i="1"/>
  <c r="AQ494" i="1"/>
  <c r="AP494" i="1"/>
  <c r="AO494" i="1"/>
  <c r="AN494" i="1"/>
  <c r="AM494" i="1"/>
  <c r="AL494" i="1"/>
  <c r="AK494" i="1"/>
  <c r="AJ494" i="1"/>
  <c r="AI494" i="1"/>
  <c r="AH494" i="1"/>
  <c r="AC494" i="1"/>
  <c r="AB494" i="1"/>
  <c r="AA494" i="1"/>
  <c r="Z494" i="1"/>
  <c r="W494" i="1"/>
  <c r="X494" i="1" s="1"/>
  <c r="Y494" i="1" s="1"/>
  <c r="V494" i="1"/>
  <c r="AQ493" i="1"/>
  <c r="AP493" i="1"/>
  <c r="AO493" i="1"/>
  <c r="AN493" i="1"/>
  <c r="AM493" i="1"/>
  <c r="AL493" i="1"/>
  <c r="AK493" i="1"/>
  <c r="AJ493" i="1"/>
  <c r="AI493" i="1"/>
  <c r="AH493" i="1"/>
  <c r="AC493" i="1"/>
  <c r="AB493" i="1"/>
  <c r="AA493" i="1"/>
  <c r="Z493" i="1"/>
  <c r="W493" i="1"/>
  <c r="X493" i="1" s="1"/>
  <c r="Y493" i="1" s="1"/>
  <c r="V493" i="1"/>
  <c r="AQ492" i="1"/>
  <c r="AP492" i="1"/>
  <c r="AO492" i="1"/>
  <c r="AN492" i="1"/>
  <c r="AM492" i="1"/>
  <c r="AL492" i="1"/>
  <c r="AK492" i="1"/>
  <c r="AJ492" i="1"/>
  <c r="AI492" i="1"/>
  <c r="AH492" i="1"/>
  <c r="AC492" i="1"/>
  <c r="AB492" i="1"/>
  <c r="AA492" i="1"/>
  <c r="Z492" i="1"/>
  <c r="W492" i="1"/>
  <c r="X492" i="1" s="1"/>
  <c r="Y492" i="1" s="1"/>
  <c r="V492" i="1"/>
  <c r="AQ491" i="1"/>
  <c r="AP491" i="1"/>
  <c r="AO491" i="1"/>
  <c r="AN491" i="1"/>
  <c r="AM491" i="1"/>
  <c r="AL491" i="1"/>
  <c r="AK491" i="1"/>
  <c r="AJ491" i="1"/>
  <c r="AI491" i="1"/>
  <c r="AH491" i="1"/>
  <c r="AC491" i="1"/>
  <c r="AB491" i="1"/>
  <c r="AA491" i="1"/>
  <c r="Z491" i="1"/>
  <c r="W491" i="1"/>
  <c r="X491" i="1" s="1"/>
  <c r="Y491" i="1" s="1"/>
  <c r="V491" i="1"/>
  <c r="AQ490" i="1"/>
  <c r="AP490" i="1"/>
  <c r="AO490" i="1"/>
  <c r="AN490" i="1"/>
  <c r="AM490" i="1"/>
  <c r="AL490" i="1"/>
  <c r="AK490" i="1"/>
  <c r="AJ490" i="1"/>
  <c r="AI490" i="1"/>
  <c r="AH490" i="1"/>
  <c r="AC490" i="1"/>
  <c r="AB490" i="1"/>
  <c r="AA490" i="1"/>
  <c r="Z490" i="1"/>
  <c r="W490" i="1"/>
  <c r="X490" i="1" s="1"/>
  <c r="Y490" i="1" s="1"/>
  <c r="V490" i="1"/>
  <c r="AQ489" i="1"/>
  <c r="AP489" i="1"/>
  <c r="AO489" i="1"/>
  <c r="AN489" i="1"/>
  <c r="AM489" i="1"/>
  <c r="AL489" i="1"/>
  <c r="AK489" i="1"/>
  <c r="AJ489" i="1"/>
  <c r="AI489" i="1"/>
  <c r="AH489" i="1"/>
  <c r="AC489" i="1"/>
  <c r="AB489" i="1"/>
  <c r="AA489" i="1"/>
  <c r="Z489" i="1"/>
  <c r="W489" i="1"/>
  <c r="X489" i="1" s="1"/>
  <c r="Y489" i="1" s="1"/>
  <c r="V489" i="1"/>
  <c r="AQ488" i="1"/>
  <c r="AP488" i="1"/>
  <c r="AO488" i="1"/>
  <c r="AN488" i="1"/>
  <c r="AM488" i="1"/>
  <c r="AL488" i="1"/>
  <c r="AK488" i="1"/>
  <c r="AJ488" i="1"/>
  <c r="AI488" i="1"/>
  <c r="AH488" i="1"/>
  <c r="AC488" i="1"/>
  <c r="AB488" i="1"/>
  <c r="AA488" i="1"/>
  <c r="Z488" i="1"/>
  <c r="W488" i="1"/>
  <c r="X488" i="1" s="1"/>
  <c r="Y488" i="1" s="1"/>
  <c r="V488" i="1"/>
  <c r="AQ487" i="1"/>
  <c r="AP487" i="1"/>
  <c r="AO487" i="1"/>
  <c r="AN487" i="1"/>
  <c r="AM487" i="1"/>
  <c r="AL487" i="1"/>
  <c r="AK487" i="1"/>
  <c r="AJ487" i="1"/>
  <c r="AI487" i="1"/>
  <c r="AH487" i="1"/>
  <c r="AC487" i="1"/>
  <c r="AB487" i="1"/>
  <c r="AA487" i="1"/>
  <c r="Z487" i="1"/>
  <c r="W487" i="1"/>
  <c r="X487" i="1" s="1"/>
  <c r="Y487" i="1" s="1"/>
  <c r="V487" i="1"/>
  <c r="AQ486" i="1"/>
  <c r="AP486" i="1"/>
  <c r="AO486" i="1"/>
  <c r="AN486" i="1"/>
  <c r="AM486" i="1"/>
  <c r="AL486" i="1"/>
  <c r="AK486" i="1"/>
  <c r="AJ486" i="1"/>
  <c r="AI486" i="1"/>
  <c r="AH486" i="1"/>
  <c r="AC486" i="1"/>
  <c r="AB486" i="1"/>
  <c r="AA486" i="1"/>
  <c r="Z486" i="1"/>
  <c r="W486" i="1"/>
  <c r="X486" i="1" s="1"/>
  <c r="Y486" i="1" s="1"/>
  <c r="V486" i="1"/>
  <c r="AQ485" i="1"/>
  <c r="AP485" i="1"/>
  <c r="AO485" i="1"/>
  <c r="AN485" i="1"/>
  <c r="AM485" i="1"/>
  <c r="AL485" i="1"/>
  <c r="AK485" i="1"/>
  <c r="AJ485" i="1"/>
  <c r="AI485" i="1"/>
  <c r="AH485" i="1"/>
  <c r="AC485" i="1"/>
  <c r="AB485" i="1"/>
  <c r="AA485" i="1"/>
  <c r="Z485" i="1"/>
  <c r="W485" i="1"/>
  <c r="X485" i="1" s="1"/>
  <c r="Y485" i="1" s="1"/>
  <c r="V485" i="1"/>
  <c r="AQ484" i="1"/>
  <c r="AP484" i="1"/>
  <c r="AO484" i="1"/>
  <c r="AN484" i="1"/>
  <c r="AM484" i="1"/>
  <c r="AL484" i="1"/>
  <c r="AK484" i="1"/>
  <c r="AJ484" i="1"/>
  <c r="AI484" i="1"/>
  <c r="AH484" i="1"/>
  <c r="AC484" i="1"/>
  <c r="AB484" i="1"/>
  <c r="AA484" i="1"/>
  <c r="Z484" i="1"/>
  <c r="W484" i="1"/>
  <c r="X484" i="1" s="1"/>
  <c r="Y484" i="1" s="1"/>
  <c r="V484" i="1"/>
  <c r="AQ483" i="1"/>
  <c r="AP483" i="1"/>
  <c r="AO483" i="1"/>
  <c r="AN483" i="1"/>
  <c r="AM483" i="1"/>
  <c r="AL483" i="1"/>
  <c r="AK483" i="1"/>
  <c r="AJ483" i="1"/>
  <c r="AI483" i="1"/>
  <c r="AH483" i="1"/>
  <c r="AC483" i="1"/>
  <c r="AB483" i="1"/>
  <c r="AA483" i="1"/>
  <c r="Z483" i="1"/>
  <c r="W483" i="1"/>
  <c r="X483" i="1" s="1"/>
  <c r="Y483" i="1" s="1"/>
  <c r="V483" i="1"/>
  <c r="AQ482" i="1"/>
  <c r="AP482" i="1"/>
  <c r="AN482" i="1"/>
  <c r="AM482" i="1"/>
  <c r="AL482" i="1"/>
  <c r="AK482" i="1"/>
  <c r="AJ482" i="1"/>
  <c r="AI482" i="1"/>
  <c r="AH482" i="1"/>
  <c r="AC482" i="1"/>
  <c r="AB482" i="1"/>
  <c r="AA482" i="1"/>
  <c r="Z482" i="1"/>
  <c r="W482" i="1"/>
  <c r="X482" i="1" s="1"/>
  <c r="Y482" i="1" s="1"/>
  <c r="V482" i="1"/>
  <c r="AQ481" i="1"/>
  <c r="AP481" i="1"/>
  <c r="AO481" i="1"/>
  <c r="AN481" i="1"/>
  <c r="AM481" i="1"/>
  <c r="AL481" i="1"/>
  <c r="AK481" i="1"/>
  <c r="AJ481" i="1"/>
  <c r="AI481" i="1"/>
  <c r="AH481" i="1"/>
  <c r="AC481" i="1"/>
  <c r="AB481" i="1"/>
  <c r="AA481" i="1"/>
  <c r="Z481" i="1"/>
  <c r="W481" i="1"/>
  <c r="X481" i="1" s="1"/>
  <c r="Y481" i="1" s="1"/>
  <c r="V481" i="1"/>
  <c r="AQ480" i="1"/>
  <c r="AP480" i="1"/>
  <c r="AO480" i="1"/>
  <c r="AN480" i="1"/>
  <c r="AM480" i="1"/>
  <c r="AL480" i="1"/>
  <c r="AK480" i="1"/>
  <c r="AI480" i="1"/>
  <c r="AH480" i="1"/>
  <c r="AC480" i="1"/>
  <c r="AB480" i="1"/>
  <c r="AA480" i="1"/>
  <c r="Z480" i="1"/>
  <c r="W480" i="1"/>
  <c r="X480" i="1" s="1"/>
  <c r="Y480" i="1" s="1"/>
  <c r="V480" i="1"/>
  <c r="AQ479" i="1"/>
  <c r="AP479" i="1"/>
  <c r="AO479" i="1"/>
  <c r="AN479" i="1"/>
  <c r="AM479" i="1"/>
  <c r="AL479" i="1"/>
  <c r="AK479" i="1"/>
  <c r="AJ479" i="1"/>
  <c r="AI479" i="1"/>
  <c r="AH479" i="1"/>
  <c r="AC479" i="1"/>
  <c r="AB479" i="1"/>
  <c r="AA479" i="1"/>
  <c r="Z479" i="1"/>
  <c r="W479" i="1"/>
  <c r="X479" i="1" s="1"/>
  <c r="Y479" i="1" s="1"/>
  <c r="V479" i="1"/>
  <c r="AQ478" i="1"/>
  <c r="AP478" i="1"/>
  <c r="AO478" i="1"/>
  <c r="AN478" i="1"/>
  <c r="AM478" i="1"/>
  <c r="AL478" i="1"/>
  <c r="AK478" i="1"/>
  <c r="AJ478" i="1"/>
  <c r="AI478" i="1"/>
  <c r="AH478" i="1"/>
  <c r="AC478" i="1"/>
  <c r="AB478" i="1"/>
  <c r="AA478" i="1"/>
  <c r="Z478" i="1"/>
  <c r="W478" i="1"/>
  <c r="X478" i="1" s="1"/>
  <c r="Y478" i="1" s="1"/>
  <c r="V478" i="1"/>
  <c r="AQ477" i="1"/>
  <c r="AP477" i="1"/>
  <c r="AO477" i="1"/>
  <c r="AN477" i="1"/>
  <c r="AM477" i="1"/>
  <c r="AL477" i="1"/>
  <c r="AK477" i="1"/>
  <c r="AJ477" i="1"/>
  <c r="AI477" i="1"/>
  <c r="AH477" i="1"/>
  <c r="AC477" i="1"/>
  <c r="AB477" i="1"/>
  <c r="AA477" i="1"/>
  <c r="Z477" i="1"/>
  <c r="W477" i="1"/>
  <c r="X477" i="1" s="1"/>
  <c r="Y477" i="1" s="1"/>
  <c r="V477" i="1"/>
  <c r="AQ476" i="1"/>
  <c r="AP476" i="1"/>
  <c r="AO476" i="1"/>
  <c r="AN476" i="1"/>
  <c r="AM476" i="1"/>
  <c r="AL476" i="1"/>
  <c r="AK476" i="1"/>
  <c r="AJ476" i="1"/>
  <c r="AI476" i="1"/>
  <c r="AH476" i="1"/>
  <c r="AC476" i="1"/>
  <c r="AB476" i="1"/>
  <c r="AA476" i="1"/>
  <c r="Z476" i="1"/>
  <c r="W476" i="1"/>
  <c r="X476" i="1" s="1"/>
  <c r="Y476" i="1" s="1"/>
  <c r="V476" i="1"/>
  <c r="AQ475" i="1"/>
  <c r="AP475" i="1"/>
  <c r="AO475" i="1"/>
  <c r="AN475" i="1"/>
  <c r="AM475" i="1"/>
  <c r="AL475" i="1"/>
  <c r="AK475" i="1"/>
  <c r="AJ475" i="1"/>
  <c r="AI475" i="1"/>
  <c r="AH475" i="1"/>
  <c r="AC475" i="1"/>
  <c r="AB475" i="1"/>
  <c r="AA475" i="1"/>
  <c r="Z475" i="1"/>
  <c r="W475" i="1"/>
  <c r="X475" i="1" s="1"/>
  <c r="Y475" i="1" s="1"/>
  <c r="V475" i="1"/>
  <c r="AQ474" i="1"/>
  <c r="AP474" i="1"/>
  <c r="AO474" i="1"/>
  <c r="AN474" i="1"/>
  <c r="AM474" i="1"/>
  <c r="AL474" i="1"/>
  <c r="AK474" i="1"/>
  <c r="AJ474" i="1"/>
  <c r="AI474" i="1"/>
  <c r="AH474" i="1"/>
  <c r="AC474" i="1"/>
  <c r="AB474" i="1"/>
  <c r="AA474" i="1"/>
  <c r="Z474" i="1"/>
  <c r="W474" i="1"/>
  <c r="X474" i="1" s="1"/>
  <c r="Y474" i="1" s="1"/>
  <c r="V474" i="1"/>
  <c r="AQ473" i="1"/>
  <c r="AP473" i="1"/>
  <c r="AO473" i="1"/>
  <c r="AN473" i="1"/>
  <c r="AM473" i="1"/>
  <c r="AL473" i="1"/>
  <c r="AK473" i="1"/>
  <c r="AJ473" i="1"/>
  <c r="AI473" i="1"/>
  <c r="AH473" i="1"/>
  <c r="AC473" i="1"/>
  <c r="AB473" i="1"/>
  <c r="AA473" i="1"/>
  <c r="Z473" i="1"/>
  <c r="W473" i="1"/>
  <c r="X473" i="1" s="1"/>
  <c r="Y473" i="1" s="1"/>
  <c r="V473" i="1"/>
  <c r="AQ472" i="1"/>
  <c r="AP472" i="1"/>
  <c r="AO472" i="1"/>
  <c r="AN472" i="1"/>
  <c r="AM472" i="1"/>
  <c r="AL472" i="1"/>
  <c r="AK472" i="1"/>
  <c r="AJ472" i="1"/>
  <c r="AI472" i="1"/>
  <c r="AH472" i="1"/>
  <c r="AC472" i="1"/>
  <c r="AB472" i="1"/>
  <c r="AA472" i="1"/>
  <c r="Z472" i="1"/>
  <c r="W472" i="1"/>
  <c r="X472" i="1" s="1"/>
  <c r="Y472" i="1" s="1"/>
  <c r="V472" i="1"/>
  <c r="AQ471" i="1"/>
  <c r="AP471" i="1"/>
  <c r="AO471" i="1"/>
  <c r="AN471" i="1"/>
  <c r="AM471" i="1"/>
  <c r="AL471" i="1"/>
  <c r="AK471" i="1"/>
  <c r="AJ471" i="1"/>
  <c r="AI471" i="1"/>
  <c r="AH471" i="1"/>
  <c r="AC471" i="1"/>
  <c r="AB471" i="1"/>
  <c r="AA471" i="1"/>
  <c r="Z471" i="1"/>
  <c r="W471" i="1"/>
  <c r="X471" i="1" s="1"/>
  <c r="Y471" i="1" s="1"/>
  <c r="V471" i="1"/>
  <c r="AQ470" i="1"/>
  <c r="AP470" i="1"/>
  <c r="AO470" i="1"/>
  <c r="AN470" i="1"/>
  <c r="AM470" i="1"/>
  <c r="AL470" i="1"/>
  <c r="AK470" i="1"/>
  <c r="AJ470" i="1"/>
  <c r="AI470" i="1"/>
  <c r="AH470" i="1"/>
  <c r="AC470" i="1"/>
  <c r="AB470" i="1"/>
  <c r="AA470" i="1"/>
  <c r="Z470" i="1"/>
  <c r="W470" i="1"/>
  <c r="X470" i="1" s="1"/>
  <c r="Y470" i="1" s="1"/>
  <c r="V470" i="1"/>
  <c r="AQ469" i="1"/>
  <c r="AP469" i="1"/>
  <c r="AO469" i="1"/>
  <c r="AN469" i="1"/>
  <c r="AM469" i="1"/>
  <c r="AL469" i="1"/>
  <c r="AK469" i="1"/>
  <c r="AJ469" i="1"/>
  <c r="AI469" i="1"/>
  <c r="AH469" i="1"/>
  <c r="AC469" i="1"/>
  <c r="AB469" i="1"/>
  <c r="AA469" i="1"/>
  <c r="Z469" i="1"/>
  <c r="W469" i="1"/>
  <c r="X469" i="1" s="1"/>
  <c r="Y469" i="1" s="1"/>
  <c r="V469" i="1"/>
  <c r="AQ468" i="1"/>
  <c r="AP468" i="1"/>
  <c r="AO468" i="1"/>
  <c r="AN468" i="1"/>
  <c r="AM468" i="1"/>
  <c r="AL468" i="1"/>
  <c r="AK468" i="1"/>
  <c r="AJ468" i="1"/>
  <c r="AI468" i="1"/>
  <c r="AH468" i="1"/>
  <c r="AC468" i="1"/>
  <c r="AB468" i="1"/>
  <c r="AA468" i="1"/>
  <c r="Z468" i="1"/>
  <c r="W468" i="1"/>
  <c r="X468" i="1" s="1"/>
  <c r="Y468" i="1" s="1"/>
  <c r="V468" i="1"/>
  <c r="AQ467" i="1"/>
  <c r="AP467" i="1"/>
  <c r="AO467" i="1"/>
  <c r="AN467" i="1"/>
  <c r="AM467" i="1"/>
  <c r="AL467" i="1"/>
  <c r="AK467" i="1"/>
  <c r="AJ467" i="1"/>
  <c r="AI467" i="1"/>
  <c r="AH467" i="1"/>
  <c r="AC467" i="1"/>
  <c r="AB467" i="1"/>
  <c r="AA467" i="1"/>
  <c r="Z467" i="1"/>
  <c r="W467" i="1"/>
  <c r="X467" i="1" s="1"/>
  <c r="Y467" i="1" s="1"/>
  <c r="V467" i="1"/>
  <c r="AQ466" i="1"/>
  <c r="AP466" i="1"/>
  <c r="AO466" i="1"/>
  <c r="AN466" i="1"/>
  <c r="AM466" i="1"/>
  <c r="AL466" i="1"/>
  <c r="AK466" i="1"/>
  <c r="AJ466" i="1"/>
  <c r="AI466" i="1"/>
  <c r="AH466" i="1"/>
  <c r="AC466" i="1"/>
  <c r="AB466" i="1"/>
  <c r="AA466" i="1"/>
  <c r="Z466" i="1"/>
  <c r="W466" i="1"/>
  <c r="X466" i="1" s="1"/>
  <c r="Y466" i="1" s="1"/>
  <c r="V466" i="1"/>
  <c r="AQ465" i="1"/>
  <c r="AP465" i="1"/>
  <c r="AO465" i="1"/>
  <c r="AN465" i="1"/>
  <c r="AM465" i="1"/>
  <c r="AL465" i="1"/>
  <c r="AK465" i="1"/>
  <c r="AJ465" i="1"/>
  <c r="AI465" i="1"/>
  <c r="AH465" i="1"/>
  <c r="AC465" i="1"/>
  <c r="AB465" i="1"/>
  <c r="AA465" i="1"/>
  <c r="Z465" i="1"/>
  <c r="W465" i="1"/>
  <c r="X465" i="1" s="1"/>
  <c r="Y465" i="1" s="1"/>
  <c r="V465" i="1"/>
  <c r="AQ464" i="1"/>
  <c r="AP464" i="1"/>
  <c r="AO464" i="1"/>
  <c r="AN464" i="1"/>
  <c r="AM464" i="1"/>
  <c r="AL464" i="1"/>
  <c r="AK464" i="1"/>
  <c r="AJ464" i="1"/>
  <c r="AI464" i="1"/>
  <c r="AH464" i="1"/>
  <c r="AC464" i="1"/>
  <c r="AB464" i="1"/>
  <c r="AA464" i="1"/>
  <c r="Z464" i="1"/>
  <c r="W464" i="1"/>
  <c r="X464" i="1" s="1"/>
  <c r="Y464" i="1" s="1"/>
  <c r="V464" i="1"/>
  <c r="AQ463" i="1"/>
  <c r="AP463" i="1"/>
  <c r="AO463" i="1"/>
  <c r="AN463" i="1"/>
  <c r="AM463" i="1"/>
  <c r="AL463" i="1"/>
  <c r="AK463" i="1"/>
  <c r="AJ463" i="1"/>
  <c r="AI463" i="1"/>
  <c r="AH463" i="1"/>
  <c r="AC463" i="1"/>
  <c r="AB463" i="1"/>
  <c r="AA463" i="1"/>
  <c r="Z463" i="1"/>
  <c r="W463" i="1"/>
  <c r="X463" i="1" s="1"/>
  <c r="Y463" i="1" s="1"/>
  <c r="V463" i="1"/>
  <c r="AQ462" i="1"/>
  <c r="AP462" i="1"/>
  <c r="AO462" i="1"/>
  <c r="AN462" i="1"/>
  <c r="AM462" i="1"/>
  <c r="AL462" i="1"/>
  <c r="AK462" i="1"/>
  <c r="AI462" i="1"/>
  <c r="AH462" i="1"/>
  <c r="AC462" i="1"/>
  <c r="AB462" i="1"/>
  <c r="AA462" i="1"/>
  <c r="Z462" i="1"/>
  <c r="W462" i="1"/>
  <c r="X462" i="1" s="1"/>
  <c r="Y462" i="1" s="1"/>
  <c r="V462" i="1"/>
  <c r="AQ461" i="1"/>
  <c r="AP461" i="1"/>
  <c r="AO461" i="1"/>
  <c r="AN461" i="1"/>
  <c r="AM461" i="1"/>
  <c r="AL461" i="1"/>
  <c r="AK461" i="1"/>
  <c r="AJ461" i="1"/>
  <c r="AI461" i="1"/>
  <c r="AH461" i="1"/>
  <c r="AC461" i="1"/>
  <c r="AB461" i="1"/>
  <c r="AA461" i="1"/>
  <c r="Z461" i="1"/>
  <c r="W461" i="1"/>
  <c r="X461" i="1" s="1"/>
  <c r="Y461" i="1" s="1"/>
  <c r="V461" i="1"/>
  <c r="AQ460" i="1"/>
  <c r="AP460" i="1"/>
  <c r="AO460" i="1"/>
  <c r="AN460" i="1"/>
  <c r="AM460" i="1"/>
  <c r="AL460" i="1"/>
  <c r="AK460" i="1"/>
  <c r="AJ460" i="1"/>
  <c r="AI460" i="1"/>
  <c r="AH460" i="1"/>
  <c r="AC460" i="1"/>
  <c r="AB460" i="1"/>
  <c r="AA460" i="1"/>
  <c r="Z460" i="1"/>
  <c r="W460" i="1"/>
  <c r="X460" i="1" s="1"/>
  <c r="Y460" i="1" s="1"/>
  <c r="V460" i="1"/>
  <c r="AQ459" i="1"/>
  <c r="AP459" i="1"/>
  <c r="AO459" i="1"/>
  <c r="AN459" i="1"/>
  <c r="AM459" i="1"/>
  <c r="AL459" i="1"/>
  <c r="AK459" i="1"/>
  <c r="AJ459" i="1"/>
  <c r="AI459" i="1"/>
  <c r="AH459" i="1"/>
  <c r="AC459" i="1"/>
  <c r="AB459" i="1"/>
  <c r="AA459" i="1"/>
  <c r="Z459" i="1"/>
  <c r="W459" i="1"/>
  <c r="X459" i="1" s="1"/>
  <c r="Y459" i="1" s="1"/>
  <c r="V459" i="1"/>
  <c r="AQ458" i="1"/>
  <c r="AP458" i="1"/>
  <c r="AO458" i="1"/>
  <c r="AN458" i="1"/>
  <c r="AM458" i="1"/>
  <c r="AL458" i="1"/>
  <c r="AK458" i="1"/>
  <c r="AJ458" i="1"/>
  <c r="AI458" i="1"/>
  <c r="AH458" i="1"/>
  <c r="AC458" i="1"/>
  <c r="AB458" i="1"/>
  <c r="AA458" i="1"/>
  <c r="Z458" i="1"/>
  <c r="W458" i="1"/>
  <c r="X458" i="1" s="1"/>
  <c r="Y458" i="1" s="1"/>
  <c r="V458" i="1"/>
  <c r="AQ457" i="1"/>
  <c r="AP457" i="1"/>
  <c r="AO457" i="1"/>
  <c r="AN457" i="1"/>
  <c r="AM457" i="1"/>
  <c r="AL457" i="1"/>
  <c r="AK457" i="1"/>
  <c r="AJ457" i="1"/>
  <c r="AI457" i="1"/>
  <c r="AH457" i="1"/>
  <c r="AC457" i="1"/>
  <c r="AB457" i="1"/>
  <c r="AA457" i="1"/>
  <c r="Z457" i="1"/>
  <c r="W457" i="1"/>
  <c r="X457" i="1" s="1"/>
  <c r="Y457" i="1" s="1"/>
  <c r="V457" i="1"/>
  <c r="AQ456" i="1"/>
  <c r="AP456" i="1"/>
  <c r="AO456" i="1"/>
  <c r="AN456" i="1"/>
  <c r="AM456" i="1"/>
  <c r="AL456" i="1"/>
  <c r="AK456" i="1"/>
  <c r="AJ456" i="1"/>
  <c r="AI456" i="1"/>
  <c r="AH456" i="1"/>
  <c r="AC456" i="1"/>
  <c r="AB456" i="1"/>
  <c r="AA456" i="1"/>
  <c r="Z456" i="1"/>
  <c r="W456" i="1"/>
  <c r="X456" i="1" s="1"/>
  <c r="Y456" i="1" s="1"/>
  <c r="V456" i="1"/>
  <c r="AQ455" i="1"/>
  <c r="AP455" i="1"/>
  <c r="AO455" i="1"/>
  <c r="AN455" i="1"/>
  <c r="AM455" i="1"/>
  <c r="AL455" i="1"/>
  <c r="AK455" i="1"/>
  <c r="AJ455" i="1"/>
  <c r="AI455" i="1"/>
  <c r="AH455" i="1"/>
  <c r="AC455" i="1"/>
  <c r="AB455" i="1"/>
  <c r="AA455" i="1"/>
  <c r="Z455" i="1"/>
  <c r="W455" i="1"/>
  <c r="X455" i="1" s="1"/>
  <c r="Y455" i="1" s="1"/>
  <c r="V455" i="1"/>
  <c r="AQ454" i="1"/>
  <c r="AP454" i="1"/>
  <c r="AO454" i="1"/>
  <c r="AN454" i="1"/>
  <c r="AM454" i="1"/>
  <c r="AL454" i="1"/>
  <c r="AK454" i="1"/>
  <c r="AJ454" i="1"/>
  <c r="AI454" i="1"/>
  <c r="AH454" i="1"/>
  <c r="AC454" i="1"/>
  <c r="AB454" i="1"/>
  <c r="AA454" i="1"/>
  <c r="Z454" i="1"/>
  <c r="W454" i="1"/>
  <c r="X454" i="1" s="1"/>
  <c r="Y454" i="1" s="1"/>
  <c r="V454" i="1"/>
  <c r="AQ453" i="1"/>
  <c r="AP453" i="1"/>
  <c r="AO453" i="1"/>
  <c r="AN453" i="1"/>
  <c r="AM453" i="1"/>
  <c r="AL453" i="1"/>
  <c r="AK453" i="1"/>
  <c r="AJ453" i="1"/>
  <c r="AI453" i="1"/>
  <c r="AH453" i="1"/>
  <c r="AC453" i="1"/>
  <c r="AB453" i="1"/>
  <c r="AA453" i="1"/>
  <c r="Z453" i="1"/>
  <c r="W453" i="1"/>
  <c r="X453" i="1" s="1"/>
  <c r="Y453" i="1" s="1"/>
  <c r="V453" i="1"/>
  <c r="AQ452" i="1"/>
  <c r="AP452" i="1"/>
  <c r="AO452" i="1"/>
  <c r="AN452" i="1"/>
  <c r="AM452" i="1"/>
  <c r="AL452" i="1"/>
  <c r="AK452" i="1"/>
  <c r="AJ452" i="1"/>
  <c r="AI452" i="1"/>
  <c r="AH452" i="1"/>
  <c r="AC452" i="1"/>
  <c r="AB452" i="1"/>
  <c r="AA452" i="1"/>
  <c r="Z452" i="1"/>
  <c r="W452" i="1"/>
  <c r="X452" i="1" s="1"/>
  <c r="Y452" i="1" s="1"/>
  <c r="V452" i="1"/>
  <c r="AQ451" i="1"/>
  <c r="AP451" i="1"/>
  <c r="AO451" i="1"/>
  <c r="AN451" i="1"/>
  <c r="AM451" i="1"/>
  <c r="AL451" i="1"/>
  <c r="AK451" i="1"/>
  <c r="AJ451" i="1"/>
  <c r="AI451" i="1"/>
  <c r="AH451" i="1"/>
  <c r="AC451" i="1"/>
  <c r="AB451" i="1"/>
  <c r="AA451" i="1"/>
  <c r="Z451" i="1"/>
  <c r="W451" i="1"/>
  <c r="X451" i="1" s="1"/>
  <c r="Y451" i="1" s="1"/>
  <c r="V451" i="1"/>
  <c r="AQ450" i="1"/>
  <c r="AP450" i="1"/>
  <c r="AO450" i="1"/>
  <c r="AN450" i="1"/>
  <c r="AM450" i="1"/>
  <c r="AL450" i="1"/>
  <c r="AK450" i="1"/>
  <c r="AJ450" i="1"/>
  <c r="AI450" i="1"/>
  <c r="AH450" i="1"/>
  <c r="AC450" i="1"/>
  <c r="AB450" i="1"/>
  <c r="AA450" i="1"/>
  <c r="Z450" i="1"/>
  <c r="W450" i="1"/>
  <c r="X450" i="1" s="1"/>
  <c r="Y450" i="1" s="1"/>
  <c r="V450" i="1"/>
  <c r="AQ449" i="1"/>
  <c r="AP449" i="1"/>
  <c r="AO449" i="1"/>
  <c r="AN449" i="1"/>
  <c r="AM449" i="1"/>
  <c r="AL449" i="1"/>
  <c r="AK449" i="1"/>
  <c r="AJ449" i="1"/>
  <c r="AI449" i="1"/>
  <c r="AH449" i="1"/>
  <c r="AC449" i="1"/>
  <c r="AB449" i="1"/>
  <c r="AA449" i="1"/>
  <c r="Z449" i="1"/>
  <c r="W449" i="1"/>
  <c r="X449" i="1" s="1"/>
  <c r="Y449" i="1" s="1"/>
  <c r="V449" i="1"/>
  <c r="AQ448" i="1"/>
  <c r="AP448" i="1"/>
  <c r="AO448" i="1"/>
  <c r="AN448" i="1"/>
  <c r="AM448" i="1"/>
  <c r="AL448" i="1"/>
  <c r="AK448" i="1"/>
  <c r="AJ448" i="1"/>
  <c r="AI448" i="1"/>
  <c r="AH448" i="1"/>
  <c r="AC448" i="1"/>
  <c r="AB448" i="1"/>
  <c r="AA448" i="1"/>
  <c r="Z448" i="1"/>
  <c r="W448" i="1"/>
  <c r="X448" i="1" s="1"/>
  <c r="Y448" i="1" s="1"/>
  <c r="V448" i="1"/>
  <c r="AQ447" i="1"/>
  <c r="AP447" i="1"/>
  <c r="AO447" i="1"/>
  <c r="AN447" i="1"/>
  <c r="AM447" i="1"/>
  <c r="AL447" i="1"/>
  <c r="AK447" i="1"/>
  <c r="AJ447" i="1"/>
  <c r="AI447" i="1"/>
  <c r="AH447" i="1"/>
  <c r="AC447" i="1"/>
  <c r="AB447" i="1"/>
  <c r="AA447" i="1"/>
  <c r="Z447" i="1"/>
  <c r="W447" i="1"/>
  <c r="X447" i="1" s="1"/>
  <c r="Y447" i="1" s="1"/>
  <c r="V447" i="1"/>
  <c r="AQ446" i="1"/>
  <c r="AP446" i="1"/>
  <c r="AO446" i="1"/>
  <c r="AN446" i="1"/>
  <c r="AM446" i="1"/>
  <c r="AL446" i="1"/>
  <c r="AK446" i="1"/>
  <c r="AJ446" i="1"/>
  <c r="AI446" i="1"/>
  <c r="AH446" i="1"/>
  <c r="AC446" i="1"/>
  <c r="AB446" i="1"/>
  <c r="AA446" i="1"/>
  <c r="Z446" i="1"/>
  <c r="W446" i="1"/>
  <c r="X446" i="1" s="1"/>
  <c r="Y446" i="1" s="1"/>
  <c r="V446" i="1"/>
  <c r="AQ445" i="1"/>
  <c r="AP445" i="1"/>
  <c r="AO445" i="1"/>
  <c r="AN445" i="1"/>
  <c r="AM445" i="1"/>
  <c r="AL445" i="1"/>
  <c r="AK445" i="1"/>
  <c r="AJ445" i="1"/>
  <c r="AI445" i="1"/>
  <c r="AH445" i="1"/>
  <c r="AC445" i="1"/>
  <c r="AB445" i="1"/>
  <c r="AA445" i="1"/>
  <c r="Z445" i="1"/>
  <c r="W445" i="1"/>
  <c r="X445" i="1" s="1"/>
  <c r="Y445" i="1" s="1"/>
  <c r="V445" i="1"/>
  <c r="AQ444" i="1"/>
  <c r="AP444" i="1"/>
  <c r="AO444" i="1"/>
  <c r="AN444" i="1"/>
  <c r="AM444" i="1"/>
  <c r="AL444" i="1"/>
  <c r="AK444" i="1"/>
  <c r="AJ444" i="1"/>
  <c r="AI444" i="1"/>
  <c r="AH444" i="1"/>
  <c r="AC444" i="1"/>
  <c r="AB444" i="1"/>
  <c r="AA444" i="1"/>
  <c r="Z444" i="1"/>
  <c r="W444" i="1"/>
  <c r="X444" i="1" s="1"/>
  <c r="Y444" i="1" s="1"/>
  <c r="V444" i="1"/>
  <c r="AQ443" i="1"/>
  <c r="AP443" i="1"/>
  <c r="AO443" i="1"/>
  <c r="AN443" i="1"/>
  <c r="AM443" i="1"/>
  <c r="AL443" i="1"/>
  <c r="AK443" i="1"/>
  <c r="AJ443" i="1"/>
  <c r="AI443" i="1"/>
  <c r="AH443" i="1"/>
  <c r="AC443" i="1"/>
  <c r="AB443" i="1"/>
  <c r="AA443" i="1"/>
  <c r="Z443" i="1"/>
  <c r="W443" i="1"/>
  <c r="X443" i="1" s="1"/>
  <c r="Y443" i="1" s="1"/>
  <c r="V443" i="1"/>
  <c r="AQ442" i="1"/>
  <c r="AP442" i="1"/>
  <c r="AO442" i="1"/>
  <c r="AN442" i="1"/>
  <c r="AM442" i="1"/>
  <c r="AL442" i="1"/>
  <c r="AK442" i="1"/>
  <c r="AJ442" i="1"/>
  <c r="AI442" i="1"/>
  <c r="AH442" i="1"/>
  <c r="AC442" i="1"/>
  <c r="AB442" i="1"/>
  <c r="AA442" i="1"/>
  <c r="Z442" i="1"/>
  <c r="W442" i="1"/>
  <c r="X442" i="1" s="1"/>
  <c r="Y442" i="1" s="1"/>
  <c r="V442" i="1"/>
  <c r="AQ441" i="1"/>
  <c r="AP441" i="1"/>
  <c r="AO441" i="1"/>
  <c r="AN441" i="1"/>
  <c r="AM441" i="1"/>
  <c r="AL441" i="1"/>
  <c r="AK441" i="1"/>
  <c r="AJ441" i="1"/>
  <c r="AI441" i="1"/>
  <c r="AH441" i="1"/>
  <c r="AC441" i="1"/>
  <c r="AB441" i="1"/>
  <c r="AA441" i="1"/>
  <c r="Z441" i="1"/>
  <c r="W441" i="1"/>
  <c r="X441" i="1" s="1"/>
  <c r="Y441" i="1" s="1"/>
  <c r="V441" i="1"/>
  <c r="AQ440" i="1"/>
  <c r="AP440" i="1"/>
  <c r="AO440" i="1"/>
  <c r="AN440" i="1"/>
  <c r="AM440" i="1"/>
  <c r="AL440" i="1"/>
  <c r="AK440" i="1"/>
  <c r="AJ440" i="1"/>
  <c r="AI440" i="1"/>
  <c r="AH440" i="1"/>
  <c r="AC440" i="1"/>
  <c r="AB440" i="1"/>
  <c r="AA440" i="1"/>
  <c r="Z440" i="1"/>
  <c r="W440" i="1"/>
  <c r="X440" i="1" s="1"/>
  <c r="Y440" i="1" s="1"/>
  <c r="V440" i="1"/>
  <c r="AQ439" i="1"/>
  <c r="AP439" i="1"/>
  <c r="AO439" i="1"/>
  <c r="AN439" i="1"/>
  <c r="AM439" i="1"/>
  <c r="AL439" i="1"/>
  <c r="AK439" i="1"/>
  <c r="AJ439" i="1"/>
  <c r="AI439" i="1"/>
  <c r="AH439" i="1"/>
  <c r="AC439" i="1"/>
  <c r="AB439" i="1"/>
  <c r="AA439" i="1"/>
  <c r="Z439" i="1"/>
  <c r="W439" i="1"/>
  <c r="X439" i="1" s="1"/>
  <c r="Y439" i="1" s="1"/>
  <c r="V439" i="1"/>
  <c r="AQ438" i="1"/>
  <c r="AP438" i="1"/>
  <c r="AO438" i="1"/>
  <c r="AN438" i="1"/>
  <c r="AM438" i="1"/>
  <c r="AL438" i="1"/>
  <c r="AK438" i="1"/>
  <c r="AJ438" i="1"/>
  <c r="AI438" i="1"/>
  <c r="AH438" i="1"/>
  <c r="AC438" i="1"/>
  <c r="AB438" i="1"/>
  <c r="AA438" i="1"/>
  <c r="Z438" i="1"/>
  <c r="W438" i="1"/>
  <c r="X438" i="1" s="1"/>
  <c r="Y438" i="1" s="1"/>
  <c r="V438" i="1"/>
  <c r="AQ437" i="1"/>
  <c r="AP437" i="1"/>
  <c r="AO437" i="1"/>
  <c r="AN437" i="1"/>
  <c r="AM437" i="1"/>
  <c r="AL437" i="1"/>
  <c r="AK437" i="1"/>
  <c r="AJ437" i="1"/>
  <c r="AI437" i="1"/>
  <c r="AH437" i="1"/>
  <c r="AC437" i="1"/>
  <c r="AB437" i="1"/>
  <c r="AA437" i="1"/>
  <c r="Z437" i="1"/>
  <c r="W437" i="1"/>
  <c r="X437" i="1" s="1"/>
  <c r="Y437" i="1" s="1"/>
  <c r="V437" i="1"/>
  <c r="AQ436" i="1"/>
  <c r="AP436" i="1"/>
  <c r="AO436" i="1"/>
  <c r="AN436" i="1"/>
  <c r="AM436" i="1"/>
  <c r="AL436" i="1"/>
  <c r="AK436" i="1"/>
  <c r="AJ436" i="1"/>
  <c r="AI436" i="1"/>
  <c r="AH436" i="1"/>
  <c r="AC436" i="1"/>
  <c r="AB436" i="1"/>
  <c r="AA436" i="1"/>
  <c r="Z436" i="1"/>
  <c r="W436" i="1"/>
  <c r="X436" i="1" s="1"/>
  <c r="Y436" i="1" s="1"/>
  <c r="V436" i="1"/>
  <c r="AQ435" i="1"/>
  <c r="AP435" i="1"/>
  <c r="AO435" i="1"/>
  <c r="AN435" i="1"/>
  <c r="AM435" i="1"/>
  <c r="AL435" i="1"/>
  <c r="AK435" i="1"/>
  <c r="AJ435" i="1"/>
  <c r="AI435" i="1"/>
  <c r="AH435" i="1"/>
  <c r="AC435" i="1"/>
  <c r="AB435" i="1"/>
  <c r="AA435" i="1"/>
  <c r="Z435" i="1"/>
  <c r="W435" i="1"/>
  <c r="X435" i="1" s="1"/>
  <c r="Y435" i="1" s="1"/>
  <c r="V435" i="1"/>
  <c r="AQ434" i="1"/>
  <c r="AP434" i="1"/>
  <c r="AO434" i="1"/>
  <c r="AN434" i="1"/>
  <c r="AM434" i="1"/>
  <c r="AL434" i="1"/>
  <c r="AK434" i="1"/>
  <c r="AJ434" i="1"/>
  <c r="AI434" i="1"/>
  <c r="AH434" i="1"/>
  <c r="AC434" i="1"/>
  <c r="AB434" i="1"/>
  <c r="AA434" i="1"/>
  <c r="Z434" i="1"/>
  <c r="W434" i="1"/>
  <c r="X434" i="1" s="1"/>
  <c r="Y434" i="1" s="1"/>
  <c r="V434" i="1"/>
  <c r="AQ433" i="1"/>
  <c r="AP433" i="1"/>
  <c r="AO433" i="1"/>
  <c r="AN433" i="1"/>
  <c r="AM433" i="1"/>
  <c r="AL433" i="1"/>
  <c r="AK433" i="1"/>
  <c r="AJ433" i="1"/>
  <c r="AI433" i="1"/>
  <c r="AH433" i="1"/>
  <c r="AC433" i="1"/>
  <c r="AB433" i="1"/>
  <c r="AA433" i="1"/>
  <c r="Z433" i="1"/>
  <c r="W433" i="1"/>
  <c r="X433" i="1" s="1"/>
  <c r="Y433" i="1" s="1"/>
  <c r="V433" i="1"/>
  <c r="AQ432" i="1"/>
  <c r="AP432" i="1"/>
  <c r="AO432" i="1"/>
  <c r="AN432" i="1"/>
  <c r="AM432" i="1"/>
  <c r="AL432" i="1"/>
  <c r="AK432" i="1"/>
  <c r="AJ432" i="1"/>
  <c r="AI432" i="1"/>
  <c r="AH432" i="1"/>
  <c r="AC432" i="1"/>
  <c r="AB432" i="1"/>
  <c r="AA432" i="1"/>
  <c r="Z432" i="1"/>
  <c r="W432" i="1"/>
  <c r="X432" i="1" s="1"/>
  <c r="Y432" i="1" s="1"/>
  <c r="V432" i="1"/>
  <c r="AQ431" i="1"/>
  <c r="AP431" i="1"/>
  <c r="AO431" i="1"/>
  <c r="AN431" i="1"/>
  <c r="AM431" i="1"/>
  <c r="AL431" i="1"/>
  <c r="AK431" i="1"/>
  <c r="AJ431" i="1"/>
  <c r="AI431" i="1"/>
  <c r="AH431" i="1"/>
  <c r="AC431" i="1"/>
  <c r="AB431" i="1"/>
  <c r="AA431" i="1"/>
  <c r="Z431" i="1"/>
  <c r="W431" i="1"/>
  <c r="X431" i="1" s="1"/>
  <c r="Y431" i="1" s="1"/>
  <c r="V431" i="1"/>
  <c r="AQ430" i="1"/>
  <c r="AP430" i="1"/>
  <c r="AO430" i="1"/>
  <c r="AN430" i="1"/>
  <c r="AM430" i="1"/>
  <c r="AL430" i="1"/>
  <c r="AK430" i="1"/>
  <c r="AJ430" i="1"/>
  <c r="AI430" i="1"/>
  <c r="AH430" i="1"/>
  <c r="AC430" i="1"/>
  <c r="AB430" i="1"/>
  <c r="AA430" i="1"/>
  <c r="Z430" i="1"/>
  <c r="W430" i="1"/>
  <c r="X430" i="1" s="1"/>
  <c r="Y430" i="1" s="1"/>
  <c r="V430" i="1"/>
  <c r="AQ429" i="1"/>
  <c r="AP429" i="1"/>
  <c r="AO429" i="1"/>
  <c r="AN429" i="1"/>
  <c r="AM429" i="1"/>
  <c r="AL429" i="1"/>
  <c r="AK429" i="1"/>
  <c r="AI429" i="1"/>
  <c r="AH429" i="1"/>
  <c r="AC429" i="1"/>
  <c r="AB429" i="1"/>
  <c r="AA429" i="1"/>
  <c r="Z429" i="1"/>
  <c r="W429" i="1"/>
  <c r="X429" i="1" s="1"/>
  <c r="Y429" i="1" s="1"/>
  <c r="V429" i="1"/>
  <c r="AQ428" i="1"/>
  <c r="AP428" i="1"/>
  <c r="AO428" i="1"/>
  <c r="AN428" i="1"/>
  <c r="AM428" i="1"/>
  <c r="AL428" i="1"/>
  <c r="AK428" i="1"/>
  <c r="AJ428" i="1"/>
  <c r="AI428" i="1"/>
  <c r="AH428" i="1"/>
  <c r="AC428" i="1"/>
  <c r="AB428" i="1"/>
  <c r="AA428" i="1"/>
  <c r="Z428" i="1"/>
  <c r="W428" i="1"/>
  <c r="X428" i="1" s="1"/>
  <c r="Y428" i="1" s="1"/>
  <c r="V428" i="1"/>
  <c r="AQ427" i="1"/>
  <c r="AP427" i="1"/>
  <c r="AO427" i="1"/>
  <c r="AN427" i="1"/>
  <c r="AM427" i="1"/>
  <c r="AL427" i="1"/>
  <c r="AK427" i="1"/>
  <c r="AJ427" i="1"/>
  <c r="AI427" i="1"/>
  <c r="AH427" i="1"/>
  <c r="AC427" i="1"/>
  <c r="AB427" i="1"/>
  <c r="AA427" i="1"/>
  <c r="Z427" i="1"/>
  <c r="W427" i="1"/>
  <c r="X427" i="1" s="1"/>
  <c r="Y427" i="1" s="1"/>
  <c r="V427" i="1"/>
  <c r="AQ426" i="1"/>
  <c r="AP426" i="1"/>
  <c r="AO426" i="1"/>
  <c r="AN426" i="1"/>
  <c r="AM426" i="1"/>
  <c r="AL426" i="1"/>
  <c r="AK426" i="1"/>
  <c r="AJ426" i="1"/>
  <c r="AI426" i="1"/>
  <c r="AH426" i="1"/>
  <c r="AC426" i="1"/>
  <c r="AB426" i="1"/>
  <c r="AA426" i="1"/>
  <c r="Z426" i="1"/>
  <c r="W426" i="1"/>
  <c r="X426" i="1" s="1"/>
  <c r="Y426" i="1" s="1"/>
  <c r="V426" i="1"/>
  <c r="AQ425" i="1"/>
  <c r="AP425" i="1"/>
  <c r="AO425" i="1"/>
  <c r="AN425" i="1"/>
  <c r="AM425" i="1"/>
  <c r="AL425" i="1"/>
  <c r="AK425" i="1"/>
  <c r="AJ425" i="1"/>
  <c r="AI425" i="1"/>
  <c r="AH425" i="1"/>
  <c r="AC425" i="1"/>
  <c r="AB425" i="1"/>
  <c r="AA425" i="1"/>
  <c r="Z425" i="1"/>
  <c r="W425" i="1"/>
  <c r="X425" i="1" s="1"/>
  <c r="Y425" i="1" s="1"/>
  <c r="V425" i="1"/>
  <c r="AQ424" i="1"/>
  <c r="AP424" i="1"/>
  <c r="AO424" i="1"/>
  <c r="AN424" i="1"/>
  <c r="AM424" i="1"/>
  <c r="AL424" i="1"/>
  <c r="AK424" i="1"/>
  <c r="AJ424" i="1"/>
  <c r="AI424" i="1"/>
  <c r="AH424" i="1"/>
  <c r="AC424" i="1"/>
  <c r="AB424" i="1"/>
  <c r="AA424" i="1"/>
  <c r="Z424" i="1"/>
  <c r="W424" i="1"/>
  <c r="X424" i="1" s="1"/>
  <c r="Y424" i="1" s="1"/>
  <c r="V424" i="1"/>
  <c r="AQ423" i="1"/>
  <c r="AP423" i="1"/>
  <c r="AO423" i="1"/>
  <c r="AN423" i="1"/>
  <c r="AM423" i="1"/>
  <c r="AL423" i="1"/>
  <c r="AK423" i="1"/>
  <c r="AJ423" i="1"/>
  <c r="AI423" i="1"/>
  <c r="AH423" i="1"/>
  <c r="AC423" i="1"/>
  <c r="AB423" i="1"/>
  <c r="AA423" i="1"/>
  <c r="Z423" i="1"/>
  <c r="W423" i="1"/>
  <c r="X423" i="1" s="1"/>
  <c r="Y423" i="1" s="1"/>
  <c r="V423" i="1"/>
  <c r="AQ422" i="1"/>
  <c r="AP422" i="1"/>
  <c r="AO422" i="1"/>
  <c r="AN422" i="1"/>
  <c r="AM422" i="1"/>
  <c r="AL422" i="1"/>
  <c r="AK422" i="1"/>
  <c r="AJ422" i="1"/>
  <c r="AI422" i="1"/>
  <c r="AH422" i="1"/>
  <c r="AC422" i="1"/>
  <c r="AB422" i="1"/>
  <c r="AA422" i="1"/>
  <c r="Z422" i="1"/>
  <c r="W422" i="1"/>
  <c r="X422" i="1" s="1"/>
  <c r="Y422" i="1" s="1"/>
  <c r="V422" i="1"/>
  <c r="AQ421" i="1"/>
  <c r="AP421" i="1"/>
  <c r="AO421" i="1"/>
  <c r="AN421" i="1"/>
  <c r="AM421" i="1"/>
  <c r="AL421" i="1"/>
  <c r="AK421" i="1"/>
  <c r="AJ421" i="1"/>
  <c r="AI421" i="1"/>
  <c r="AH421" i="1"/>
  <c r="AC421" i="1"/>
  <c r="AB421" i="1"/>
  <c r="AA421" i="1"/>
  <c r="Z421" i="1"/>
  <c r="W421" i="1"/>
  <c r="X421" i="1" s="1"/>
  <c r="Y421" i="1" s="1"/>
  <c r="V421" i="1"/>
  <c r="AQ420" i="1"/>
  <c r="AP420" i="1"/>
  <c r="AO420" i="1"/>
  <c r="AN420" i="1"/>
  <c r="AM420" i="1"/>
  <c r="AL420" i="1"/>
  <c r="AK420" i="1"/>
  <c r="AJ420" i="1"/>
  <c r="AI420" i="1"/>
  <c r="AH420" i="1"/>
  <c r="AC420" i="1"/>
  <c r="AB420" i="1"/>
  <c r="AA420" i="1"/>
  <c r="Z420" i="1"/>
  <c r="W420" i="1"/>
  <c r="X420" i="1" s="1"/>
  <c r="Y420" i="1" s="1"/>
  <c r="V420" i="1"/>
  <c r="AQ419" i="1"/>
  <c r="AP419" i="1"/>
  <c r="AO419" i="1"/>
  <c r="AN419" i="1"/>
  <c r="AM419" i="1"/>
  <c r="AL419" i="1"/>
  <c r="AK419" i="1"/>
  <c r="AJ419" i="1"/>
  <c r="AI419" i="1"/>
  <c r="AH419" i="1"/>
  <c r="AC419" i="1"/>
  <c r="AB419" i="1"/>
  <c r="AA419" i="1"/>
  <c r="Z419" i="1"/>
  <c r="W419" i="1"/>
  <c r="X419" i="1" s="1"/>
  <c r="Y419" i="1" s="1"/>
  <c r="V419" i="1"/>
  <c r="AQ418" i="1"/>
  <c r="AP418" i="1"/>
  <c r="AO418" i="1"/>
  <c r="AN418" i="1"/>
  <c r="AM418" i="1"/>
  <c r="AL418" i="1"/>
  <c r="AK418" i="1"/>
  <c r="AJ418" i="1"/>
  <c r="AI418" i="1"/>
  <c r="AH418" i="1"/>
  <c r="AC418" i="1"/>
  <c r="AB418" i="1"/>
  <c r="AA418" i="1"/>
  <c r="Z418" i="1"/>
  <c r="W418" i="1"/>
  <c r="X418" i="1" s="1"/>
  <c r="Y418" i="1" s="1"/>
  <c r="V418" i="1"/>
  <c r="AQ417" i="1"/>
  <c r="AP417" i="1"/>
  <c r="AO417" i="1"/>
  <c r="AN417" i="1"/>
  <c r="AM417" i="1"/>
  <c r="AL417" i="1"/>
  <c r="AK417" i="1"/>
  <c r="AJ417" i="1"/>
  <c r="AI417" i="1"/>
  <c r="AH417" i="1"/>
  <c r="AC417" i="1"/>
  <c r="AB417" i="1"/>
  <c r="AA417" i="1"/>
  <c r="Z417" i="1"/>
  <c r="W417" i="1"/>
  <c r="X417" i="1" s="1"/>
  <c r="Y417" i="1" s="1"/>
  <c r="V417" i="1"/>
  <c r="AQ416" i="1"/>
  <c r="AP416" i="1"/>
  <c r="AO416" i="1"/>
  <c r="AN416" i="1"/>
  <c r="AM416" i="1"/>
  <c r="AL416" i="1"/>
  <c r="AK416" i="1"/>
  <c r="AJ416" i="1"/>
  <c r="AI416" i="1"/>
  <c r="AH416" i="1"/>
  <c r="AC416" i="1"/>
  <c r="AB416" i="1"/>
  <c r="AA416" i="1"/>
  <c r="Z416" i="1"/>
  <c r="W416" i="1"/>
  <c r="X416" i="1" s="1"/>
  <c r="Y416" i="1" s="1"/>
  <c r="V416" i="1"/>
  <c r="AQ415" i="1"/>
  <c r="AP415" i="1"/>
  <c r="AO415" i="1"/>
  <c r="AN415" i="1"/>
  <c r="AM415" i="1"/>
  <c r="AL415" i="1"/>
  <c r="AK415" i="1"/>
  <c r="AJ415" i="1"/>
  <c r="AI415" i="1"/>
  <c r="AH415" i="1"/>
  <c r="AC415" i="1"/>
  <c r="AB415" i="1"/>
  <c r="AA415" i="1"/>
  <c r="Z415" i="1"/>
  <c r="W415" i="1"/>
  <c r="X415" i="1" s="1"/>
  <c r="Y415" i="1" s="1"/>
  <c r="V415" i="1"/>
  <c r="AQ414" i="1"/>
  <c r="AP414" i="1"/>
  <c r="AO414" i="1"/>
  <c r="AN414" i="1"/>
  <c r="AM414" i="1"/>
  <c r="AL414" i="1"/>
  <c r="AK414" i="1"/>
  <c r="AJ414" i="1"/>
  <c r="AI414" i="1"/>
  <c r="AH414" i="1"/>
  <c r="AC414" i="1"/>
  <c r="AB414" i="1"/>
  <c r="AA414" i="1"/>
  <c r="Z414" i="1"/>
  <c r="W414" i="1"/>
  <c r="X414" i="1" s="1"/>
  <c r="Y414" i="1" s="1"/>
  <c r="V414" i="1"/>
  <c r="AQ413" i="1"/>
  <c r="AP413" i="1"/>
  <c r="AO413" i="1"/>
  <c r="AN413" i="1"/>
  <c r="AM413" i="1"/>
  <c r="AL413" i="1"/>
  <c r="AK413" i="1"/>
  <c r="AJ413" i="1"/>
  <c r="AI413" i="1"/>
  <c r="AH413" i="1"/>
  <c r="AC413" i="1"/>
  <c r="AB413" i="1"/>
  <c r="AA413" i="1"/>
  <c r="Z413" i="1"/>
  <c r="W413" i="1"/>
  <c r="X413" i="1" s="1"/>
  <c r="Y413" i="1" s="1"/>
  <c r="V413" i="1"/>
  <c r="AQ412" i="1"/>
  <c r="AP412" i="1"/>
  <c r="AO412" i="1"/>
  <c r="AN412" i="1"/>
  <c r="AM412" i="1"/>
  <c r="AL412" i="1"/>
  <c r="AK412" i="1"/>
  <c r="AJ412" i="1"/>
  <c r="AI412" i="1"/>
  <c r="AH412" i="1"/>
  <c r="AC412" i="1"/>
  <c r="AB412" i="1"/>
  <c r="AA412" i="1"/>
  <c r="Z412" i="1"/>
  <c r="W412" i="1"/>
  <c r="X412" i="1" s="1"/>
  <c r="Y412" i="1" s="1"/>
  <c r="V412" i="1"/>
  <c r="AQ411" i="1"/>
  <c r="AP411" i="1"/>
  <c r="AO411" i="1"/>
  <c r="AN411" i="1"/>
  <c r="AM411" i="1"/>
  <c r="AL411" i="1"/>
  <c r="AK411" i="1"/>
  <c r="AJ411" i="1"/>
  <c r="AI411" i="1"/>
  <c r="AH411" i="1"/>
  <c r="AC411" i="1"/>
  <c r="AB411" i="1"/>
  <c r="AA411" i="1"/>
  <c r="Z411" i="1"/>
  <c r="W411" i="1"/>
  <c r="X411" i="1" s="1"/>
  <c r="Y411" i="1" s="1"/>
  <c r="V411" i="1"/>
  <c r="AQ410" i="1"/>
  <c r="AP410" i="1"/>
  <c r="AO410" i="1"/>
  <c r="AN410" i="1"/>
  <c r="AM410" i="1"/>
  <c r="AL410" i="1"/>
  <c r="AK410" i="1"/>
  <c r="AJ410" i="1"/>
  <c r="AI410" i="1"/>
  <c r="AH410" i="1"/>
  <c r="AC410" i="1"/>
  <c r="AB410" i="1"/>
  <c r="AA410" i="1"/>
  <c r="Z410" i="1"/>
  <c r="W410" i="1"/>
  <c r="X410" i="1" s="1"/>
  <c r="Y410" i="1" s="1"/>
  <c r="V410" i="1"/>
  <c r="AQ409" i="1"/>
  <c r="AP409" i="1"/>
  <c r="AO409" i="1"/>
  <c r="AN409" i="1"/>
  <c r="AM409" i="1"/>
  <c r="AL409" i="1"/>
  <c r="AK409" i="1"/>
  <c r="AJ409" i="1"/>
  <c r="AI409" i="1"/>
  <c r="AH409" i="1"/>
  <c r="AC409" i="1"/>
  <c r="AB409" i="1"/>
  <c r="AA409" i="1"/>
  <c r="Z409" i="1"/>
  <c r="W409" i="1"/>
  <c r="X409" i="1" s="1"/>
  <c r="Y409" i="1" s="1"/>
  <c r="V409" i="1"/>
  <c r="AQ408" i="1"/>
  <c r="AP408" i="1"/>
  <c r="AO408" i="1"/>
  <c r="AN408" i="1"/>
  <c r="AM408" i="1"/>
  <c r="AL408" i="1"/>
  <c r="AK408" i="1"/>
  <c r="AJ408" i="1"/>
  <c r="AI408" i="1"/>
  <c r="AH408" i="1"/>
  <c r="AC408" i="1"/>
  <c r="AB408" i="1"/>
  <c r="AA408" i="1"/>
  <c r="Z408" i="1"/>
  <c r="W408" i="1"/>
  <c r="X408" i="1" s="1"/>
  <c r="Y408" i="1" s="1"/>
  <c r="V408" i="1"/>
  <c r="AQ407" i="1"/>
  <c r="AP407" i="1"/>
  <c r="AN407" i="1"/>
  <c r="AM407" i="1"/>
  <c r="AL407" i="1"/>
  <c r="AK407" i="1"/>
  <c r="AJ407" i="1"/>
  <c r="AI407" i="1"/>
  <c r="AH407" i="1"/>
  <c r="AC407" i="1"/>
  <c r="AB407" i="1"/>
  <c r="AA407" i="1"/>
  <c r="Z407" i="1"/>
  <c r="W407" i="1"/>
  <c r="X407" i="1" s="1"/>
  <c r="Y407" i="1" s="1"/>
  <c r="V407" i="1"/>
  <c r="AQ406" i="1"/>
  <c r="AP406" i="1"/>
  <c r="AO406" i="1"/>
  <c r="AN406" i="1"/>
  <c r="AM406" i="1"/>
  <c r="AL406" i="1"/>
  <c r="AK406" i="1"/>
  <c r="AJ406" i="1"/>
  <c r="AI406" i="1"/>
  <c r="AH406" i="1"/>
  <c r="AC406" i="1"/>
  <c r="AB406" i="1"/>
  <c r="AA406" i="1"/>
  <c r="Z406" i="1"/>
  <c r="W406" i="1"/>
  <c r="X406" i="1" s="1"/>
  <c r="Y406" i="1" s="1"/>
  <c r="V406" i="1"/>
  <c r="AQ405" i="1"/>
  <c r="AP405" i="1"/>
  <c r="AO405" i="1"/>
  <c r="AN405" i="1"/>
  <c r="AM405" i="1"/>
  <c r="AL405" i="1"/>
  <c r="AK405" i="1"/>
  <c r="AJ405" i="1"/>
  <c r="AI405" i="1"/>
  <c r="AH405" i="1"/>
  <c r="AC405" i="1"/>
  <c r="AB405" i="1"/>
  <c r="AA405" i="1"/>
  <c r="Z405" i="1"/>
  <c r="W405" i="1"/>
  <c r="X405" i="1" s="1"/>
  <c r="Y405" i="1" s="1"/>
  <c r="V405" i="1"/>
  <c r="AQ404" i="1"/>
  <c r="AP404" i="1"/>
  <c r="AN404" i="1"/>
  <c r="AM404" i="1"/>
  <c r="AL404" i="1"/>
  <c r="AK404" i="1"/>
  <c r="AJ404" i="1"/>
  <c r="AI404" i="1"/>
  <c r="AH404" i="1"/>
  <c r="AC404" i="1"/>
  <c r="AB404" i="1"/>
  <c r="AA404" i="1"/>
  <c r="Z404" i="1"/>
  <c r="W404" i="1"/>
  <c r="X404" i="1" s="1"/>
  <c r="Y404" i="1" s="1"/>
  <c r="V404" i="1"/>
  <c r="AQ403" i="1"/>
  <c r="AP403" i="1"/>
  <c r="AO403" i="1"/>
  <c r="AN403" i="1"/>
  <c r="AM403" i="1"/>
  <c r="AL403" i="1"/>
  <c r="AK403" i="1"/>
  <c r="AJ403" i="1"/>
  <c r="AI403" i="1"/>
  <c r="AH403" i="1"/>
  <c r="AC403" i="1"/>
  <c r="AB403" i="1"/>
  <c r="AA403" i="1"/>
  <c r="Z403" i="1"/>
  <c r="W403" i="1"/>
  <c r="X403" i="1" s="1"/>
  <c r="Y403" i="1" s="1"/>
  <c r="V403" i="1"/>
  <c r="AQ402" i="1"/>
  <c r="AP402" i="1"/>
  <c r="AO402" i="1"/>
  <c r="AN402" i="1"/>
  <c r="AM402" i="1"/>
  <c r="AL402" i="1"/>
  <c r="AK402" i="1"/>
  <c r="AJ402" i="1"/>
  <c r="AI402" i="1"/>
  <c r="AH402" i="1"/>
  <c r="AC402" i="1"/>
  <c r="AB402" i="1"/>
  <c r="AA402" i="1"/>
  <c r="Z402" i="1"/>
  <c r="W402" i="1"/>
  <c r="X402" i="1" s="1"/>
  <c r="Y402" i="1" s="1"/>
  <c r="V402" i="1"/>
  <c r="AQ401" i="1"/>
  <c r="AP401" i="1"/>
  <c r="AO401" i="1"/>
  <c r="AN401" i="1"/>
  <c r="AM401" i="1"/>
  <c r="AL401" i="1"/>
  <c r="AK401" i="1"/>
  <c r="AJ401" i="1"/>
  <c r="AI401" i="1"/>
  <c r="AH401" i="1"/>
  <c r="AC401" i="1"/>
  <c r="AB401" i="1"/>
  <c r="AA401" i="1"/>
  <c r="Z401" i="1"/>
  <c r="W401" i="1"/>
  <c r="X401" i="1" s="1"/>
  <c r="Y401" i="1" s="1"/>
  <c r="V401" i="1"/>
  <c r="AQ400" i="1"/>
  <c r="AP400" i="1"/>
  <c r="AO400" i="1"/>
  <c r="AN400" i="1"/>
  <c r="AM400" i="1"/>
  <c r="AL400" i="1"/>
  <c r="AK400" i="1"/>
  <c r="AJ400" i="1"/>
  <c r="AI400" i="1"/>
  <c r="AH400" i="1"/>
  <c r="AC400" i="1"/>
  <c r="AB400" i="1"/>
  <c r="AA400" i="1"/>
  <c r="Z400" i="1"/>
  <c r="W400" i="1"/>
  <c r="X400" i="1" s="1"/>
  <c r="Y400" i="1" s="1"/>
  <c r="V400" i="1"/>
  <c r="AQ399" i="1"/>
  <c r="AP399" i="1"/>
  <c r="AO399" i="1"/>
  <c r="AN399" i="1"/>
  <c r="AM399" i="1"/>
  <c r="AL399" i="1"/>
  <c r="AK399" i="1"/>
  <c r="AJ399" i="1"/>
  <c r="AI399" i="1"/>
  <c r="AH399" i="1"/>
  <c r="AC399" i="1"/>
  <c r="AB399" i="1"/>
  <c r="AA399" i="1"/>
  <c r="Z399" i="1"/>
  <c r="W399" i="1"/>
  <c r="X399" i="1" s="1"/>
  <c r="Y399" i="1" s="1"/>
  <c r="V399" i="1"/>
  <c r="AQ398" i="1"/>
  <c r="AP398" i="1"/>
  <c r="AO398" i="1"/>
  <c r="AN398" i="1"/>
  <c r="AM398" i="1"/>
  <c r="AL398" i="1"/>
  <c r="AK398" i="1"/>
  <c r="AJ398" i="1"/>
  <c r="AI398" i="1"/>
  <c r="AH398" i="1"/>
  <c r="AC398" i="1"/>
  <c r="AB398" i="1"/>
  <c r="AA398" i="1"/>
  <c r="Z398" i="1"/>
  <c r="W398" i="1"/>
  <c r="X398" i="1" s="1"/>
  <c r="Y398" i="1" s="1"/>
  <c r="V398" i="1"/>
  <c r="AQ397" i="1"/>
  <c r="AP397" i="1"/>
  <c r="AO397" i="1"/>
  <c r="AN397" i="1"/>
  <c r="AM397" i="1"/>
  <c r="AL397" i="1"/>
  <c r="AK397" i="1"/>
  <c r="AJ397" i="1"/>
  <c r="AI397" i="1"/>
  <c r="AH397" i="1"/>
  <c r="AC397" i="1"/>
  <c r="AB397" i="1"/>
  <c r="AA397" i="1"/>
  <c r="Z397" i="1"/>
  <c r="W397" i="1"/>
  <c r="X397" i="1" s="1"/>
  <c r="Y397" i="1" s="1"/>
  <c r="V397" i="1"/>
  <c r="AQ396" i="1"/>
  <c r="AP396" i="1"/>
  <c r="AO396" i="1"/>
  <c r="AN396" i="1"/>
  <c r="AM396" i="1"/>
  <c r="AL396" i="1"/>
  <c r="AK396" i="1"/>
  <c r="AJ396" i="1"/>
  <c r="AI396" i="1"/>
  <c r="AH396" i="1"/>
  <c r="AC396" i="1"/>
  <c r="AB396" i="1"/>
  <c r="AA396" i="1"/>
  <c r="Z396" i="1"/>
  <c r="W396" i="1"/>
  <c r="X396" i="1" s="1"/>
  <c r="Y396" i="1" s="1"/>
  <c r="V396" i="1"/>
  <c r="AQ395" i="1"/>
  <c r="AP395" i="1"/>
  <c r="AO395" i="1"/>
  <c r="AN395" i="1"/>
  <c r="AM395" i="1"/>
  <c r="AL395" i="1"/>
  <c r="AK395" i="1"/>
  <c r="AJ395" i="1"/>
  <c r="AI395" i="1"/>
  <c r="AH395" i="1"/>
  <c r="AC395" i="1"/>
  <c r="AB395" i="1"/>
  <c r="AA395" i="1"/>
  <c r="Z395" i="1"/>
  <c r="W395" i="1"/>
  <c r="X395" i="1" s="1"/>
  <c r="Y395" i="1" s="1"/>
  <c r="V395" i="1"/>
  <c r="AQ394" i="1"/>
  <c r="AP394" i="1"/>
  <c r="AO394" i="1"/>
  <c r="AN394" i="1"/>
  <c r="AM394" i="1"/>
  <c r="AL394" i="1"/>
  <c r="AK394" i="1"/>
  <c r="AJ394" i="1"/>
  <c r="AI394" i="1"/>
  <c r="AH394" i="1"/>
  <c r="AC394" i="1"/>
  <c r="AB394" i="1"/>
  <c r="AA394" i="1"/>
  <c r="Z394" i="1"/>
  <c r="W394" i="1"/>
  <c r="X394" i="1" s="1"/>
  <c r="Y394" i="1" s="1"/>
  <c r="V394" i="1"/>
  <c r="AQ393" i="1"/>
  <c r="AP393" i="1"/>
  <c r="AO393" i="1"/>
  <c r="AN393" i="1"/>
  <c r="AM393" i="1"/>
  <c r="AL393" i="1"/>
  <c r="AK393" i="1"/>
  <c r="AJ393" i="1"/>
  <c r="AI393" i="1"/>
  <c r="AH393" i="1"/>
  <c r="AC393" i="1"/>
  <c r="AB393" i="1"/>
  <c r="AA393" i="1"/>
  <c r="Z393" i="1"/>
  <c r="W393" i="1"/>
  <c r="X393" i="1" s="1"/>
  <c r="Y393" i="1" s="1"/>
  <c r="V393" i="1"/>
  <c r="AQ392" i="1"/>
  <c r="AP392" i="1"/>
  <c r="AO392" i="1"/>
  <c r="AN392" i="1"/>
  <c r="AM392" i="1"/>
  <c r="AL392" i="1"/>
  <c r="AK392" i="1"/>
  <c r="AJ392" i="1"/>
  <c r="AI392" i="1"/>
  <c r="AH392" i="1"/>
  <c r="AC392" i="1"/>
  <c r="AB392" i="1"/>
  <c r="AA392" i="1"/>
  <c r="Z392" i="1"/>
  <c r="W392" i="1"/>
  <c r="X392" i="1" s="1"/>
  <c r="Y392" i="1" s="1"/>
  <c r="V392" i="1"/>
  <c r="AQ391" i="1"/>
  <c r="AP391" i="1"/>
  <c r="AO391" i="1"/>
  <c r="AN391" i="1"/>
  <c r="AM391" i="1"/>
  <c r="AL391" i="1"/>
  <c r="AK391" i="1"/>
  <c r="AJ391" i="1"/>
  <c r="AI391" i="1"/>
  <c r="AH391" i="1"/>
  <c r="AC391" i="1"/>
  <c r="AB391" i="1"/>
  <c r="AA391" i="1"/>
  <c r="Z391" i="1"/>
  <c r="W391" i="1"/>
  <c r="X391" i="1" s="1"/>
  <c r="Y391" i="1" s="1"/>
  <c r="V391" i="1"/>
  <c r="AQ390" i="1"/>
  <c r="AP390" i="1"/>
  <c r="AO390" i="1"/>
  <c r="AN390" i="1"/>
  <c r="AM390" i="1"/>
  <c r="AL390" i="1"/>
  <c r="AK390" i="1"/>
  <c r="AJ390" i="1"/>
  <c r="AI390" i="1"/>
  <c r="AH390" i="1"/>
  <c r="AC390" i="1"/>
  <c r="AB390" i="1"/>
  <c r="AA390" i="1"/>
  <c r="Z390" i="1"/>
  <c r="W390" i="1"/>
  <c r="X390" i="1" s="1"/>
  <c r="Y390" i="1" s="1"/>
  <c r="V390" i="1"/>
  <c r="AQ389" i="1"/>
  <c r="AP389" i="1"/>
  <c r="AO389" i="1"/>
  <c r="AN389" i="1"/>
  <c r="AM389" i="1"/>
  <c r="AL389" i="1"/>
  <c r="AK389" i="1"/>
  <c r="AJ389" i="1"/>
  <c r="AI389" i="1"/>
  <c r="AH389" i="1"/>
  <c r="AC389" i="1"/>
  <c r="AB389" i="1"/>
  <c r="AA389" i="1"/>
  <c r="Z389" i="1"/>
  <c r="W389" i="1"/>
  <c r="X389" i="1" s="1"/>
  <c r="Y389" i="1" s="1"/>
  <c r="V389" i="1"/>
  <c r="AQ388" i="1"/>
  <c r="AP388" i="1"/>
  <c r="AO388" i="1"/>
  <c r="AN388" i="1"/>
  <c r="AM388" i="1"/>
  <c r="AL388" i="1"/>
  <c r="AK388" i="1"/>
  <c r="AJ388" i="1"/>
  <c r="AI388" i="1"/>
  <c r="AH388" i="1"/>
  <c r="AC388" i="1"/>
  <c r="AB388" i="1"/>
  <c r="AA388" i="1"/>
  <c r="Z388" i="1"/>
  <c r="W388" i="1"/>
  <c r="X388" i="1" s="1"/>
  <c r="Y388" i="1" s="1"/>
  <c r="V388" i="1"/>
  <c r="AQ387" i="1"/>
  <c r="AP387" i="1"/>
  <c r="AO387" i="1"/>
  <c r="AN387" i="1"/>
  <c r="AM387" i="1"/>
  <c r="AL387" i="1"/>
  <c r="AK387" i="1"/>
  <c r="AJ387" i="1"/>
  <c r="AI387" i="1"/>
  <c r="AH387" i="1"/>
  <c r="AC387" i="1"/>
  <c r="AB387" i="1"/>
  <c r="AA387" i="1"/>
  <c r="Z387" i="1"/>
  <c r="W387" i="1"/>
  <c r="X387" i="1" s="1"/>
  <c r="Y387" i="1" s="1"/>
  <c r="V387" i="1"/>
  <c r="AQ386" i="1"/>
  <c r="AP386" i="1"/>
  <c r="AO386" i="1"/>
  <c r="AN386" i="1"/>
  <c r="AM386" i="1"/>
  <c r="AL386" i="1"/>
  <c r="AK386" i="1"/>
  <c r="AJ386" i="1"/>
  <c r="AI386" i="1"/>
  <c r="AH386" i="1"/>
  <c r="AC386" i="1"/>
  <c r="AB386" i="1"/>
  <c r="AA386" i="1"/>
  <c r="Z386" i="1"/>
  <c r="W386" i="1"/>
  <c r="X386" i="1" s="1"/>
  <c r="Y386" i="1" s="1"/>
  <c r="V386" i="1"/>
  <c r="AQ385" i="1"/>
  <c r="AP385" i="1"/>
  <c r="AO385" i="1"/>
  <c r="AN385" i="1"/>
  <c r="AM385" i="1"/>
  <c r="AL385" i="1"/>
  <c r="AK385" i="1"/>
  <c r="AJ385" i="1"/>
  <c r="AI385" i="1"/>
  <c r="AH385" i="1"/>
  <c r="AC385" i="1"/>
  <c r="AB385" i="1"/>
  <c r="AA385" i="1"/>
  <c r="Z385" i="1"/>
  <c r="W385" i="1"/>
  <c r="X385" i="1" s="1"/>
  <c r="Y385" i="1" s="1"/>
  <c r="V385" i="1"/>
  <c r="AQ384" i="1"/>
  <c r="AP384" i="1"/>
  <c r="AO384" i="1"/>
  <c r="AN384" i="1"/>
  <c r="AM384" i="1"/>
  <c r="AL384" i="1"/>
  <c r="AK384" i="1"/>
  <c r="AJ384" i="1"/>
  <c r="AI384" i="1"/>
  <c r="AH384" i="1"/>
  <c r="AC384" i="1"/>
  <c r="AB384" i="1"/>
  <c r="AA384" i="1"/>
  <c r="Z384" i="1"/>
  <c r="W384" i="1"/>
  <c r="X384" i="1" s="1"/>
  <c r="Y384" i="1" s="1"/>
  <c r="V384" i="1"/>
  <c r="AQ383" i="1"/>
  <c r="AP383" i="1"/>
  <c r="AO383" i="1"/>
  <c r="AN383" i="1"/>
  <c r="AM383" i="1"/>
  <c r="AL383" i="1"/>
  <c r="AK383" i="1"/>
  <c r="AJ383" i="1"/>
  <c r="AI383" i="1"/>
  <c r="AH383" i="1"/>
  <c r="AC383" i="1"/>
  <c r="AB383" i="1"/>
  <c r="AA383" i="1"/>
  <c r="Z383" i="1"/>
  <c r="W383" i="1"/>
  <c r="X383" i="1" s="1"/>
  <c r="Y383" i="1" s="1"/>
  <c r="V383" i="1"/>
  <c r="AQ382" i="1"/>
  <c r="AP382" i="1"/>
  <c r="AO382" i="1"/>
  <c r="AN382" i="1"/>
  <c r="AM382" i="1"/>
  <c r="AL382" i="1"/>
  <c r="AK382" i="1"/>
  <c r="AJ382" i="1"/>
  <c r="AI382" i="1"/>
  <c r="AH382" i="1"/>
  <c r="AC382" i="1"/>
  <c r="AB382" i="1"/>
  <c r="AA382" i="1"/>
  <c r="Z382" i="1"/>
  <c r="W382" i="1"/>
  <c r="X382" i="1" s="1"/>
  <c r="Y382" i="1" s="1"/>
  <c r="V382" i="1"/>
  <c r="AQ381" i="1"/>
  <c r="AP381" i="1"/>
  <c r="AO381" i="1"/>
  <c r="AN381" i="1"/>
  <c r="AM381" i="1"/>
  <c r="AL381" i="1"/>
  <c r="AK381" i="1"/>
  <c r="AJ381" i="1"/>
  <c r="AI381" i="1"/>
  <c r="AH381" i="1"/>
  <c r="AC381" i="1"/>
  <c r="AB381" i="1"/>
  <c r="AA381" i="1"/>
  <c r="Z381" i="1"/>
  <c r="W381" i="1"/>
  <c r="X381" i="1" s="1"/>
  <c r="Y381" i="1" s="1"/>
  <c r="V381" i="1"/>
  <c r="AQ380" i="1"/>
  <c r="AP380" i="1"/>
  <c r="AO380" i="1"/>
  <c r="AN380" i="1"/>
  <c r="AM380" i="1"/>
  <c r="AL380" i="1"/>
  <c r="AK380" i="1"/>
  <c r="AJ380" i="1"/>
  <c r="AI380" i="1"/>
  <c r="AH380" i="1"/>
  <c r="AC380" i="1"/>
  <c r="AB380" i="1"/>
  <c r="AA380" i="1"/>
  <c r="Z380" i="1"/>
  <c r="W380" i="1"/>
  <c r="X380" i="1" s="1"/>
  <c r="Y380" i="1" s="1"/>
  <c r="V380" i="1"/>
  <c r="AQ379" i="1"/>
  <c r="AP379" i="1"/>
  <c r="AO379" i="1"/>
  <c r="AN379" i="1"/>
  <c r="AM379" i="1"/>
  <c r="AL379" i="1"/>
  <c r="AK379" i="1"/>
  <c r="AJ379" i="1"/>
  <c r="AI379" i="1"/>
  <c r="AH379" i="1"/>
  <c r="AC379" i="1"/>
  <c r="AB379" i="1"/>
  <c r="AA379" i="1"/>
  <c r="Z379" i="1"/>
  <c r="W379" i="1"/>
  <c r="X379" i="1" s="1"/>
  <c r="Y379" i="1" s="1"/>
  <c r="V379" i="1"/>
  <c r="AQ378" i="1"/>
  <c r="AP378" i="1"/>
  <c r="AO378" i="1"/>
  <c r="AN378" i="1"/>
  <c r="AM378" i="1"/>
  <c r="AL378" i="1"/>
  <c r="AK378" i="1"/>
  <c r="AJ378" i="1"/>
  <c r="AI378" i="1"/>
  <c r="AH378" i="1"/>
  <c r="AC378" i="1"/>
  <c r="AB378" i="1"/>
  <c r="AA378" i="1"/>
  <c r="Z378" i="1"/>
  <c r="W378" i="1"/>
  <c r="X378" i="1" s="1"/>
  <c r="Y378" i="1" s="1"/>
  <c r="V378" i="1"/>
  <c r="AQ377" i="1"/>
  <c r="AP377" i="1"/>
  <c r="AO377" i="1"/>
  <c r="AN377" i="1"/>
  <c r="AM377" i="1"/>
  <c r="AL377" i="1"/>
  <c r="AK377" i="1"/>
  <c r="AJ377" i="1"/>
  <c r="AI377" i="1"/>
  <c r="AH377" i="1"/>
  <c r="AC377" i="1"/>
  <c r="AB377" i="1"/>
  <c r="AA377" i="1"/>
  <c r="Z377" i="1"/>
  <c r="W377" i="1"/>
  <c r="X377" i="1" s="1"/>
  <c r="Y377" i="1" s="1"/>
  <c r="V377" i="1"/>
  <c r="AQ376" i="1"/>
  <c r="AP376" i="1"/>
  <c r="AO376" i="1"/>
  <c r="AN376" i="1"/>
  <c r="AM376" i="1"/>
  <c r="AL376" i="1"/>
  <c r="AK376" i="1"/>
  <c r="AJ376" i="1"/>
  <c r="AI376" i="1"/>
  <c r="AH376" i="1"/>
  <c r="AC376" i="1"/>
  <c r="AB376" i="1"/>
  <c r="AA376" i="1"/>
  <c r="Z376" i="1"/>
  <c r="W376" i="1"/>
  <c r="X376" i="1" s="1"/>
  <c r="Y376" i="1" s="1"/>
  <c r="V376" i="1"/>
  <c r="AQ375" i="1"/>
  <c r="AP375" i="1"/>
  <c r="AO375" i="1"/>
  <c r="AN375" i="1"/>
  <c r="AM375" i="1"/>
  <c r="AL375" i="1"/>
  <c r="AK375" i="1"/>
  <c r="AJ375" i="1"/>
  <c r="AI375" i="1"/>
  <c r="AH375" i="1"/>
  <c r="AC375" i="1"/>
  <c r="AB375" i="1"/>
  <c r="AA375" i="1"/>
  <c r="Z375" i="1"/>
  <c r="W375" i="1"/>
  <c r="X375" i="1" s="1"/>
  <c r="Y375" i="1" s="1"/>
  <c r="V375" i="1"/>
  <c r="AQ374" i="1"/>
  <c r="AP374" i="1"/>
  <c r="AO374" i="1"/>
  <c r="AN374" i="1"/>
  <c r="AM374" i="1"/>
  <c r="AL374" i="1"/>
  <c r="AK374" i="1"/>
  <c r="AJ374" i="1"/>
  <c r="AI374" i="1"/>
  <c r="AH374" i="1"/>
  <c r="AC374" i="1"/>
  <c r="AB374" i="1"/>
  <c r="AA374" i="1"/>
  <c r="Z374" i="1"/>
  <c r="W374" i="1"/>
  <c r="X374" i="1" s="1"/>
  <c r="Y374" i="1" s="1"/>
  <c r="V374" i="1"/>
  <c r="AQ373" i="1"/>
  <c r="AP373" i="1"/>
  <c r="AO373" i="1"/>
  <c r="AN373" i="1"/>
  <c r="AM373" i="1"/>
  <c r="AL373" i="1"/>
  <c r="AK373" i="1"/>
  <c r="AJ373" i="1"/>
  <c r="AI373" i="1"/>
  <c r="AH373" i="1"/>
  <c r="AC373" i="1"/>
  <c r="AB373" i="1"/>
  <c r="AA373" i="1"/>
  <c r="Z373" i="1"/>
  <c r="W373" i="1"/>
  <c r="X373" i="1" s="1"/>
  <c r="Y373" i="1" s="1"/>
  <c r="V373" i="1"/>
  <c r="AQ372" i="1"/>
  <c r="AP372" i="1"/>
  <c r="AO372" i="1"/>
  <c r="AN372" i="1"/>
  <c r="AM372" i="1"/>
  <c r="AL372" i="1"/>
  <c r="AK372" i="1"/>
  <c r="AJ372" i="1"/>
  <c r="AI372" i="1"/>
  <c r="AH372" i="1"/>
  <c r="AC372" i="1"/>
  <c r="AB372" i="1"/>
  <c r="AA372" i="1"/>
  <c r="Z372" i="1"/>
  <c r="W372" i="1"/>
  <c r="X372" i="1" s="1"/>
  <c r="Y372" i="1" s="1"/>
  <c r="V372" i="1"/>
  <c r="AQ371" i="1"/>
  <c r="AP371" i="1"/>
  <c r="AO371" i="1"/>
  <c r="AN371" i="1"/>
  <c r="AM371" i="1"/>
  <c r="AL371" i="1"/>
  <c r="AK371" i="1"/>
  <c r="AJ371" i="1"/>
  <c r="AI371" i="1"/>
  <c r="AH371" i="1"/>
  <c r="AC371" i="1"/>
  <c r="AB371" i="1"/>
  <c r="AA371" i="1"/>
  <c r="Z371" i="1"/>
  <c r="W371" i="1"/>
  <c r="X371" i="1" s="1"/>
  <c r="Y371" i="1" s="1"/>
  <c r="V371" i="1"/>
  <c r="AQ370" i="1"/>
  <c r="AP370" i="1"/>
  <c r="AO370" i="1"/>
  <c r="AN370" i="1"/>
  <c r="AM370" i="1"/>
  <c r="AL370" i="1"/>
  <c r="AK370" i="1"/>
  <c r="AJ370" i="1"/>
  <c r="AI370" i="1"/>
  <c r="AH370" i="1"/>
  <c r="AC370" i="1"/>
  <c r="AB370" i="1"/>
  <c r="AA370" i="1"/>
  <c r="Z370" i="1"/>
  <c r="W370" i="1"/>
  <c r="X370" i="1" s="1"/>
  <c r="Y370" i="1" s="1"/>
  <c r="V370" i="1"/>
  <c r="AQ369" i="1"/>
  <c r="AP369" i="1"/>
  <c r="AO369" i="1"/>
  <c r="AN369" i="1"/>
  <c r="AM369" i="1"/>
  <c r="AL369" i="1"/>
  <c r="AK369" i="1"/>
  <c r="AJ369" i="1"/>
  <c r="AI369" i="1"/>
  <c r="AH369" i="1"/>
  <c r="AC369" i="1"/>
  <c r="AB369" i="1"/>
  <c r="AA369" i="1"/>
  <c r="Z369" i="1"/>
  <c r="W369" i="1"/>
  <c r="X369" i="1" s="1"/>
  <c r="Y369" i="1" s="1"/>
  <c r="V369" i="1"/>
  <c r="AQ368" i="1"/>
  <c r="AP368" i="1"/>
  <c r="AO368" i="1"/>
  <c r="AN368" i="1"/>
  <c r="AM368" i="1"/>
  <c r="AL368" i="1"/>
  <c r="AK368" i="1"/>
  <c r="AJ368" i="1"/>
  <c r="AI368" i="1"/>
  <c r="AH368" i="1"/>
  <c r="AC368" i="1"/>
  <c r="AB368" i="1"/>
  <c r="AA368" i="1"/>
  <c r="Z368" i="1"/>
  <c r="W368" i="1"/>
  <c r="X368" i="1" s="1"/>
  <c r="Y368" i="1" s="1"/>
  <c r="V368" i="1"/>
  <c r="AQ367" i="1"/>
  <c r="AP367" i="1"/>
  <c r="AO367" i="1"/>
  <c r="AN367" i="1"/>
  <c r="AM367" i="1"/>
  <c r="AL367" i="1"/>
  <c r="AK367" i="1"/>
  <c r="AJ367" i="1"/>
  <c r="AI367" i="1"/>
  <c r="AH367" i="1"/>
  <c r="AC367" i="1"/>
  <c r="AB367" i="1"/>
  <c r="AA367" i="1"/>
  <c r="Z367" i="1"/>
  <c r="W367" i="1"/>
  <c r="X367" i="1" s="1"/>
  <c r="Y367" i="1" s="1"/>
  <c r="V367" i="1"/>
  <c r="AQ366" i="1"/>
  <c r="AP366" i="1"/>
  <c r="AO366" i="1"/>
  <c r="AN366" i="1"/>
  <c r="AM366" i="1"/>
  <c r="AL366" i="1"/>
  <c r="AK366" i="1"/>
  <c r="AJ366" i="1"/>
  <c r="AI366" i="1"/>
  <c r="AH366" i="1"/>
  <c r="AC366" i="1"/>
  <c r="AB366" i="1"/>
  <c r="AA366" i="1"/>
  <c r="Z366" i="1"/>
  <c r="W366" i="1"/>
  <c r="X366" i="1" s="1"/>
  <c r="Y366" i="1" s="1"/>
  <c r="V366" i="1"/>
  <c r="AQ365" i="1"/>
  <c r="AP365" i="1"/>
  <c r="AO365" i="1"/>
  <c r="AN365" i="1"/>
  <c r="AM365" i="1"/>
  <c r="AL365" i="1"/>
  <c r="AK365" i="1"/>
  <c r="AJ365" i="1"/>
  <c r="AI365" i="1"/>
  <c r="AH365" i="1"/>
  <c r="AC365" i="1"/>
  <c r="AB365" i="1"/>
  <c r="AA365" i="1"/>
  <c r="Z365" i="1"/>
  <c r="W365" i="1"/>
  <c r="X365" i="1" s="1"/>
  <c r="Y365" i="1" s="1"/>
  <c r="V365" i="1"/>
  <c r="AQ364" i="1"/>
  <c r="AP364" i="1"/>
  <c r="AO364" i="1"/>
  <c r="AN364" i="1"/>
  <c r="AM364" i="1"/>
  <c r="AL364" i="1"/>
  <c r="AK364" i="1"/>
  <c r="AJ364" i="1"/>
  <c r="AI364" i="1"/>
  <c r="AH364" i="1"/>
  <c r="AC364" i="1"/>
  <c r="AB364" i="1"/>
  <c r="AA364" i="1"/>
  <c r="Z364" i="1"/>
  <c r="W364" i="1"/>
  <c r="X364" i="1" s="1"/>
  <c r="Y364" i="1" s="1"/>
  <c r="V364" i="1"/>
  <c r="AQ363" i="1"/>
  <c r="AP363" i="1"/>
  <c r="AO363" i="1"/>
  <c r="AN363" i="1"/>
  <c r="AM363" i="1"/>
  <c r="AL363" i="1"/>
  <c r="AK363" i="1"/>
  <c r="AJ363" i="1"/>
  <c r="AI363" i="1"/>
  <c r="AH363" i="1"/>
  <c r="AC363" i="1"/>
  <c r="AB363" i="1"/>
  <c r="AA363" i="1"/>
  <c r="Z363" i="1"/>
  <c r="W363" i="1"/>
  <c r="X363" i="1" s="1"/>
  <c r="Y363" i="1" s="1"/>
  <c r="V363" i="1"/>
  <c r="AQ362" i="1"/>
  <c r="AP362" i="1"/>
  <c r="AO362" i="1"/>
  <c r="AN362" i="1"/>
  <c r="AM362" i="1"/>
  <c r="AL362" i="1"/>
  <c r="AK362" i="1"/>
  <c r="AJ362" i="1"/>
  <c r="AI362" i="1"/>
  <c r="AH362" i="1"/>
  <c r="AC362" i="1"/>
  <c r="AB362" i="1"/>
  <c r="AA362" i="1"/>
  <c r="Z362" i="1"/>
  <c r="W362" i="1"/>
  <c r="X362" i="1" s="1"/>
  <c r="Y362" i="1" s="1"/>
  <c r="V362" i="1"/>
  <c r="AQ361" i="1"/>
  <c r="AP361" i="1"/>
  <c r="AO361" i="1"/>
  <c r="AN361" i="1"/>
  <c r="AM361" i="1"/>
  <c r="AL361" i="1"/>
  <c r="AK361" i="1"/>
  <c r="AJ361" i="1"/>
  <c r="AI361" i="1"/>
  <c r="AH361" i="1"/>
  <c r="AC361" i="1"/>
  <c r="AB361" i="1"/>
  <c r="AA361" i="1"/>
  <c r="Z361" i="1"/>
  <c r="W361" i="1"/>
  <c r="X361" i="1" s="1"/>
  <c r="Y361" i="1" s="1"/>
  <c r="V361" i="1"/>
  <c r="AQ360" i="1"/>
  <c r="AP360" i="1"/>
  <c r="AO360" i="1"/>
  <c r="AN360" i="1"/>
  <c r="AM360" i="1"/>
  <c r="AL360" i="1"/>
  <c r="AK360" i="1"/>
  <c r="AJ360" i="1"/>
  <c r="AI360" i="1"/>
  <c r="AH360" i="1"/>
  <c r="AC360" i="1"/>
  <c r="AB360" i="1"/>
  <c r="AA360" i="1"/>
  <c r="Z360" i="1"/>
  <c r="W360" i="1"/>
  <c r="X360" i="1" s="1"/>
  <c r="Y360" i="1" s="1"/>
  <c r="V360" i="1"/>
  <c r="AQ359" i="1"/>
  <c r="AP359" i="1"/>
  <c r="AO359" i="1"/>
  <c r="AN359" i="1"/>
  <c r="AM359" i="1"/>
  <c r="AL359" i="1"/>
  <c r="AK359" i="1"/>
  <c r="AJ359" i="1"/>
  <c r="AI359" i="1"/>
  <c r="AH359" i="1"/>
  <c r="AC359" i="1"/>
  <c r="AB359" i="1"/>
  <c r="AA359" i="1"/>
  <c r="Z359" i="1"/>
  <c r="W359" i="1"/>
  <c r="X359" i="1" s="1"/>
  <c r="Y359" i="1" s="1"/>
  <c r="V359" i="1"/>
  <c r="AQ358" i="1"/>
  <c r="AP358" i="1"/>
  <c r="AO358" i="1"/>
  <c r="AN358" i="1"/>
  <c r="AM358" i="1"/>
  <c r="AL358" i="1"/>
  <c r="AK358" i="1"/>
  <c r="AJ358" i="1"/>
  <c r="AI358" i="1"/>
  <c r="AH358" i="1"/>
  <c r="AC358" i="1"/>
  <c r="AB358" i="1"/>
  <c r="AA358" i="1"/>
  <c r="Z358" i="1"/>
  <c r="W358" i="1"/>
  <c r="X358" i="1" s="1"/>
  <c r="Y358" i="1" s="1"/>
  <c r="V358" i="1"/>
  <c r="AQ357" i="1"/>
  <c r="AP357" i="1"/>
  <c r="AO357" i="1"/>
  <c r="AN357" i="1"/>
  <c r="AM357" i="1"/>
  <c r="AL357" i="1"/>
  <c r="AK357" i="1"/>
  <c r="AJ357" i="1"/>
  <c r="AI357" i="1"/>
  <c r="AH357" i="1"/>
  <c r="AC357" i="1"/>
  <c r="AB357" i="1"/>
  <c r="AA357" i="1"/>
  <c r="Z357" i="1"/>
  <c r="W357" i="1"/>
  <c r="X357" i="1" s="1"/>
  <c r="Y357" i="1" s="1"/>
  <c r="V357" i="1"/>
  <c r="AQ356" i="1"/>
  <c r="AP356" i="1"/>
  <c r="AO356" i="1"/>
  <c r="AN356" i="1"/>
  <c r="AM356" i="1"/>
  <c r="AL356" i="1"/>
  <c r="AK356" i="1"/>
  <c r="AJ356" i="1"/>
  <c r="AI356" i="1"/>
  <c r="AH356" i="1"/>
  <c r="AC356" i="1"/>
  <c r="AB356" i="1"/>
  <c r="AA356" i="1"/>
  <c r="Z356" i="1"/>
  <c r="W356" i="1"/>
  <c r="X356" i="1" s="1"/>
  <c r="Y356" i="1" s="1"/>
  <c r="V356" i="1"/>
  <c r="AQ355" i="1"/>
  <c r="AP355" i="1"/>
  <c r="AO355" i="1"/>
  <c r="AN355" i="1"/>
  <c r="AM355" i="1"/>
  <c r="AL355" i="1"/>
  <c r="AK355" i="1"/>
  <c r="AJ355" i="1"/>
  <c r="AI355" i="1"/>
  <c r="AH355" i="1"/>
  <c r="AC355" i="1"/>
  <c r="AB355" i="1"/>
  <c r="AA355" i="1"/>
  <c r="Z355" i="1"/>
  <c r="W355" i="1"/>
  <c r="X355" i="1" s="1"/>
  <c r="Y355" i="1" s="1"/>
  <c r="V355" i="1"/>
  <c r="AQ354" i="1"/>
  <c r="AP354" i="1"/>
  <c r="AO354" i="1"/>
  <c r="AN354" i="1"/>
  <c r="AM354" i="1"/>
  <c r="AL354" i="1"/>
  <c r="AK354" i="1"/>
  <c r="AJ354" i="1"/>
  <c r="AI354" i="1"/>
  <c r="AH354" i="1"/>
  <c r="AC354" i="1"/>
  <c r="AB354" i="1"/>
  <c r="AA354" i="1"/>
  <c r="Z354" i="1"/>
  <c r="W354" i="1"/>
  <c r="X354" i="1" s="1"/>
  <c r="Y354" i="1" s="1"/>
  <c r="V354" i="1"/>
  <c r="AQ353" i="1"/>
  <c r="AP353" i="1"/>
  <c r="AO353" i="1"/>
  <c r="AN353" i="1"/>
  <c r="AM353" i="1"/>
  <c r="AL353" i="1"/>
  <c r="AK353" i="1"/>
  <c r="AJ353" i="1"/>
  <c r="AI353" i="1"/>
  <c r="AH353" i="1"/>
  <c r="AC353" i="1"/>
  <c r="AB353" i="1"/>
  <c r="AA353" i="1"/>
  <c r="Z353" i="1"/>
  <c r="W353" i="1"/>
  <c r="X353" i="1" s="1"/>
  <c r="Y353" i="1" s="1"/>
  <c r="V353" i="1"/>
  <c r="AQ352" i="1"/>
  <c r="AP352" i="1"/>
  <c r="AO352" i="1"/>
  <c r="AN352" i="1"/>
  <c r="AM352" i="1"/>
  <c r="AL352" i="1"/>
  <c r="AK352" i="1"/>
  <c r="AJ352" i="1"/>
  <c r="AI352" i="1"/>
  <c r="AH352" i="1"/>
  <c r="AC352" i="1"/>
  <c r="AB352" i="1"/>
  <c r="AA352" i="1"/>
  <c r="Z352" i="1"/>
  <c r="W352" i="1"/>
  <c r="X352" i="1" s="1"/>
  <c r="Y352" i="1" s="1"/>
  <c r="V352" i="1"/>
  <c r="AQ351" i="1"/>
  <c r="AP351" i="1"/>
  <c r="AO351" i="1"/>
  <c r="AN351" i="1"/>
  <c r="AM351" i="1"/>
  <c r="AL351" i="1"/>
  <c r="AK351" i="1"/>
  <c r="AJ351" i="1"/>
  <c r="AI351" i="1"/>
  <c r="AH351" i="1"/>
  <c r="AC351" i="1"/>
  <c r="AB351" i="1"/>
  <c r="AA351" i="1"/>
  <c r="Z351" i="1"/>
  <c r="W351" i="1"/>
  <c r="X351" i="1" s="1"/>
  <c r="Y351" i="1" s="1"/>
  <c r="V351" i="1"/>
  <c r="AQ350" i="1"/>
  <c r="AP350" i="1"/>
  <c r="AO350" i="1"/>
  <c r="AN350" i="1"/>
  <c r="AM350" i="1"/>
  <c r="AL350" i="1"/>
  <c r="AK350" i="1"/>
  <c r="AJ350" i="1"/>
  <c r="AI350" i="1"/>
  <c r="AH350" i="1"/>
  <c r="AC350" i="1"/>
  <c r="AB350" i="1"/>
  <c r="AA350" i="1"/>
  <c r="Z350" i="1"/>
  <c r="W350" i="1"/>
  <c r="X350" i="1" s="1"/>
  <c r="Y350" i="1" s="1"/>
  <c r="V350" i="1"/>
  <c r="AQ349" i="1"/>
  <c r="AP349" i="1"/>
  <c r="AO349" i="1"/>
  <c r="AN349" i="1"/>
  <c r="AM349" i="1"/>
  <c r="AL349" i="1"/>
  <c r="AK349" i="1"/>
  <c r="AJ349" i="1"/>
  <c r="AI349" i="1"/>
  <c r="AH349" i="1"/>
  <c r="AC349" i="1"/>
  <c r="AB349" i="1"/>
  <c r="AA349" i="1"/>
  <c r="Z349" i="1"/>
  <c r="W349" i="1"/>
  <c r="X349" i="1" s="1"/>
  <c r="Y349" i="1" s="1"/>
  <c r="V349" i="1"/>
  <c r="AQ348" i="1"/>
  <c r="AP348" i="1"/>
  <c r="AO348" i="1"/>
  <c r="AN348" i="1"/>
  <c r="AM348" i="1"/>
  <c r="AL348" i="1"/>
  <c r="AK348" i="1"/>
  <c r="AJ348" i="1"/>
  <c r="AI348" i="1"/>
  <c r="AH348" i="1"/>
  <c r="AC348" i="1"/>
  <c r="AB348" i="1"/>
  <c r="AA348" i="1"/>
  <c r="Z348" i="1"/>
  <c r="W348" i="1"/>
  <c r="X348" i="1" s="1"/>
  <c r="Y348" i="1" s="1"/>
  <c r="V348" i="1"/>
  <c r="AQ347" i="1"/>
  <c r="AP347" i="1"/>
  <c r="AO347" i="1"/>
  <c r="AN347" i="1"/>
  <c r="AM347" i="1"/>
  <c r="AL347" i="1"/>
  <c r="AK347" i="1"/>
  <c r="AJ347" i="1"/>
  <c r="AI347" i="1"/>
  <c r="AH347" i="1"/>
  <c r="AC347" i="1"/>
  <c r="AB347" i="1"/>
  <c r="AA347" i="1"/>
  <c r="Z347" i="1"/>
  <c r="W347" i="1"/>
  <c r="X347" i="1" s="1"/>
  <c r="Y347" i="1" s="1"/>
  <c r="V347" i="1"/>
  <c r="AQ346" i="1"/>
  <c r="AP346" i="1"/>
  <c r="AO346" i="1"/>
  <c r="AN346" i="1"/>
  <c r="AM346" i="1"/>
  <c r="AL346" i="1"/>
  <c r="AK346" i="1"/>
  <c r="AJ346" i="1"/>
  <c r="AI346" i="1"/>
  <c r="AH346" i="1"/>
  <c r="AC346" i="1"/>
  <c r="AB346" i="1"/>
  <c r="AA346" i="1"/>
  <c r="Z346" i="1"/>
  <c r="W346" i="1"/>
  <c r="X346" i="1" s="1"/>
  <c r="Y346" i="1" s="1"/>
  <c r="V346" i="1"/>
  <c r="AQ345" i="1"/>
  <c r="AP345" i="1"/>
  <c r="AO345" i="1"/>
  <c r="AN345" i="1"/>
  <c r="AM345" i="1"/>
  <c r="AL345" i="1"/>
  <c r="AK345" i="1"/>
  <c r="AJ345" i="1"/>
  <c r="AI345" i="1"/>
  <c r="AH345" i="1"/>
  <c r="AC345" i="1"/>
  <c r="AB345" i="1"/>
  <c r="AA345" i="1"/>
  <c r="Z345" i="1"/>
  <c r="W345" i="1"/>
  <c r="X345" i="1" s="1"/>
  <c r="Y345" i="1" s="1"/>
  <c r="V345" i="1"/>
  <c r="AQ344" i="1"/>
  <c r="AP344" i="1"/>
  <c r="AO344" i="1"/>
  <c r="AN344" i="1"/>
  <c r="AM344" i="1"/>
  <c r="AL344" i="1"/>
  <c r="AK344" i="1"/>
  <c r="AJ344" i="1"/>
  <c r="AI344" i="1"/>
  <c r="AH344" i="1"/>
  <c r="AC344" i="1"/>
  <c r="AB344" i="1"/>
  <c r="AA344" i="1"/>
  <c r="Z344" i="1"/>
  <c r="W344" i="1"/>
  <c r="X344" i="1" s="1"/>
  <c r="Y344" i="1" s="1"/>
  <c r="V344" i="1"/>
  <c r="AQ343" i="1"/>
  <c r="AP343" i="1"/>
  <c r="AO343" i="1"/>
  <c r="AN343" i="1"/>
  <c r="AM343" i="1"/>
  <c r="AL343" i="1"/>
  <c r="AK343" i="1"/>
  <c r="AJ343" i="1"/>
  <c r="AI343" i="1"/>
  <c r="AH343" i="1"/>
  <c r="AC343" i="1"/>
  <c r="AB343" i="1"/>
  <c r="AA343" i="1"/>
  <c r="Z343" i="1"/>
  <c r="W343" i="1"/>
  <c r="X343" i="1" s="1"/>
  <c r="Y343" i="1" s="1"/>
  <c r="V343" i="1"/>
  <c r="AQ342" i="1"/>
  <c r="AP342" i="1"/>
  <c r="AO342" i="1"/>
  <c r="AN342" i="1"/>
  <c r="AM342" i="1"/>
  <c r="AL342" i="1"/>
  <c r="AK342" i="1"/>
  <c r="AJ342" i="1"/>
  <c r="AI342" i="1"/>
  <c r="AH342" i="1"/>
  <c r="AC342" i="1"/>
  <c r="AB342" i="1"/>
  <c r="AA342" i="1"/>
  <c r="Z342" i="1"/>
  <c r="W342" i="1"/>
  <c r="X342" i="1" s="1"/>
  <c r="Y342" i="1" s="1"/>
  <c r="V342" i="1"/>
  <c r="AQ341" i="1"/>
  <c r="AP341" i="1"/>
  <c r="AO341" i="1"/>
  <c r="AN341" i="1"/>
  <c r="AM341" i="1"/>
  <c r="AL341" i="1"/>
  <c r="AK341" i="1"/>
  <c r="AJ341" i="1"/>
  <c r="AI341" i="1"/>
  <c r="AH341" i="1"/>
  <c r="AC341" i="1"/>
  <c r="AB341" i="1"/>
  <c r="AA341" i="1"/>
  <c r="Z341" i="1"/>
  <c r="W341" i="1"/>
  <c r="X341" i="1" s="1"/>
  <c r="Y341" i="1" s="1"/>
  <c r="V341" i="1"/>
  <c r="AQ340" i="1"/>
  <c r="AP340" i="1"/>
  <c r="AO340" i="1"/>
  <c r="AN340" i="1"/>
  <c r="AM340" i="1"/>
  <c r="AL340" i="1"/>
  <c r="AK340" i="1"/>
  <c r="AJ340" i="1"/>
  <c r="AI340" i="1"/>
  <c r="AH340" i="1"/>
  <c r="AC340" i="1"/>
  <c r="AB340" i="1"/>
  <c r="AA340" i="1"/>
  <c r="Z340" i="1"/>
  <c r="W340" i="1"/>
  <c r="X340" i="1" s="1"/>
  <c r="Y340" i="1" s="1"/>
  <c r="V340" i="1"/>
  <c r="AQ339" i="1"/>
  <c r="AP339" i="1"/>
  <c r="AO339" i="1"/>
  <c r="AN339" i="1"/>
  <c r="AM339" i="1"/>
  <c r="AL339" i="1"/>
  <c r="AK339" i="1"/>
  <c r="AJ339" i="1"/>
  <c r="AI339" i="1"/>
  <c r="AH339" i="1"/>
  <c r="AC339" i="1"/>
  <c r="AB339" i="1"/>
  <c r="AA339" i="1"/>
  <c r="Z339" i="1"/>
  <c r="W339" i="1"/>
  <c r="X339" i="1" s="1"/>
  <c r="Y339" i="1" s="1"/>
  <c r="V339" i="1"/>
  <c r="AQ338" i="1"/>
  <c r="AP338" i="1"/>
  <c r="AO338" i="1"/>
  <c r="AN338" i="1"/>
  <c r="AM338" i="1"/>
  <c r="AL338" i="1"/>
  <c r="AK338" i="1"/>
  <c r="AJ338" i="1"/>
  <c r="AI338" i="1"/>
  <c r="AH338" i="1"/>
  <c r="AC338" i="1"/>
  <c r="AB338" i="1"/>
  <c r="AA338" i="1"/>
  <c r="Z338" i="1"/>
  <c r="W338" i="1"/>
  <c r="X338" i="1" s="1"/>
  <c r="Y338" i="1" s="1"/>
  <c r="V338" i="1"/>
  <c r="AQ337" i="1"/>
  <c r="AP337" i="1"/>
  <c r="AO337" i="1"/>
  <c r="AN337" i="1"/>
  <c r="AM337" i="1"/>
  <c r="AL337" i="1"/>
  <c r="AK337" i="1"/>
  <c r="AJ337" i="1"/>
  <c r="AI337" i="1"/>
  <c r="AH337" i="1"/>
  <c r="AC337" i="1"/>
  <c r="AB337" i="1"/>
  <c r="AA337" i="1"/>
  <c r="Z337" i="1"/>
  <c r="W337" i="1"/>
  <c r="X337" i="1" s="1"/>
  <c r="Y337" i="1" s="1"/>
  <c r="V337" i="1"/>
  <c r="AQ336" i="1"/>
  <c r="AP336" i="1"/>
  <c r="AO336" i="1"/>
  <c r="AN336" i="1"/>
  <c r="AM336" i="1"/>
  <c r="AL336" i="1"/>
  <c r="AK336" i="1"/>
  <c r="AJ336" i="1"/>
  <c r="AI336" i="1"/>
  <c r="AH336" i="1"/>
  <c r="AC336" i="1"/>
  <c r="AB336" i="1"/>
  <c r="AA336" i="1"/>
  <c r="Z336" i="1"/>
  <c r="W336" i="1"/>
  <c r="X336" i="1" s="1"/>
  <c r="Y336" i="1" s="1"/>
  <c r="V336" i="1"/>
  <c r="AQ335" i="1"/>
  <c r="AP335" i="1"/>
  <c r="AO335" i="1"/>
  <c r="AN335" i="1"/>
  <c r="AM335" i="1"/>
  <c r="AL335" i="1"/>
  <c r="AK335" i="1"/>
  <c r="AI335" i="1"/>
  <c r="AH335" i="1"/>
  <c r="AC335" i="1"/>
  <c r="AB335" i="1"/>
  <c r="AA335" i="1"/>
  <c r="Z335" i="1"/>
  <c r="W335" i="1"/>
  <c r="X335" i="1" s="1"/>
  <c r="Y335" i="1" s="1"/>
  <c r="V335" i="1"/>
  <c r="AQ334" i="1"/>
  <c r="AP334" i="1"/>
  <c r="AO334" i="1"/>
  <c r="AN334" i="1"/>
  <c r="AM334" i="1"/>
  <c r="AL334" i="1"/>
  <c r="AK334" i="1"/>
  <c r="AJ334" i="1"/>
  <c r="AI334" i="1"/>
  <c r="AH334" i="1"/>
  <c r="AC334" i="1"/>
  <c r="AB334" i="1"/>
  <c r="AA334" i="1"/>
  <c r="Z334" i="1"/>
  <c r="W334" i="1"/>
  <c r="X334" i="1" s="1"/>
  <c r="Y334" i="1" s="1"/>
  <c r="V334" i="1"/>
  <c r="AQ333" i="1"/>
  <c r="AP333" i="1"/>
  <c r="AO333" i="1"/>
  <c r="AN333" i="1"/>
  <c r="AM333" i="1"/>
  <c r="AL333" i="1"/>
  <c r="AK333" i="1"/>
  <c r="AJ333" i="1"/>
  <c r="AI333" i="1"/>
  <c r="AH333" i="1"/>
  <c r="AC333" i="1"/>
  <c r="AB333" i="1"/>
  <c r="AA333" i="1"/>
  <c r="Z333" i="1"/>
  <c r="W333" i="1"/>
  <c r="X333" i="1" s="1"/>
  <c r="Y333" i="1" s="1"/>
  <c r="V333" i="1"/>
  <c r="AQ332" i="1"/>
  <c r="AP332" i="1"/>
  <c r="AO332" i="1"/>
  <c r="AN332" i="1"/>
  <c r="AM332" i="1"/>
  <c r="AL332" i="1"/>
  <c r="AK332" i="1"/>
  <c r="AJ332" i="1"/>
  <c r="AI332" i="1"/>
  <c r="AH332" i="1"/>
  <c r="AC332" i="1"/>
  <c r="AB332" i="1"/>
  <c r="AA332" i="1"/>
  <c r="Z332" i="1"/>
  <c r="W332" i="1"/>
  <c r="X332" i="1" s="1"/>
  <c r="Y332" i="1" s="1"/>
  <c r="V332" i="1"/>
  <c r="AQ331" i="1"/>
  <c r="AP331" i="1"/>
  <c r="AO331" i="1"/>
  <c r="AN331" i="1"/>
  <c r="AM331" i="1"/>
  <c r="AL331" i="1"/>
  <c r="AK331" i="1"/>
  <c r="AJ331" i="1"/>
  <c r="AI331" i="1"/>
  <c r="AH331" i="1"/>
  <c r="AC331" i="1"/>
  <c r="AB331" i="1"/>
  <c r="AA331" i="1"/>
  <c r="Z331" i="1"/>
  <c r="W331" i="1"/>
  <c r="X331" i="1" s="1"/>
  <c r="Y331" i="1" s="1"/>
  <c r="V331" i="1"/>
  <c r="AQ330" i="1"/>
  <c r="AP330" i="1"/>
  <c r="AO330" i="1"/>
  <c r="AN330" i="1"/>
  <c r="AM330" i="1"/>
  <c r="AL330" i="1"/>
  <c r="AK330" i="1"/>
  <c r="AJ330" i="1"/>
  <c r="AI330" i="1"/>
  <c r="AH330" i="1"/>
  <c r="AC330" i="1"/>
  <c r="AB330" i="1"/>
  <c r="AA330" i="1"/>
  <c r="Z330" i="1"/>
  <c r="W330" i="1"/>
  <c r="X330" i="1" s="1"/>
  <c r="Y330" i="1" s="1"/>
  <c r="V330" i="1"/>
  <c r="AQ329" i="1"/>
  <c r="AP329" i="1"/>
  <c r="AO329" i="1"/>
  <c r="AN329" i="1"/>
  <c r="AM329" i="1"/>
  <c r="AL329" i="1"/>
  <c r="AK329" i="1"/>
  <c r="AJ329" i="1"/>
  <c r="AI329" i="1"/>
  <c r="AH329" i="1"/>
  <c r="AC329" i="1"/>
  <c r="AB329" i="1"/>
  <c r="AA329" i="1"/>
  <c r="Z329" i="1"/>
  <c r="W329" i="1"/>
  <c r="X329" i="1" s="1"/>
  <c r="Y329" i="1" s="1"/>
  <c r="V329" i="1"/>
  <c r="AQ328" i="1"/>
  <c r="AP328" i="1"/>
  <c r="AO328" i="1"/>
  <c r="AN328" i="1"/>
  <c r="AM328" i="1"/>
  <c r="AL328" i="1"/>
  <c r="AK328" i="1"/>
  <c r="AJ328" i="1"/>
  <c r="AI328" i="1"/>
  <c r="AH328" i="1"/>
  <c r="AC328" i="1"/>
  <c r="AB328" i="1"/>
  <c r="AA328" i="1"/>
  <c r="Z328" i="1"/>
  <c r="W328" i="1"/>
  <c r="X328" i="1" s="1"/>
  <c r="Y328" i="1" s="1"/>
  <c r="V328" i="1"/>
  <c r="AQ327" i="1"/>
  <c r="AP327" i="1"/>
  <c r="AO327" i="1"/>
  <c r="AN327" i="1"/>
  <c r="AM327" i="1"/>
  <c r="AL327" i="1"/>
  <c r="AK327" i="1"/>
  <c r="AJ327" i="1"/>
  <c r="AI327" i="1"/>
  <c r="AH327" i="1"/>
  <c r="AC327" i="1"/>
  <c r="AB327" i="1"/>
  <c r="AA327" i="1"/>
  <c r="Z327" i="1"/>
  <c r="W327" i="1"/>
  <c r="X327" i="1" s="1"/>
  <c r="Y327" i="1" s="1"/>
  <c r="V327" i="1"/>
  <c r="AQ326" i="1"/>
  <c r="AP326" i="1"/>
  <c r="AO326" i="1"/>
  <c r="AN326" i="1"/>
  <c r="AM326" i="1"/>
  <c r="AL326" i="1"/>
  <c r="AK326" i="1"/>
  <c r="AJ326" i="1"/>
  <c r="AI326" i="1"/>
  <c r="AH326" i="1"/>
  <c r="AC326" i="1"/>
  <c r="AB326" i="1"/>
  <c r="AA326" i="1"/>
  <c r="Z326" i="1"/>
  <c r="W326" i="1"/>
  <c r="X326" i="1" s="1"/>
  <c r="Y326" i="1" s="1"/>
  <c r="V326" i="1"/>
  <c r="AQ325" i="1"/>
  <c r="AP325" i="1"/>
  <c r="AO325" i="1"/>
  <c r="AN325" i="1"/>
  <c r="AM325" i="1"/>
  <c r="AL325" i="1"/>
  <c r="AK325" i="1"/>
  <c r="AJ325" i="1"/>
  <c r="AI325" i="1"/>
  <c r="AH325" i="1"/>
  <c r="AC325" i="1"/>
  <c r="AB325" i="1"/>
  <c r="AA325" i="1"/>
  <c r="Z325" i="1"/>
  <c r="W325" i="1"/>
  <c r="X325" i="1" s="1"/>
  <c r="Y325" i="1" s="1"/>
  <c r="V325" i="1"/>
  <c r="AQ324" i="1"/>
  <c r="AP324" i="1"/>
  <c r="AO324" i="1"/>
  <c r="AN324" i="1"/>
  <c r="AM324" i="1"/>
  <c r="AL324" i="1"/>
  <c r="AK324" i="1"/>
  <c r="AJ324" i="1"/>
  <c r="AI324" i="1"/>
  <c r="AH324" i="1"/>
  <c r="AC324" i="1"/>
  <c r="AB324" i="1"/>
  <c r="AA324" i="1"/>
  <c r="Z324" i="1"/>
  <c r="W324" i="1"/>
  <c r="X324" i="1" s="1"/>
  <c r="Y324" i="1" s="1"/>
  <c r="V324" i="1"/>
  <c r="AQ323" i="1"/>
  <c r="AP323" i="1"/>
  <c r="AO323" i="1"/>
  <c r="AN323" i="1"/>
  <c r="AM323" i="1"/>
  <c r="AL323" i="1"/>
  <c r="AK323" i="1"/>
  <c r="AJ323" i="1"/>
  <c r="AI323" i="1"/>
  <c r="AH323" i="1"/>
  <c r="AC323" i="1"/>
  <c r="AB323" i="1"/>
  <c r="AA323" i="1"/>
  <c r="Z323" i="1"/>
  <c r="W323" i="1"/>
  <c r="X323" i="1" s="1"/>
  <c r="Y323" i="1" s="1"/>
  <c r="V323" i="1"/>
  <c r="AQ322" i="1"/>
  <c r="AP322" i="1"/>
  <c r="AO322" i="1"/>
  <c r="AN322" i="1"/>
  <c r="AM322" i="1"/>
  <c r="AL322" i="1"/>
  <c r="AK322" i="1"/>
  <c r="AJ322" i="1"/>
  <c r="AI322" i="1"/>
  <c r="AH322" i="1"/>
  <c r="AC322" i="1"/>
  <c r="AB322" i="1"/>
  <c r="AA322" i="1"/>
  <c r="Z322" i="1"/>
  <c r="W322" i="1"/>
  <c r="X322" i="1" s="1"/>
  <c r="Y322" i="1" s="1"/>
  <c r="V322" i="1"/>
  <c r="AQ321" i="1"/>
  <c r="AP321" i="1"/>
  <c r="AO321" i="1"/>
  <c r="AN321" i="1"/>
  <c r="AM321" i="1"/>
  <c r="AL321" i="1"/>
  <c r="AK321" i="1"/>
  <c r="AJ321" i="1"/>
  <c r="AI321" i="1"/>
  <c r="AH321" i="1"/>
  <c r="AC321" i="1"/>
  <c r="AB321" i="1"/>
  <c r="AA321" i="1"/>
  <c r="Z321" i="1"/>
  <c r="W321" i="1"/>
  <c r="X321" i="1" s="1"/>
  <c r="Y321" i="1" s="1"/>
  <c r="V321" i="1"/>
  <c r="AQ320" i="1"/>
  <c r="AP320" i="1"/>
  <c r="AO320" i="1"/>
  <c r="AN320" i="1"/>
  <c r="AM320" i="1"/>
  <c r="AL320" i="1"/>
  <c r="AK320" i="1"/>
  <c r="AJ320" i="1"/>
  <c r="AI320" i="1"/>
  <c r="AH320" i="1"/>
  <c r="AC320" i="1"/>
  <c r="AB320" i="1"/>
  <c r="AA320" i="1"/>
  <c r="Z320" i="1"/>
  <c r="W320" i="1"/>
  <c r="X320" i="1" s="1"/>
  <c r="Y320" i="1" s="1"/>
  <c r="V320" i="1"/>
  <c r="AQ319" i="1"/>
  <c r="AP319" i="1"/>
  <c r="AO319" i="1"/>
  <c r="AN319" i="1"/>
  <c r="AM319" i="1"/>
  <c r="AL319" i="1"/>
  <c r="AK319" i="1"/>
  <c r="AJ319" i="1"/>
  <c r="AI319" i="1"/>
  <c r="AH319" i="1"/>
  <c r="AC319" i="1"/>
  <c r="AB319" i="1"/>
  <c r="AA319" i="1"/>
  <c r="Z319" i="1"/>
  <c r="W319" i="1"/>
  <c r="X319" i="1" s="1"/>
  <c r="Y319" i="1" s="1"/>
  <c r="V319" i="1"/>
  <c r="AQ318" i="1"/>
  <c r="AP318" i="1"/>
  <c r="AO318" i="1"/>
  <c r="AN318" i="1"/>
  <c r="AM318" i="1"/>
  <c r="AL318" i="1"/>
  <c r="AK318" i="1"/>
  <c r="AJ318" i="1"/>
  <c r="AI318" i="1"/>
  <c r="AH318" i="1"/>
  <c r="AC318" i="1"/>
  <c r="AB318" i="1"/>
  <c r="AA318" i="1"/>
  <c r="Z318" i="1"/>
  <c r="W318" i="1"/>
  <c r="X318" i="1" s="1"/>
  <c r="Y318" i="1" s="1"/>
  <c r="V318" i="1"/>
  <c r="AQ317" i="1"/>
  <c r="AP317" i="1"/>
  <c r="AO317" i="1"/>
  <c r="AN317" i="1"/>
  <c r="AM317" i="1"/>
  <c r="AL317" i="1"/>
  <c r="AK317" i="1"/>
  <c r="AJ317" i="1"/>
  <c r="AI317" i="1"/>
  <c r="AH317" i="1"/>
  <c r="AC317" i="1"/>
  <c r="AB317" i="1"/>
  <c r="AA317" i="1"/>
  <c r="Z317" i="1"/>
  <c r="W317" i="1"/>
  <c r="X317" i="1" s="1"/>
  <c r="Y317" i="1" s="1"/>
  <c r="V317" i="1"/>
  <c r="AQ316" i="1"/>
  <c r="AP316" i="1"/>
  <c r="AO316" i="1"/>
  <c r="AN316" i="1"/>
  <c r="AM316" i="1"/>
  <c r="AL316" i="1"/>
  <c r="AK316" i="1"/>
  <c r="AJ316" i="1"/>
  <c r="AI316" i="1"/>
  <c r="AH316" i="1"/>
  <c r="AC316" i="1"/>
  <c r="AB316" i="1"/>
  <c r="AA316" i="1"/>
  <c r="Z316" i="1"/>
  <c r="W316" i="1"/>
  <c r="X316" i="1" s="1"/>
  <c r="Y316" i="1" s="1"/>
  <c r="V316" i="1"/>
  <c r="AQ315" i="1"/>
  <c r="AP315" i="1"/>
  <c r="AO315" i="1"/>
  <c r="AN315" i="1"/>
  <c r="AM315" i="1"/>
  <c r="AL315" i="1"/>
  <c r="AK315" i="1"/>
  <c r="AJ315" i="1"/>
  <c r="AI315" i="1"/>
  <c r="AH315" i="1"/>
  <c r="AC315" i="1"/>
  <c r="AB315" i="1"/>
  <c r="AA315" i="1"/>
  <c r="Z315" i="1"/>
  <c r="W315" i="1"/>
  <c r="X315" i="1" s="1"/>
  <c r="Y315" i="1" s="1"/>
  <c r="V315" i="1"/>
  <c r="AQ314" i="1"/>
  <c r="AP314" i="1"/>
  <c r="AO314" i="1"/>
  <c r="AN314" i="1"/>
  <c r="AM314" i="1"/>
  <c r="AL314" i="1"/>
  <c r="AK314" i="1"/>
  <c r="AJ314" i="1"/>
  <c r="AI314" i="1"/>
  <c r="AH314" i="1"/>
  <c r="AC314" i="1"/>
  <c r="AB314" i="1"/>
  <c r="AA314" i="1"/>
  <c r="Z314" i="1"/>
  <c r="W314" i="1"/>
  <c r="X314" i="1" s="1"/>
  <c r="Y314" i="1" s="1"/>
  <c r="V314" i="1"/>
  <c r="AQ313" i="1"/>
  <c r="AP313" i="1"/>
  <c r="AO313" i="1"/>
  <c r="AN313" i="1"/>
  <c r="AM313" i="1"/>
  <c r="AL313" i="1"/>
  <c r="AK313" i="1"/>
  <c r="AJ313" i="1"/>
  <c r="AI313" i="1"/>
  <c r="AH313" i="1"/>
  <c r="AC313" i="1"/>
  <c r="AB313" i="1"/>
  <c r="AA313" i="1"/>
  <c r="Z313" i="1"/>
  <c r="W313" i="1"/>
  <c r="X313" i="1" s="1"/>
  <c r="Y313" i="1" s="1"/>
  <c r="V313" i="1"/>
  <c r="AQ312" i="1"/>
  <c r="AP312" i="1"/>
  <c r="AO312" i="1"/>
  <c r="AN312" i="1"/>
  <c r="AM312" i="1"/>
  <c r="AL312" i="1"/>
  <c r="AK312" i="1"/>
  <c r="AJ312" i="1"/>
  <c r="AI312" i="1"/>
  <c r="AH312" i="1"/>
  <c r="AC312" i="1"/>
  <c r="AB312" i="1"/>
  <c r="AA312" i="1"/>
  <c r="Z312" i="1"/>
  <c r="W312" i="1"/>
  <c r="X312" i="1" s="1"/>
  <c r="Y312" i="1" s="1"/>
  <c r="V312" i="1"/>
  <c r="AQ311" i="1"/>
  <c r="AP311" i="1"/>
  <c r="AO311" i="1"/>
  <c r="AN311" i="1"/>
  <c r="AM311" i="1"/>
  <c r="AL311" i="1"/>
  <c r="AK311" i="1"/>
  <c r="AJ311" i="1"/>
  <c r="AI311" i="1"/>
  <c r="AH311" i="1"/>
  <c r="AC311" i="1"/>
  <c r="AB311" i="1"/>
  <c r="AA311" i="1"/>
  <c r="Z311" i="1"/>
  <c r="W311" i="1"/>
  <c r="X311" i="1" s="1"/>
  <c r="Y311" i="1" s="1"/>
  <c r="V311" i="1"/>
  <c r="AQ310" i="1"/>
  <c r="AP310" i="1"/>
  <c r="AO310" i="1"/>
  <c r="AN310" i="1"/>
  <c r="AM310" i="1"/>
  <c r="AL310" i="1"/>
  <c r="AK310" i="1"/>
  <c r="AJ310" i="1"/>
  <c r="AI310" i="1"/>
  <c r="AH310" i="1"/>
  <c r="AC310" i="1"/>
  <c r="AB310" i="1"/>
  <c r="AA310" i="1"/>
  <c r="Z310" i="1"/>
  <c r="W310" i="1"/>
  <c r="X310" i="1" s="1"/>
  <c r="Y310" i="1" s="1"/>
  <c r="V310" i="1"/>
  <c r="AQ309" i="1"/>
  <c r="AP309" i="1"/>
  <c r="AO309" i="1"/>
  <c r="AN309" i="1"/>
  <c r="AM309" i="1"/>
  <c r="AL309" i="1"/>
  <c r="AK309" i="1"/>
  <c r="AJ309" i="1"/>
  <c r="AI309" i="1"/>
  <c r="AH309" i="1"/>
  <c r="AC309" i="1"/>
  <c r="AB309" i="1"/>
  <c r="AA309" i="1"/>
  <c r="Z309" i="1"/>
  <c r="W309" i="1"/>
  <c r="X309" i="1" s="1"/>
  <c r="Y309" i="1" s="1"/>
  <c r="V309" i="1"/>
  <c r="AQ308" i="1"/>
  <c r="AP308" i="1"/>
  <c r="AO308" i="1"/>
  <c r="AN308" i="1"/>
  <c r="AM308" i="1"/>
  <c r="AL308" i="1"/>
  <c r="AK308" i="1"/>
  <c r="AJ308" i="1"/>
  <c r="AI308" i="1"/>
  <c r="AH308" i="1"/>
  <c r="AC308" i="1"/>
  <c r="AB308" i="1"/>
  <c r="AA308" i="1"/>
  <c r="Z308" i="1"/>
  <c r="W308" i="1"/>
  <c r="X308" i="1" s="1"/>
  <c r="Y308" i="1" s="1"/>
  <c r="V308" i="1"/>
  <c r="AQ307" i="1"/>
  <c r="AP307" i="1"/>
  <c r="AO307" i="1"/>
  <c r="AN307" i="1"/>
  <c r="AM307" i="1"/>
  <c r="AL307" i="1"/>
  <c r="AK307" i="1"/>
  <c r="AJ307" i="1"/>
  <c r="AI307" i="1"/>
  <c r="AH307" i="1"/>
  <c r="AC307" i="1"/>
  <c r="AB307" i="1"/>
  <c r="AA307" i="1"/>
  <c r="Z307" i="1"/>
  <c r="W307" i="1"/>
  <c r="X307" i="1" s="1"/>
  <c r="Y307" i="1" s="1"/>
  <c r="V307" i="1"/>
  <c r="AQ306" i="1"/>
  <c r="AP306" i="1"/>
  <c r="AO306" i="1"/>
  <c r="AN306" i="1"/>
  <c r="AM306" i="1"/>
  <c r="AL306" i="1"/>
  <c r="AK306" i="1"/>
  <c r="AJ306" i="1"/>
  <c r="AI306" i="1"/>
  <c r="AH306" i="1"/>
  <c r="AC306" i="1"/>
  <c r="AB306" i="1"/>
  <c r="AA306" i="1"/>
  <c r="Z306" i="1"/>
  <c r="W306" i="1"/>
  <c r="X306" i="1" s="1"/>
  <c r="Y306" i="1" s="1"/>
  <c r="V306" i="1"/>
  <c r="AQ305" i="1"/>
  <c r="AP305" i="1"/>
  <c r="AO305" i="1"/>
  <c r="AN305" i="1"/>
  <c r="AM305" i="1"/>
  <c r="AL305" i="1"/>
  <c r="AK305" i="1"/>
  <c r="AJ305" i="1"/>
  <c r="AI305" i="1"/>
  <c r="AH305" i="1"/>
  <c r="AC305" i="1"/>
  <c r="AB305" i="1"/>
  <c r="AA305" i="1"/>
  <c r="Z305" i="1"/>
  <c r="W305" i="1"/>
  <c r="X305" i="1" s="1"/>
  <c r="Y305" i="1" s="1"/>
  <c r="V305" i="1"/>
  <c r="AQ304" i="1"/>
  <c r="AP304" i="1"/>
  <c r="AO304" i="1"/>
  <c r="AN304" i="1"/>
  <c r="AM304" i="1"/>
  <c r="AL304" i="1"/>
  <c r="AK304" i="1"/>
  <c r="AJ304" i="1"/>
  <c r="AI304" i="1"/>
  <c r="AH304" i="1"/>
  <c r="AC304" i="1"/>
  <c r="AB304" i="1"/>
  <c r="AA304" i="1"/>
  <c r="Z304" i="1"/>
  <c r="W304" i="1"/>
  <c r="X304" i="1" s="1"/>
  <c r="Y304" i="1" s="1"/>
  <c r="V304" i="1"/>
  <c r="AQ303" i="1"/>
  <c r="AP303" i="1"/>
  <c r="AO303" i="1"/>
  <c r="AN303" i="1"/>
  <c r="AM303" i="1"/>
  <c r="AL303" i="1"/>
  <c r="AK303" i="1"/>
  <c r="AJ303" i="1"/>
  <c r="AI303" i="1"/>
  <c r="AH303" i="1"/>
  <c r="AC303" i="1"/>
  <c r="AB303" i="1"/>
  <c r="AA303" i="1"/>
  <c r="Z303" i="1"/>
  <c r="W303" i="1"/>
  <c r="X303" i="1" s="1"/>
  <c r="Y303" i="1" s="1"/>
  <c r="V303" i="1"/>
  <c r="AQ302" i="1"/>
  <c r="AP302" i="1"/>
  <c r="AO302" i="1"/>
  <c r="AN302" i="1"/>
  <c r="AM302" i="1"/>
  <c r="AL302" i="1"/>
  <c r="AK302" i="1"/>
  <c r="AJ302" i="1"/>
  <c r="AI302" i="1"/>
  <c r="AH302" i="1"/>
  <c r="AC302" i="1"/>
  <c r="AB302" i="1"/>
  <c r="AA302" i="1"/>
  <c r="Z302" i="1"/>
  <c r="W302" i="1"/>
  <c r="X302" i="1" s="1"/>
  <c r="Y302" i="1" s="1"/>
  <c r="V302" i="1"/>
  <c r="AQ301" i="1"/>
  <c r="AP301" i="1"/>
  <c r="AO301" i="1"/>
  <c r="AN301" i="1"/>
  <c r="AM301" i="1"/>
  <c r="AL301" i="1"/>
  <c r="AK301" i="1"/>
  <c r="AJ301" i="1"/>
  <c r="AI301" i="1"/>
  <c r="AH301" i="1"/>
  <c r="AC301" i="1"/>
  <c r="AB301" i="1"/>
  <c r="AA301" i="1"/>
  <c r="Z301" i="1"/>
  <c r="W301" i="1"/>
  <c r="X301" i="1" s="1"/>
  <c r="Y301" i="1" s="1"/>
  <c r="V301" i="1"/>
  <c r="AQ300" i="1"/>
  <c r="AP300" i="1"/>
  <c r="AO300" i="1"/>
  <c r="AN300" i="1"/>
  <c r="AM300" i="1"/>
  <c r="AL300" i="1"/>
  <c r="AK300" i="1"/>
  <c r="AJ300" i="1"/>
  <c r="AI300" i="1"/>
  <c r="AH300" i="1"/>
  <c r="AC300" i="1"/>
  <c r="AB300" i="1"/>
  <c r="AA300" i="1"/>
  <c r="Z300" i="1"/>
  <c r="W300" i="1"/>
  <c r="X300" i="1" s="1"/>
  <c r="Y300" i="1" s="1"/>
  <c r="V300" i="1"/>
  <c r="AQ299" i="1"/>
  <c r="AP299" i="1"/>
  <c r="AO299" i="1"/>
  <c r="AN299" i="1"/>
  <c r="AM299" i="1"/>
  <c r="AL299" i="1"/>
  <c r="AK299" i="1"/>
  <c r="AJ299" i="1"/>
  <c r="AI299" i="1"/>
  <c r="AH299" i="1"/>
  <c r="AC299" i="1"/>
  <c r="AB299" i="1"/>
  <c r="AA299" i="1"/>
  <c r="Z299" i="1"/>
  <c r="W299" i="1"/>
  <c r="X299" i="1" s="1"/>
  <c r="Y299" i="1" s="1"/>
  <c r="V299" i="1"/>
  <c r="AQ298" i="1"/>
  <c r="AP298" i="1"/>
  <c r="AO298" i="1"/>
  <c r="AN298" i="1"/>
  <c r="AM298" i="1"/>
  <c r="AL298" i="1"/>
  <c r="AK298" i="1"/>
  <c r="AJ298" i="1"/>
  <c r="AI298" i="1"/>
  <c r="AH298" i="1"/>
  <c r="AC298" i="1"/>
  <c r="AB298" i="1"/>
  <c r="AA298" i="1"/>
  <c r="Z298" i="1"/>
  <c r="W298" i="1"/>
  <c r="X298" i="1" s="1"/>
  <c r="Y298" i="1" s="1"/>
  <c r="V298" i="1"/>
  <c r="AQ297" i="1"/>
  <c r="AP297" i="1"/>
  <c r="AO297" i="1"/>
  <c r="AN297" i="1"/>
  <c r="AM297" i="1"/>
  <c r="AL297" i="1"/>
  <c r="AK297" i="1"/>
  <c r="AJ297" i="1"/>
  <c r="AI297" i="1"/>
  <c r="AH297" i="1"/>
  <c r="AC297" i="1"/>
  <c r="AB297" i="1"/>
  <c r="AA297" i="1"/>
  <c r="Z297" i="1"/>
  <c r="W297" i="1"/>
  <c r="X297" i="1" s="1"/>
  <c r="Y297" i="1" s="1"/>
  <c r="V297" i="1"/>
  <c r="AQ296" i="1"/>
  <c r="AP296" i="1"/>
  <c r="AO296" i="1"/>
  <c r="AN296" i="1"/>
  <c r="AM296" i="1"/>
  <c r="AL296" i="1"/>
  <c r="AK296" i="1"/>
  <c r="AJ296" i="1"/>
  <c r="AI296" i="1"/>
  <c r="AH296" i="1"/>
  <c r="AC296" i="1"/>
  <c r="AB296" i="1"/>
  <c r="AA296" i="1"/>
  <c r="Z296" i="1"/>
  <c r="W296" i="1"/>
  <c r="X296" i="1" s="1"/>
  <c r="Y296" i="1" s="1"/>
  <c r="V296" i="1"/>
  <c r="AQ295" i="1"/>
  <c r="AP295" i="1"/>
  <c r="AO295" i="1"/>
  <c r="AN295" i="1"/>
  <c r="AM295" i="1"/>
  <c r="AL295" i="1"/>
  <c r="AK295" i="1"/>
  <c r="AJ295" i="1"/>
  <c r="AI295" i="1"/>
  <c r="AH295" i="1"/>
  <c r="AC295" i="1"/>
  <c r="AB295" i="1"/>
  <c r="AA295" i="1"/>
  <c r="Z295" i="1"/>
  <c r="W295" i="1"/>
  <c r="X295" i="1" s="1"/>
  <c r="Y295" i="1" s="1"/>
  <c r="V295" i="1"/>
  <c r="AQ294" i="1"/>
  <c r="AP294" i="1"/>
  <c r="AO294" i="1"/>
  <c r="AN294" i="1"/>
  <c r="AM294" i="1"/>
  <c r="AL294" i="1"/>
  <c r="AK294" i="1"/>
  <c r="AJ294" i="1"/>
  <c r="AI294" i="1"/>
  <c r="AH294" i="1"/>
  <c r="AC294" i="1"/>
  <c r="AB294" i="1"/>
  <c r="AA294" i="1"/>
  <c r="Z294" i="1"/>
  <c r="W294" i="1"/>
  <c r="X294" i="1" s="1"/>
  <c r="Y294" i="1" s="1"/>
  <c r="V294" i="1"/>
  <c r="AQ293" i="1"/>
  <c r="AP293" i="1"/>
  <c r="AO293" i="1"/>
  <c r="AN293" i="1"/>
  <c r="AM293" i="1"/>
  <c r="AL293" i="1"/>
  <c r="AK293" i="1"/>
  <c r="AJ293" i="1"/>
  <c r="AI293" i="1"/>
  <c r="AH293" i="1"/>
  <c r="AC293" i="1"/>
  <c r="AB293" i="1"/>
  <c r="AA293" i="1"/>
  <c r="Z293" i="1"/>
  <c r="W293" i="1"/>
  <c r="X293" i="1" s="1"/>
  <c r="Y293" i="1" s="1"/>
  <c r="V293" i="1"/>
  <c r="AQ292" i="1"/>
  <c r="AP292" i="1"/>
  <c r="AO292" i="1"/>
  <c r="AN292" i="1"/>
  <c r="AM292" i="1"/>
  <c r="AL292" i="1"/>
  <c r="AK292" i="1"/>
  <c r="AJ292" i="1"/>
  <c r="AI292" i="1"/>
  <c r="AH292" i="1"/>
  <c r="AC292" i="1"/>
  <c r="AB292" i="1"/>
  <c r="AA292" i="1"/>
  <c r="Z292" i="1"/>
  <c r="W292" i="1"/>
  <c r="X292" i="1" s="1"/>
  <c r="Y292" i="1" s="1"/>
  <c r="V292" i="1"/>
  <c r="AQ291" i="1"/>
  <c r="AP291" i="1"/>
  <c r="AO291" i="1"/>
  <c r="AN291" i="1"/>
  <c r="AM291" i="1"/>
  <c r="AL291" i="1"/>
  <c r="AK291" i="1"/>
  <c r="AJ291" i="1"/>
  <c r="AI291" i="1"/>
  <c r="AH291" i="1"/>
  <c r="AC291" i="1"/>
  <c r="AB291" i="1"/>
  <c r="AA291" i="1"/>
  <c r="Z291" i="1"/>
  <c r="W291" i="1"/>
  <c r="X291" i="1" s="1"/>
  <c r="Y291" i="1" s="1"/>
  <c r="V291" i="1"/>
  <c r="AQ290" i="1"/>
  <c r="AP290" i="1"/>
  <c r="AO290" i="1"/>
  <c r="AN290" i="1"/>
  <c r="AM290" i="1"/>
  <c r="AL290" i="1"/>
  <c r="AK290" i="1"/>
  <c r="AJ290" i="1"/>
  <c r="AI290" i="1"/>
  <c r="AH290" i="1"/>
  <c r="AC290" i="1"/>
  <c r="AB290" i="1"/>
  <c r="AA290" i="1"/>
  <c r="Z290" i="1"/>
  <c r="W290" i="1"/>
  <c r="X290" i="1" s="1"/>
  <c r="Y290" i="1" s="1"/>
  <c r="V290" i="1"/>
  <c r="AQ289" i="1"/>
  <c r="AP289" i="1"/>
  <c r="AO289" i="1"/>
  <c r="AN289" i="1"/>
  <c r="AM289" i="1"/>
  <c r="AL289" i="1"/>
  <c r="AK289" i="1"/>
  <c r="AJ289" i="1"/>
  <c r="AI289" i="1"/>
  <c r="AH289" i="1"/>
  <c r="AC289" i="1"/>
  <c r="AB289" i="1"/>
  <c r="AA289" i="1"/>
  <c r="Z289" i="1"/>
  <c r="W289" i="1"/>
  <c r="X289" i="1" s="1"/>
  <c r="Y289" i="1" s="1"/>
  <c r="V289" i="1"/>
  <c r="AQ288" i="1"/>
  <c r="AP288" i="1"/>
  <c r="AO288" i="1"/>
  <c r="AN288" i="1"/>
  <c r="AM288" i="1"/>
  <c r="AL288" i="1"/>
  <c r="AK288" i="1"/>
  <c r="AJ288" i="1"/>
  <c r="AI288" i="1"/>
  <c r="AH288" i="1"/>
  <c r="AC288" i="1"/>
  <c r="AB288" i="1"/>
  <c r="AA288" i="1"/>
  <c r="Z288" i="1"/>
  <c r="W288" i="1"/>
  <c r="X288" i="1" s="1"/>
  <c r="Y288" i="1" s="1"/>
  <c r="V288" i="1"/>
  <c r="AQ287" i="1"/>
  <c r="AP287" i="1"/>
  <c r="AO287" i="1"/>
  <c r="AN287" i="1"/>
  <c r="AM287" i="1"/>
  <c r="AL287" i="1"/>
  <c r="AK287" i="1"/>
  <c r="AJ287" i="1"/>
  <c r="AI287" i="1"/>
  <c r="AH287" i="1"/>
  <c r="AC287" i="1"/>
  <c r="AB287" i="1"/>
  <c r="AA287" i="1"/>
  <c r="Z287" i="1"/>
  <c r="W287" i="1"/>
  <c r="X287" i="1" s="1"/>
  <c r="Y287" i="1" s="1"/>
  <c r="V287" i="1"/>
  <c r="AQ286" i="1"/>
  <c r="AP286" i="1"/>
  <c r="AO286" i="1"/>
  <c r="AN286" i="1"/>
  <c r="AM286" i="1"/>
  <c r="AL286" i="1"/>
  <c r="AK286" i="1"/>
  <c r="AJ286" i="1"/>
  <c r="AI286" i="1"/>
  <c r="AH286" i="1"/>
  <c r="AC286" i="1"/>
  <c r="AB286" i="1"/>
  <c r="AA286" i="1"/>
  <c r="Z286" i="1"/>
  <c r="W286" i="1"/>
  <c r="X286" i="1" s="1"/>
  <c r="Y286" i="1" s="1"/>
  <c r="V286" i="1"/>
  <c r="AQ285" i="1"/>
  <c r="AP285" i="1"/>
  <c r="AO285" i="1"/>
  <c r="AN285" i="1"/>
  <c r="AM285" i="1"/>
  <c r="AL285" i="1"/>
  <c r="AK285" i="1"/>
  <c r="AJ285" i="1"/>
  <c r="AI285" i="1"/>
  <c r="AH285" i="1"/>
  <c r="AC285" i="1"/>
  <c r="AB285" i="1"/>
  <c r="AA285" i="1"/>
  <c r="Z285" i="1"/>
  <c r="W285" i="1"/>
  <c r="X285" i="1" s="1"/>
  <c r="Y285" i="1" s="1"/>
  <c r="V285" i="1"/>
  <c r="AQ284" i="1"/>
  <c r="AP284" i="1"/>
  <c r="AO284" i="1"/>
  <c r="AN284" i="1"/>
  <c r="AM284" i="1"/>
  <c r="AL284" i="1"/>
  <c r="AK284" i="1"/>
  <c r="AJ284" i="1"/>
  <c r="AI284" i="1"/>
  <c r="AH284" i="1"/>
  <c r="AC284" i="1"/>
  <c r="AB284" i="1"/>
  <c r="AA284" i="1"/>
  <c r="Z284" i="1"/>
  <c r="W284" i="1"/>
  <c r="X284" i="1" s="1"/>
  <c r="Y284" i="1" s="1"/>
  <c r="V284" i="1"/>
  <c r="AQ283" i="1"/>
  <c r="AP283" i="1"/>
  <c r="AO283" i="1"/>
  <c r="AN283" i="1"/>
  <c r="AM283" i="1"/>
  <c r="AL283" i="1"/>
  <c r="AK283" i="1"/>
  <c r="AJ283" i="1"/>
  <c r="AI283" i="1"/>
  <c r="AH283" i="1"/>
  <c r="AC283" i="1"/>
  <c r="AB283" i="1"/>
  <c r="AA283" i="1"/>
  <c r="Z283" i="1"/>
  <c r="W283" i="1"/>
  <c r="X283" i="1" s="1"/>
  <c r="Y283" i="1" s="1"/>
  <c r="V283" i="1"/>
  <c r="AQ282" i="1"/>
  <c r="AP282" i="1"/>
  <c r="AO282" i="1"/>
  <c r="AN282" i="1"/>
  <c r="AM282" i="1"/>
  <c r="AL282" i="1"/>
  <c r="AK282" i="1"/>
  <c r="AJ282" i="1"/>
  <c r="AI282" i="1"/>
  <c r="AH282" i="1"/>
  <c r="AC282" i="1"/>
  <c r="AB282" i="1"/>
  <c r="AA282" i="1"/>
  <c r="Z282" i="1"/>
  <c r="W282" i="1"/>
  <c r="X282" i="1" s="1"/>
  <c r="Y282" i="1" s="1"/>
  <c r="V282" i="1"/>
  <c r="AQ281" i="1"/>
  <c r="AP281" i="1"/>
  <c r="AO281" i="1"/>
  <c r="AN281" i="1"/>
  <c r="AM281" i="1"/>
  <c r="AL281" i="1"/>
  <c r="AK281" i="1"/>
  <c r="AJ281" i="1"/>
  <c r="AI281" i="1"/>
  <c r="AH281" i="1"/>
  <c r="AC281" i="1"/>
  <c r="AB281" i="1"/>
  <c r="AA281" i="1"/>
  <c r="Z281" i="1"/>
  <c r="W281" i="1"/>
  <c r="X281" i="1" s="1"/>
  <c r="Y281" i="1" s="1"/>
  <c r="V281" i="1"/>
  <c r="AQ280" i="1"/>
  <c r="AP280" i="1"/>
  <c r="AO280" i="1"/>
  <c r="AN280" i="1"/>
  <c r="AM280" i="1"/>
  <c r="AL280" i="1"/>
  <c r="AK280" i="1"/>
  <c r="AJ280" i="1"/>
  <c r="AI280" i="1"/>
  <c r="AH280" i="1"/>
  <c r="AC280" i="1"/>
  <c r="AB280" i="1"/>
  <c r="AA280" i="1"/>
  <c r="Z280" i="1"/>
  <c r="W280" i="1"/>
  <c r="X280" i="1" s="1"/>
  <c r="Y280" i="1" s="1"/>
  <c r="V280" i="1"/>
  <c r="AQ279" i="1"/>
  <c r="AP279" i="1"/>
  <c r="AO279" i="1"/>
  <c r="AN279" i="1"/>
  <c r="AM279" i="1"/>
  <c r="AL279" i="1"/>
  <c r="AK279" i="1"/>
  <c r="AJ279" i="1"/>
  <c r="AI279" i="1"/>
  <c r="AH279" i="1"/>
  <c r="AC279" i="1"/>
  <c r="AB279" i="1"/>
  <c r="AA279" i="1"/>
  <c r="Z279" i="1"/>
  <c r="W279" i="1"/>
  <c r="X279" i="1" s="1"/>
  <c r="Y279" i="1" s="1"/>
  <c r="V279" i="1"/>
  <c r="AQ278" i="1"/>
  <c r="AP278" i="1"/>
  <c r="AO278" i="1"/>
  <c r="AN278" i="1"/>
  <c r="AM278" i="1"/>
  <c r="AL278" i="1"/>
  <c r="AK278" i="1"/>
  <c r="AI278" i="1"/>
  <c r="AH278" i="1"/>
  <c r="AC278" i="1"/>
  <c r="AB278" i="1"/>
  <c r="AA278" i="1"/>
  <c r="Z278" i="1"/>
  <c r="W278" i="1"/>
  <c r="X278" i="1" s="1"/>
  <c r="Y278" i="1" s="1"/>
  <c r="V278" i="1"/>
  <c r="AQ277" i="1"/>
  <c r="AP277" i="1"/>
  <c r="AO277" i="1"/>
  <c r="AN277" i="1"/>
  <c r="AM277" i="1"/>
  <c r="AL277" i="1"/>
  <c r="AK277" i="1"/>
  <c r="AJ277" i="1"/>
  <c r="AI277" i="1"/>
  <c r="AH277" i="1"/>
  <c r="AC277" i="1"/>
  <c r="AB277" i="1"/>
  <c r="AA277" i="1"/>
  <c r="Z277" i="1"/>
  <c r="W277" i="1"/>
  <c r="X277" i="1" s="1"/>
  <c r="Y277" i="1" s="1"/>
  <c r="V277" i="1"/>
  <c r="AQ276" i="1"/>
  <c r="AP276" i="1"/>
  <c r="AO276" i="1"/>
  <c r="AN276" i="1"/>
  <c r="AM276" i="1"/>
  <c r="AL276" i="1"/>
  <c r="AK276" i="1"/>
  <c r="AJ276" i="1"/>
  <c r="AI276" i="1"/>
  <c r="AH276" i="1"/>
  <c r="AC276" i="1"/>
  <c r="AB276" i="1"/>
  <c r="AA276" i="1"/>
  <c r="Z276" i="1"/>
  <c r="W276" i="1"/>
  <c r="X276" i="1" s="1"/>
  <c r="Y276" i="1" s="1"/>
  <c r="V276" i="1"/>
  <c r="AQ275" i="1"/>
  <c r="AP275" i="1"/>
  <c r="AO275" i="1"/>
  <c r="AN275" i="1"/>
  <c r="AM275" i="1"/>
  <c r="AL275" i="1"/>
  <c r="AK275" i="1"/>
  <c r="AJ275" i="1"/>
  <c r="AI275" i="1"/>
  <c r="AH275" i="1"/>
  <c r="AC275" i="1"/>
  <c r="AB275" i="1"/>
  <c r="AA275" i="1"/>
  <c r="Z275" i="1"/>
  <c r="W275" i="1"/>
  <c r="X275" i="1" s="1"/>
  <c r="Y275" i="1" s="1"/>
  <c r="V275" i="1"/>
  <c r="AQ274" i="1"/>
  <c r="AP274" i="1"/>
  <c r="AO274" i="1"/>
  <c r="AN274" i="1"/>
  <c r="AM274" i="1"/>
  <c r="AL274" i="1"/>
  <c r="AK274" i="1"/>
  <c r="AJ274" i="1"/>
  <c r="AI274" i="1"/>
  <c r="AH274" i="1"/>
  <c r="AC274" i="1"/>
  <c r="AB274" i="1"/>
  <c r="AA274" i="1"/>
  <c r="Z274" i="1"/>
  <c r="W274" i="1"/>
  <c r="X274" i="1" s="1"/>
  <c r="Y274" i="1" s="1"/>
  <c r="V274" i="1"/>
  <c r="AQ273" i="1"/>
  <c r="AP273" i="1"/>
  <c r="AO273" i="1"/>
  <c r="AN273" i="1"/>
  <c r="AM273" i="1"/>
  <c r="AL273" i="1"/>
  <c r="AK273" i="1"/>
  <c r="AJ273" i="1"/>
  <c r="AI273" i="1"/>
  <c r="AH273" i="1"/>
  <c r="AC273" i="1"/>
  <c r="AB273" i="1"/>
  <c r="AA273" i="1"/>
  <c r="Z273" i="1"/>
  <c r="W273" i="1"/>
  <c r="X273" i="1" s="1"/>
  <c r="Y273" i="1" s="1"/>
  <c r="V273" i="1"/>
  <c r="AQ272" i="1"/>
  <c r="AP272" i="1"/>
  <c r="AO272" i="1"/>
  <c r="AN272" i="1"/>
  <c r="AM272" i="1"/>
  <c r="AL272" i="1"/>
  <c r="AK272" i="1"/>
  <c r="AJ272" i="1"/>
  <c r="AI272" i="1"/>
  <c r="AH272" i="1"/>
  <c r="AC272" i="1"/>
  <c r="AB272" i="1"/>
  <c r="AA272" i="1"/>
  <c r="Z272" i="1"/>
  <c r="W272" i="1"/>
  <c r="X272" i="1" s="1"/>
  <c r="Y272" i="1" s="1"/>
  <c r="V272" i="1"/>
  <c r="AQ271" i="1"/>
  <c r="AP271" i="1"/>
  <c r="AO271" i="1"/>
  <c r="AN271" i="1"/>
  <c r="AM271" i="1"/>
  <c r="AL271" i="1"/>
  <c r="AK271" i="1"/>
  <c r="AJ271" i="1"/>
  <c r="AI271" i="1"/>
  <c r="AH271" i="1"/>
  <c r="AC271" i="1"/>
  <c r="AB271" i="1"/>
  <c r="AA271" i="1"/>
  <c r="Z271" i="1"/>
  <c r="W271" i="1"/>
  <c r="X271" i="1" s="1"/>
  <c r="Y271" i="1" s="1"/>
  <c r="V271" i="1"/>
  <c r="AQ270" i="1"/>
  <c r="AP270" i="1"/>
  <c r="AO270" i="1"/>
  <c r="AN270" i="1"/>
  <c r="AM270" i="1"/>
  <c r="AL270" i="1"/>
  <c r="AK270" i="1"/>
  <c r="AJ270" i="1"/>
  <c r="AI270" i="1"/>
  <c r="AH270" i="1"/>
  <c r="AC270" i="1"/>
  <c r="AB270" i="1"/>
  <c r="AA270" i="1"/>
  <c r="Z270" i="1"/>
  <c r="W270" i="1"/>
  <c r="X270" i="1" s="1"/>
  <c r="Y270" i="1" s="1"/>
  <c r="V270" i="1"/>
  <c r="AQ269" i="1"/>
  <c r="AP269" i="1"/>
  <c r="AO269" i="1"/>
  <c r="AN269" i="1"/>
  <c r="AM269" i="1"/>
  <c r="AL269" i="1"/>
  <c r="AK269" i="1"/>
  <c r="AJ269" i="1"/>
  <c r="AI269" i="1"/>
  <c r="AH269" i="1"/>
  <c r="AC269" i="1"/>
  <c r="AB269" i="1"/>
  <c r="AA269" i="1"/>
  <c r="Z269" i="1"/>
  <c r="W269" i="1"/>
  <c r="X269" i="1" s="1"/>
  <c r="Y269" i="1" s="1"/>
  <c r="V269" i="1"/>
  <c r="AQ268" i="1"/>
  <c r="AP268" i="1"/>
  <c r="AO268" i="1"/>
  <c r="AN268" i="1"/>
  <c r="AM268" i="1"/>
  <c r="AL268" i="1"/>
  <c r="AK268" i="1"/>
  <c r="AJ268" i="1"/>
  <c r="AI268" i="1"/>
  <c r="AH268" i="1"/>
  <c r="AC268" i="1"/>
  <c r="AB268" i="1"/>
  <c r="AA268" i="1"/>
  <c r="Z268" i="1"/>
  <c r="W268" i="1"/>
  <c r="X268" i="1" s="1"/>
  <c r="Y268" i="1" s="1"/>
  <c r="V268" i="1"/>
  <c r="AQ267" i="1"/>
  <c r="AP267" i="1"/>
  <c r="AO267" i="1"/>
  <c r="AN267" i="1"/>
  <c r="AM267" i="1"/>
  <c r="AL267" i="1"/>
  <c r="AK267" i="1"/>
  <c r="AJ267" i="1"/>
  <c r="AI267" i="1"/>
  <c r="AH267" i="1"/>
  <c r="AC267" i="1"/>
  <c r="AB267" i="1"/>
  <c r="AA267" i="1"/>
  <c r="Z267" i="1"/>
  <c r="W267" i="1"/>
  <c r="X267" i="1" s="1"/>
  <c r="Y267" i="1" s="1"/>
  <c r="V267" i="1"/>
  <c r="AQ266" i="1"/>
  <c r="AP266" i="1"/>
  <c r="AO266" i="1"/>
  <c r="AN266" i="1"/>
  <c r="AM266" i="1"/>
  <c r="AL266" i="1"/>
  <c r="AK266" i="1"/>
  <c r="AJ266" i="1"/>
  <c r="AI266" i="1"/>
  <c r="AH266" i="1"/>
  <c r="AC266" i="1"/>
  <c r="AB266" i="1"/>
  <c r="AA266" i="1"/>
  <c r="Z266" i="1"/>
  <c r="W266" i="1"/>
  <c r="X266" i="1" s="1"/>
  <c r="Y266" i="1" s="1"/>
  <c r="V266" i="1"/>
  <c r="AQ265" i="1"/>
  <c r="AP265" i="1"/>
  <c r="AO265" i="1"/>
  <c r="AN265" i="1"/>
  <c r="AM265" i="1"/>
  <c r="AL265" i="1"/>
  <c r="AK265" i="1"/>
  <c r="AJ265" i="1"/>
  <c r="AI265" i="1"/>
  <c r="AH265" i="1"/>
  <c r="AC265" i="1"/>
  <c r="AB265" i="1"/>
  <c r="AA265" i="1"/>
  <c r="Z265" i="1"/>
  <c r="W265" i="1"/>
  <c r="X265" i="1" s="1"/>
  <c r="Y265" i="1" s="1"/>
  <c r="V265" i="1"/>
  <c r="AQ264" i="1"/>
  <c r="AP264" i="1"/>
  <c r="AO264" i="1"/>
  <c r="AN264" i="1"/>
  <c r="AM264" i="1"/>
  <c r="AL264" i="1"/>
  <c r="AK264" i="1"/>
  <c r="AJ264" i="1"/>
  <c r="AI264" i="1"/>
  <c r="AH264" i="1"/>
  <c r="AC264" i="1"/>
  <c r="AB264" i="1"/>
  <c r="AA264" i="1"/>
  <c r="Z264" i="1"/>
  <c r="W264" i="1"/>
  <c r="X264" i="1" s="1"/>
  <c r="Y264" i="1" s="1"/>
  <c r="V264" i="1"/>
  <c r="AQ263" i="1"/>
  <c r="AP263" i="1"/>
  <c r="AO263" i="1"/>
  <c r="AN263" i="1"/>
  <c r="AM263" i="1"/>
  <c r="AL263" i="1"/>
  <c r="AK263" i="1"/>
  <c r="AJ263" i="1"/>
  <c r="AI263" i="1"/>
  <c r="AH263" i="1"/>
  <c r="AC263" i="1"/>
  <c r="AB263" i="1"/>
  <c r="AA263" i="1"/>
  <c r="Z263" i="1"/>
  <c r="W263" i="1"/>
  <c r="X263" i="1" s="1"/>
  <c r="Y263" i="1" s="1"/>
  <c r="V263" i="1"/>
  <c r="AQ262" i="1"/>
  <c r="AP262" i="1"/>
  <c r="AO262" i="1"/>
  <c r="AN262" i="1"/>
  <c r="AM262" i="1"/>
  <c r="AL262" i="1"/>
  <c r="AK262" i="1"/>
  <c r="AJ262" i="1"/>
  <c r="AI262" i="1"/>
  <c r="AH262" i="1"/>
  <c r="AC262" i="1"/>
  <c r="AB262" i="1"/>
  <c r="AA262" i="1"/>
  <c r="Z262" i="1"/>
  <c r="W262" i="1"/>
  <c r="X262" i="1" s="1"/>
  <c r="Y262" i="1" s="1"/>
  <c r="V262" i="1"/>
  <c r="AQ261" i="1"/>
  <c r="AP261" i="1"/>
  <c r="AO261" i="1"/>
  <c r="AN261" i="1"/>
  <c r="AM261" i="1"/>
  <c r="AL261" i="1"/>
  <c r="AK261" i="1"/>
  <c r="AJ261" i="1"/>
  <c r="AI261" i="1"/>
  <c r="AH261" i="1"/>
  <c r="AC261" i="1"/>
  <c r="AB261" i="1"/>
  <c r="AA261" i="1"/>
  <c r="Z261" i="1"/>
  <c r="W261" i="1"/>
  <c r="X261" i="1" s="1"/>
  <c r="Y261" i="1" s="1"/>
  <c r="V261" i="1"/>
  <c r="AQ260" i="1"/>
  <c r="AP260" i="1"/>
  <c r="AO260" i="1"/>
  <c r="AN260" i="1"/>
  <c r="AM260" i="1"/>
  <c r="AL260" i="1"/>
  <c r="AK260" i="1"/>
  <c r="AJ260" i="1"/>
  <c r="AI260" i="1"/>
  <c r="AH260" i="1"/>
  <c r="AC260" i="1"/>
  <c r="AB260" i="1"/>
  <c r="AA260" i="1"/>
  <c r="Z260" i="1"/>
  <c r="W260" i="1"/>
  <c r="X260" i="1" s="1"/>
  <c r="Y260" i="1" s="1"/>
  <c r="V260" i="1"/>
  <c r="AQ259" i="1"/>
  <c r="AP259" i="1"/>
  <c r="AO259" i="1"/>
  <c r="AN259" i="1"/>
  <c r="AM259" i="1"/>
  <c r="AL259" i="1"/>
  <c r="AK259" i="1"/>
  <c r="AJ259" i="1"/>
  <c r="AI259" i="1"/>
  <c r="AH259" i="1"/>
  <c r="AC259" i="1"/>
  <c r="AB259" i="1"/>
  <c r="AA259" i="1"/>
  <c r="Z259" i="1"/>
  <c r="W259" i="1"/>
  <c r="X259" i="1" s="1"/>
  <c r="Y259" i="1" s="1"/>
  <c r="V259" i="1"/>
  <c r="AQ258" i="1"/>
  <c r="AP258" i="1"/>
  <c r="AO258" i="1"/>
  <c r="AN258" i="1"/>
  <c r="AM258" i="1"/>
  <c r="AL258" i="1"/>
  <c r="AK258" i="1"/>
  <c r="AJ258" i="1"/>
  <c r="AI258" i="1"/>
  <c r="AH258" i="1"/>
  <c r="AC258" i="1"/>
  <c r="AB258" i="1"/>
  <c r="AA258" i="1"/>
  <c r="Z258" i="1"/>
  <c r="W258" i="1"/>
  <c r="X258" i="1" s="1"/>
  <c r="Y258" i="1" s="1"/>
  <c r="V258" i="1"/>
  <c r="AQ257" i="1"/>
  <c r="AP257" i="1"/>
  <c r="AO257" i="1"/>
  <c r="AN257" i="1"/>
  <c r="AM257" i="1"/>
  <c r="AL257" i="1"/>
  <c r="AK257" i="1"/>
  <c r="AJ257" i="1"/>
  <c r="AI257" i="1"/>
  <c r="AH257" i="1"/>
  <c r="AC257" i="1"/>
  <c r="AB257" i="1"/>
  <c r="AA257" i="1"/>
  <c r="Z257" i="1"/>
  <c r="W257" i="1"/>
  <c r="X257" i="1" s="1"/>
  <c r="Y257" i="1" s="1"/>
  <c r="V257" i="1"/>
  <c r="AQ256" i="1"/>
  <c r="AP256" i="1"/>
  <c r="AO256" i="1"/>
  <c r="AN256" i="1"/>
  <c r="AM256" i="1"/>
  <c r="AL256" i="1"/>
  <c r="AK256" i="1"/>
  <c r="AJ256" i="1"/>
  <c r="AI256" i="1"/>
  <c r="AH256" i="1"/>
  <c r="AC256" i="1"/>
  <c r="AB256" i="1"/>
  <c r="AA256" i="1"/>
  <c r="Z256" i="1"/>
  <c r="W256" i="1"/>
  <c r="X256" i="1" s="1"/>
  <c r="Y256" i="1" s="1"/>
  <c r="V256" i="1"/>
  <c r="AQ255" i="1"/>
  <c r="AP255" i="1"/>
  <c r="AO255" i="1"/>
  <c r="AN255" i="1"/>
  <c r="AM255" i="1"/>
  <c r="AL255" i="1"/>
  <c r="AK255" i="1"/>
  <c r="AJ255" i="1"/>
  <c r="AI255" i="1"/>
  <c r="AH255" i="1"/>
  <c r="AC255" i="1"/>
  <c r="AB255" i="1"/>
  <c r="AA255" i="1"/>
  <c r="Z255" i="1"/>
  <c r="W255" i="1"/>
  <c r="X255" i="1" s="1"/>
  <c r="Y255" i="1" s="1"/>
  <c r="V255" i="1"/>
  <c r="AQ254" i="1"/>
  <c r="AP254" i="1"/>
  <c r="AO254" i="1"/>
  <c r="AN254" i="1"/>
  <c r="AM254" i="1"/>
  <c r="AL254" i="1"/>
  <c r="AK254" i="1"/>
  <c r="AJ254" i="1"/>
  <c r="AI254" i="1"/>
  <c r="AH254" i="1"/>
  <c r="AC254" i="1"/>
  <c r="AB254" i="1"/>
  <c r="AA254" i="1"/>
  <c r="Z254" i="1"/>
  <c r="W254" i="1"/>
  <c r="X254" i="1" s="1"/>
  <c r="Y254" i="1" s="1"/>
  <c r="V254" i="1"/>
  <c r="AQ253" i="1"/>
  <c r="AP253" i="1"/>
  <c r="AO253" i="1"/>
  <c r="AN253" i="1"/>
  <c r="AM253" i="1"/>
  <c r="AL253" i="1"/>
  <c r="AK253" i="1"/>
  <c r="AJ253" i="1"/>
  <c r="AI253" i="1"/>
  <c r="AH253" i="1"/>
  <c r="AC253" i="1"/>
  <c r="AB253" i="1"/>
  <c r="AA253" i="1"/>
  <c r="Z253" i="1"/>
  <c r="W253" i="1"/>
  <c r="X253" i="1" s="1"/>
  <c r="Y253" i="1" s="1"/>
  <c r="V253" i="1"/>
  <c r="AQ252" i="1"/>
  <c r="AP252" i="1"/>
  <c r="AO252" i="1"/>
  <c r="AN252" i="1"/>
  <c r="AM252" i="1"/>
  <c r="AL252" i="1"/>
  <c r="AK252" i="1"/>
  <c r="AJ252" i="1"/>
  <c r="AI252" i="1"/>
  <c r="AH252" i="1"/>
  <c r="AC252" i="1"/>
  <c r="AB252" i="1"/>
  <c r="AA252" i="1"/>
  <c r="Z252" i="1"/>
  <c r="W252" i="1"/>
  <c r="X252" i="1" s="1"/>
  <c r="Y252" i="1" s="1"/>
  <c r="V252" i="1"/>
  <c r="AQ251" i="1"/>
  <c r="AP251" i="1"/>
  <c r="AO251" i="1"/>
  <c r="AN251" i="1"/>
  <c r="AM251" i="1"/>
  <c r="AL251" i="1"/>
  <c r="AK251" i="1"/>
  <c r="AJ251" i="1"/>
  <c r="AI251" i="1"/>
  <c r="AH251" i="1"/>
  <c r="AC251" i="1"/>
  <c r="AB251" i="1"/>
  <c r="AA251" i="1"/>
  <c r="Z251" i="1"/>
  <c r="W251" i="1"/>
  <c r="X251" i="1" s="1"/>
  <c r="Y251" i="1" s="1"/>
  <c r="V251" i="1"/>
  <c r="AQ250" i="1"/>
  <c r="AP250" i="1"/>
  <c r="AO250" i="1"/>
  <c r="AN250" i="1"/>
  <c r="AM250" i="1"/>
  <c r="AL250" i="1"/>
  <c r="AK250" i="1"/>
  <c r="AJ250" i="1"/>
  <c r="AI250" i="1"/>
  <c r="AH250" i="1"/>
  <c r="AC250" i="1"/>
  <c r="AB250" i="1"/>
  <c r="AA250" i="1"/>
  <c r="Z250" i="1"/>
  <c r="W250" i="1"/>
  <c r="X250" i="1" s="1"/>
  <c r="Y250" i="1" s="1"/>
  <c r="V250" i="1"/>
  <c r="AQ249" i="1"/>
  <c r="AP249" i="1"/>
  <c r="AO249" i="1"/>
  <c r="AN249" i="1"/>
  <c r="AM249" i="1"/>
  <c r="AL249" i="1"/>
  <c r="AK249" i="1"/>
  <c r="AJ249" i="1"/>
  <c r="AI249" i="1"/>
  <c r="AH249" i="1"/>
  <c r="AC249" i="1"/>
  <c r="AB249" i="1"/>
  <c r="AA249" i="1"/>
  <c r="Z249" i="1"/>
  <c r="W249" i="1"/>
  <c r="X249" i="1" s="1"/>
  <c r="Y249" i="1" s="1"/>
  <c r="V249" i="1"/>
  <c r="AQ248" i="1"/>
  <c r="AP248" i="1"/>
  <c r="AO248" i="1"/>
  <c r="AN248" i="1"/>
  <c r="AM248" i="1"/>
  <c r="AL248" i="1"/>
  <c r="AK248" i="1"/>
  <c r="AJ248" i="1"/>
  <c r="AI248" i="1"/>
  <c r="AH248" i="1"/>
  <c r="AC248" i="1"/>
  <c r="AB248" i="1"/>
  <c r="AA248" i="1"/>
  <c r="Z248" i="1"/>
  <c r="W248" i="1"/>
  <c r="X248" i="1" s="1"/>
  <c r="Y248" i="1" s="1"/>
  <c r="V248" i="1"/>
  <c r="AQ247" i="1"/>
  <c r="AP247" i="1"/>
  <c r="AO247" i="1"/>
  <c r="AN247" i="1"/>
  <c r="AM247" i="1"/>
  <c r="AL247" i="1"/>
  <c r="AK247" i="1"/>
  <c r="AJ247" i="1"/>
  <c r="AI247" i="1"/>
  <c r="AH247" i="1"/>
  <c r="AC247" i="1"/>
  <c r="AB247" i="1"/>
  <c r="AA247" i="1"/>
  <c r="Z247" i="1"/>
  <c r="W247" i="1"/>
  <c r="X247" i="1" s="1"/>
  <c r="Y247" i="1" s="1"/>
  <c r="V247" i="1"/>
  <c r="AQ246" i="1"/>
  <c r="AP246" i="1"/>
  <c r="AO246" i="1"/>
  <c r="AN246" i="1"/>
  <c r="AM246" i="1"/>
  <c r="AL246" i="1"/>
  <c r="AK246" i="1"/>
  <c r="AJ246" i="1"/>
  <c r="AI246" i="1"/>
  <c r="AH246" i="1"/>
  <c r="AC246" i="1"/>
  <c r="AB246" i="1"/>
  <c r="AA246" i="1"/>
  <c r="Z246" i="1"/>
  <c r="W246" i="1"/>
  <c r="X246" i="1" s="1"/>
  <c r="Y246" i="1" s="1"/>
  <c r="V246" i="1"/>
  <c r="AQ245" i="1"/>
  <c r="AP245" i="1"/>
  <c r="AO245" i="1"/>
  <c r="AN245" i="1"/>
  <c r="AM245" i="1"/>
  <c r="AL245" i="1"/>
  <c r="AK245" i="1"/>
  <c r="AI245" i="1"/>
  <c r="AH245" i="1"/>
  <c r="AC245" i="1"/>
  <c r="AB245" i="1"/>
  <c r="AA245" i="1"/>
  <c r="Z245" i="1"/>
  <c r="W245" i="1"/>
  <c r="X245" i="1" s="1"/>
  <c r="Y245" i="1" s="1"/>
  <c r="V245" i="1"/>
  <c r="AQ244" i="1"/>
  <c r="AP244" i="1"/>
  <c r="AO244" i="1"/>
  <c r="AN244" i="1"/>
  <c r="AM244" i="1"/>
  <c r="AL244" i="1"/>
  <c r="AK244" i="1"/>
  <c r="AJ244" i="1"/>
  <c r="AI244" i="1"/>
  <c r="AH244" i="1"/>
  <c r="AC244" i="1"/>
  <c r="AB244" i="1"/>
  <c r="AA244" i="1"/>
  <c r="Z244" i="1"/>
  <c r="W244" i="1"/>
  <c r="X244" i="1" s="1"/>
  <c r="Y244" i="1" s="1"/>
  <c r="V244" i="1"/>
  <c r="AQ243" i="1"/>
  <c r="AP243" i="1"/>
  <c r="AO243" i="1"/>
  <c r="AN243" i="1"/>
  <c r="AM243" i="1"/>
  <c r="AL243" i="1"/>
  <c r="AK243" i="1"/>
  <c r="AJ243" i="1"/>
  <c r="AI243" i="1"/>
  <c r="AH243" i="1"/>
  <c r="AC243" i="1"/>
  <c r="AB243" i="1"/>
  <c r="AA243" i="1"/>
  <c r="Z243" i="1"/>
  <c r="W243" i="1"/>
  <c r="X243" i="1" s="1"/>
  <c r="Y243" i="1" s="1"/>
  <c r="V243" i="1"/>
  <c r="AQ242" i="1"/>
  <c r="AP242" i="1"/>
  <c r="AO242" i="1"/>
  <c r="AN242" i="1"/>
  <c r="AM242" i="1"/>
  <c r="AL242" i="1"/>
  <c r="AK242" i="1"/>
  <c r="AJ242" i="1"/>
  <c r="AI242" i="1"/>
  <c r="AH242" i="1"/>
  <c r="AC242" i="1"/>
  <c r="AB242" i="1"/>
  <c r="AA242" i="1"/>
  <c r="Z242" i="1"/>
  <c r="W242" i="1"/>
  <c r="X242" i="1" s="1"/>
  <c r="Y242" i="1" s="1"/>
  <c r="V242" i="1"/>
  <c r="AQ241" i="1"/>
  <c r="AP241" i="1"/>
  <c r="AO241" i="1"/>
  <c r="AN241" i="1"/>
  <c r="AM241" i="1"/>
  <c r="AL241" i="1"/>
  <c r="AK241" i="1"/>
  <c r="AJ241" i="1"/>
  <c r="AI241" i="1"/>
  <c r="AH241" i="1"/>
  <c r="AC241" i="1"/>
  <c r="AB241" i="1"/>
  <c r="AA241" i="1"/>
  <c r="Z241" i="1"/>
  <c r="W241" i="1"/>
  <c r="X241" i="1" s="1"/>
  <c r="Y241" i="1" s="1"/>
  <c r="V241" i="1"/>
  <c r="AQ240" i="1"/>
  <c r="AP240" i="1"/>
  <c r="AO240" i="1"/>
  <c r="AN240" i="1"/>
  <c r="AM240" i="1"/>
  <c r="AL240" i="1"/>
  <c r="AK240" i="1"/>
  <c r="AJ240" i="1"/>
  <c r="AI240" i="1"/>
  <c r="AH240" i="1"/>
  <c r="AC240" i="1"/>
  <c r="AB240" i="1"/>
  <c r="AA240" i="1"/>
  <c r="Z240" i="1"/>
  <c r="W240" i="1"/>
  <c r="X240" i="1" s="1"/>
  <c r="Y240" i="1" s="1"/>
  <c r="V240" i="1"/>
  <c r="AQ239" i="1"/>
  <c r="AP239" i="1"/>
  <c r="AO239" i="1"/>
  <c r="AN239" i="1"/>
  <c r="AM239" i="1"/>
  <c r="AL239" i="1"/>
  <c r="AK239" i="1"/>
  <c r="AJ239" i="1"/>
  <c r="AI239" i="1"/>
  <c r="AH239" i="1"/>
  <c r="AC239" i="1"/>
  <c r="AB239" i="1"/>
  <c r="AA239" i="1"/>
  <c r="Z239" i="1"/>
  <c r="W239" i="1"/>
  <c r="X239" i="1" s="1"/>
  <c r="Y239" i="1" s="1"/>
  <c r="V239" i="1"/>
  <c r="AQ238" i="1"/>
  <c r="AP238" i="1"/>
  <c r="AO238" i="1"/>
  <c r="AN238" i="1"/>
  <c r="AM238" i="1"/>
  <c r="AL238" i="1"/>
  <c r="AK238" i="1"/>
  <c r="AJ238" i="1"/>
  <c r="AI238" i="1"/>
  <c r="AH238" i="1"/>
  <c r="AC238" i="1"/>
  <c r="AB238" i="1"/>
  <c r="AA238" i="1"/>
  <c r="Z238" i="1"/>
  <c r="W238" i="1"/>
  <c r="X238" i="1" s="1"/>
  <c r="Y238" i="1" s="1"/>
  <c r="V238" i="1"/>
  <c r="AQ237" i="1"/>
  <c r="AP237" i="1"/>
  <c r="AO237" i="1"/>
  <c r="AN237" i="1"/>
  <c r="AM237" i="1"/>
  <c r="AL237" i="1"/>
  <c r="AK237" i="1"/>
  <c r="AJ237" i="1"/>
  <c r="AI237" i="1"/>
  <c r="AH237" i="1"/>
  <c r="AC237" i="1"/>
  <c r="AB237" i="1"/>
  <c r="AA237" i="1"/>
  <c r="Z237" i="1"/>
  <c r="W237" i="1"/>
  <c r="X237" i="1" s="1"/>
  <c r="Y237" i="1" s="1"/>
  <c r="V237" i="1"/>
  <c r="AQ236" i="1"/>
  <c r="AP236" i="1"/>
  <c r="AO236" i="1"/>
  <c r="AN236" i="1"/>
  <c r="AM236" i="1"/>
  <c r="AL236" i="1"/>
  <c r="AK236" i="1"/>
  <c r="AJ236" i="1"/>
  <c r="AI236" i="1"/>
  <c r="AH236" i="1"/>
  <c r="AC236" i="1"/>
  <c r="AB236" i="1"/>
  <c r="AA236" i="1"/>
  <c r="Z236" i="1"/>
  <c r="W236" i="1"/>
  <c r="X236" i="1" s="1"/>
  <c r="Y236" i="1" s="1"/>
  <c r="V236" i="1"/>
  <c r="AQ235" i="1"/>
  <c r="AP235" i="1"/>
  <c r="AN235" i="1"/>
  <c r="AM235" i="1"/>
  <c r="AL235" i="1"/>
  <c r="AK235" i="1"/>
  <c r="AJ235" i="1"/>
  <c r="AI235" i="1"/>
  <c r="AH235" i="1"/>
  <c r="AC235" i="1"/>
  <c r="AB235" i="1"/>
  <c r="AA235" i="1"/>
  <c r="Z235" i="1"/>
  <c r="W235" i="1"/>
  <c r="X235" i="1" s="1"/>
  <c r="Y235" i="1" s="1"/>
  <c r="V235" i="1"/>
  <c r="AQ234" i="1"/>
  <c r="AP234" i="1"/>
  <c r="AO234" i="1"/>
  <c r="AN234" i="1"/>
  <c r="AM234" i="1"/>
  <c r="AL234" i="1"/>
  <c r="AK234" i="1"/>
  <c r="AJ234" i="1"/>
  <c r="AI234" i="1"/>
  <c r="AH234" i="1"/>
  <c r="AC234" i="1"/>
  <c r="AB234" i="1"/>
  <c r="AA234" i="1"/>
  <c r="Z234" i="1"/>
  <c r="W234" i="1"/>
  <c r="X234" i="1" s="1"/>
  <c r="Y234" i="1" s="1"/>
  <c r="V234" i="1"/>
  <c r="AQ233" i="1"/>
  <c r="AP233" i="1"/>
  <c r="AO233" i="1"/>
  <c r="AN233" i="1"/>
  <c r="AM233" i="1"/>
  <c r="AL233" i="1"/>
  <c r="AK233" i="1"/>
  <c r="AJ233" i="1"/>
  <c r="AI233" i="1"/>
  <c r="AH233" i="1"/>
  <c r="AC233" i="1"/>
  <c r="AB233" i="1"/>
  <c r="AA233" i="1"/>
  <c r="Z233" i="1"/>
  <c r="W233" i="1"/>
  <c r="X233" i="1" s="1"/>
  <c r="Y233" i="1" s="1"/>
  <c r="V233" i="1"/>
  <c r="AQ232" i="1"/>
  <c r="AP232" i="1"/>
  <c r="AO232" i="1"/>
  <c r="AN232" i="1"/>
  <c r="AM232" i="1"/>
  <c r="AL232" i="1"/>
  <c r="AK232" i="1"/>
  <c r="AJ232" i="1"/>
  <c r="AI232" i="1"/>
  <c r="AH232" i="1"/>
  <c r="AC232" i="1"/>
  <c r="AB232" i="1"/>
  <c r="AA232" i="1"/>
  <c r="Z232" i="1"/>
  <c r="W232" i="1"/>
  <c r="X232" i="1" s="1"/>
  <c r="Y232" i="1" s="1"/>
  <c r="V232" i="1"/>
  <c r="AQ231" i="1"/>
  <c r="AP231" i="1"/>
  <c r="AO231" i="1"/>
  <c r="AN231" i="1"/>
  <c r="AM231" i="1"/>
  <c r="AL231" i="1"/>
  <c r="AK231" i="1"/>
  <c r="AJ231" i="1"/>
  <c r="AI231" i="1"/>
  <c r="AH231" i="1"/>
  <c r="AC231" i="1"/>
  <c r="AB231" i="1"/>
  <c r="AA231" i="1"/>
  <c r="Z231" i="1"/>
  <c r="W231" i="1"/>
  <c r="X231" i="1" s="1"/>
  <c r="Y231" i="1" s="1"/>
  <c r="V231" i="1"/>
  <c r="AQ230" i="1"/>
  <c r="AP230" i="1"/>
  <c r="AO230" i="1"/>
  <c r="AN230" i="1"/>
  <c r="AM230" i="1"/>
  <c r="AL230" i="1"/>
  <c r="AK230" i="1"/>
  <c r="AJ230" i="1"/>
  <c r="AI230" i="1"/>
  <c r="AH230" i="1"/>
  <c r="AC230" i="1"/>
  <c r="AB230" i="1"/>
  <c r="AA230" i="1"/>
  <c r="Z230" i="1"/>
  <c r="W230" i="1"/>
  <c r="X230" i="1" s="1"/>
  <c r="Y230" i="1" s="1"/>
  <c r="V230" i="1"/>
  <c r="AQ229" i="1"/>
  <c r="AP229" i="1"/>
  <c r="AO229" i="1"/>
  <c r="AN229" i="1"/>
  <c r="AM229" i="1"/>
  <c r="AL229" i="1"/>
  <c r="AK229" i="1"/>
  <c r="AJ229" i="1"/>
  <c r="AI229" i="1"/>
  <c r="AH229" i="1"/>
  <c r="AC229" i="1"/>
  <c r="AB229" i="1"/>
  <c r="AA229" i="1"/>
  <c r="Z229" i="1"/>
  <c r="W229" i="1"/>
  <c r="X229" i="1" s="1"/>
  <c r="Y229" i="1" s="1"/>
  <c r="V229" i="1"/>
  <c r="AQ228" i="1"/>
  <c r="AP228" i="1"/>
  <c r="AO228" i="1"/>
  <c r="AN228" i="1"/>
  <c r="AM228" i="1"/>
  <c r="AL228" i="1"/>
  <c r="AK228" i="1"/>
  <c r="AI228" i="1"/>
  <c r="AH228" i="1"/>
  <c r="AC228" i="1"/>
  <c r="AB228" i="1"/>
  <c r="AA228" i="1"/>
  <c r="Z228" i="1"/>
  <c r="W228" i="1"/>
  <c r="X228" i="1" s="1"/>
  <c r="Y228" i="1" s="1"/>
  <c r="V228" i="1"/>
  <c r="AQ227" i="1"/>
  <c r="AP227" i="1"/>
  <c r="AO227" i="1"/>
  <c r="AN227" i="1"/>
  <c r="AM227" i="1"/>
  <c r="AL227" i="1"/>
  <c r="AK227" i="1"/>
  <c r="AJ227" i="1"/>
  <c r="AI227" i="1"/>
  <c r="AH227" i="1"/>
  <c r="AC227" i="1"/>
  <c r="AB227" i="1"/>
  <c r="AA227" i="1"/>
  <c r="Z227" i="1"/>
  <c r="W227" i="1"/>
  <c r="X227" i="1" s="1"/>
  <c r="Y227" i="1" s="1"/>
  <c r="V227" i="1"/>
  <c r="AQ226" i="1"/>
  <c r="AP226" i="1"/>
  <c r="AO226" i="1"/>
  <c r="AN226" i="1"/>
  <c r="AM226" i="1"/>
  <c r="AL226" i="1"/>
  <c r="AK226" i="1"/>
  <c r="AJ226" i="1"/>
  <c r="AI226" i="1"/>
  <c r="AH226" i="1"/>
  <c r="AC226" i="1"/>
  <c r="AB226" i="1"/>
  <c r="AA226" i="1"/>
  <c r="Z226" i="1"/>
  <c r="W226" i="1"/>
  <c r="X226" i="1" s="1"/>
  <c r="Y226" i="1" s="1"/>
  <c r="V226" i="1"/>
  <c r="AQ225" i="1"/>
  <c r="AP225" i="1"/>
  <c r="AO225" i="1"/>
  <c r="AN225" i="1"/>
  <c r="AM225" i="1"/>
  <c r="AL225" i="1"/>
  <c r="AK225" i="1"/>
  <c r="AJ225" i="1"/>
  <c r="AI225" i="1"/>
  <c r="AH225" i="1"/>
  <c r="AC225" i="1"/>
  <c r="AB225" i="1"/>
  <c r="AA225" i="1"/>
  <c r="Z225" i="1"/>
  <c r="W225" i="1"/>
  <c r="X225" i="1" s="1"/>
  <c r="Y225" i="1" s="1"/>
  <c r="V225" i="1"/>
  <c r="AQ224" i="1"/>
  <c r="AP224" i="1"/>
  <c r="AO224" i="1"/>
  <c r="AN224" i="1"/>
  <c r="AM224" i="1"/>
  <c r="AL224" i="1"/>
  <c r="AK224" i="1"/>
  <c r="AJ224" i="1"/>
  <c r="AI224" i="1"/>
  <c r="AH224" i="1"/>
  <c r="AC224" i="1"/>
  <c r="AB224" i="1"/>
  <c r="AA224" i="1"/>
  <c r="Z224" i="1"/>
  <c r="W224" i="1"/>
  <c r="X224" i="1" s="1"/>
  <c r="Y224" i="1" s="1"/>
  <c r="V224" i="1"/>
  <c r="AQ223" i="1"/>
  <c r="AP223" i="1"/>
  <c r="AO223" i="1"/>
  <c r="AN223" i="1"/>
  <c r="AM223" i="1"/>
  <c r="AL223" i="1"/>
  <c r="AK223" i="1"/>
  <c r="AJ223" i="1"/>
  <c r="AI223" i="1"/>
  <c r="AH223" i="1"/>
  <c r="AC223" i="1"/>
  <c r="AB223" i="1"/>
  <c r="AA223" i="1"/>
  <c r="Z223" i="1"/>
  <c r="W223" i="1"/>
  <c r="X223" i="1" s="1"/>
  <c r="Y223" i="1" s="1"/>
  <c r="V223" i="1"/>
  <c r="AQ222" i="1"/>
  <c r="AP222" i="1"/>
  <c r="AO222" i="1"/>
  <c r="AN222" i="1"/>
  <c r="AM222" i="1"/>
  <c r="AL222" i="1"/>
  <c r="AK222" i="1"/>
  <c r="AJ222" i="1"/>
  <c r="AI222" i="1"/>
  <c r="AH222" i="1"/>
  <c r="AC222" i="1"/>
  <c r="AB222" i="1"/>
  <c r="AA222" i="1"/>
  <c r="Z222" i="1"/>
  <c r="W222" i="1"/>
  <c r="X222" i="1" s="1"/>
  <c r="Y222" i="1" s="1"/>
  <c r="V222" i="1"/>
  <c r="AQ221" i="1"/>
  <c r="AP221" i="1"/>
  <c r="AO221" i="1"/>
  <c r="AN221" i="1"/>
  <c r="AM221" i="1"/>
  <c r="AL221" i="1"/>
  <c r="AK221" i="1"/>
  <c r="AJ221" i="1"/>
  <c r="AI221" i="1"/>
  <c r="AH221" i="1"/>
  <c r="AC221" i="1"/>
  <c r="AB221" i="1"/>
  <c r="AA221" i="1"/>
  <c r="Z221" i="1"/>
  <c r="W221" i="1"/>
  <c r="X221" i="1" s="1"/>
  <c r="Y221" i="1" s="1"/>
  <c r="V221" i="1"/>
  <c r="AQ220" i="1"/>
  <c r="AP220" i="1"/>
  <c r="AO220" i="1"/>
  <c r="AN220" i="1"/>
  <c r="AM220" i="1"/>
  <c r="AL220" i="1"/>
  <c r="AK220" i="1"/>
  <c r="AJ220" i="1"/>
  <c r="AI220" i="1"/>
  <c r="AH220" i="1"/>
  <c r="AC220" i="1"/>
  <c r="AB220" i="1"/>
  <c r="AA220" i="1"/>
  <c r="Z220" i="1"/>
  <c r="W220" i="1"/>
  <c r="X220" i="1" s="1"/>
  <c r="Y220" i="1" s="1"/>
  <c r="V220" i="1"/>
  <c r="AQ219" i="1"/>
  <c r="AP219" i="1"/>
  <c r="AO219" i="1"/>
  <c r="AN219" i="1"/>
  <c r="AM219" i="1"/>
  <c r="AL219" i="1"/>
  <c r="AK219" i="1"/>
  <c r="AJ219" i="1"/>
  <c r="AI219" i="1"/>
  <c r="AH219" i="1"/>
  <c r="AC219" i="1"/>
  <c r="AB219" i="1"/>
  <c r="AA219" i="1"/>
  <c r="Z219" i="1"/>
  <c r="W219" i="1"/>
  <c r="X219" i="1" s="1"/>
  <c r="Y219" i="1" s="1"/>
  <c r="V219" i="1"/>
  <c r="AQ218" i="1"/>
  <c r="AP218" i="1"/>
  <c r="AO218" i="1"/>
  <c r="AN218" i="1"/>
  <c r="AM218" i="1"/>
  <c r="AL218" i="1"/>
  <c r="AK218" i="1"/>
  <c r="AJ218" i="1"/>
  <c r="AI218" i="1"/>
  <c r="AH218" i="1"/>
  <c r="AC218" i="1"/>
  <c r="AB218" i="1"/>
  <c r="AA218" i="1"/>
  <c r="Z218" i="1"/>
  <c r="W218" i="1"/>
  <c r="X218" i="1" s="1"/>
  <c r="Y218" i="1" s="1"/>
  <c r="V218" i="1"/>
  <c r="AQ217" i="1"/>
  <c r="AP217" i="1"/>
  <c r="AO217" i="1"/>
  <c r="AN217" i="1"/>
  <c r="AM217" i="1"/>
  <c r="AL217" i="1"/>
  <c r="AK217" i="1"/>
  <c r="AJ217" i="1"/>
  <c r="AI217" i="1"/>
  <c r="AH217" i="1"/>
  <c r="AC217" i="1"/>
  <c r="AB217" i="1"/>
  <c r="AA217" i="1"/>
  <c r="Z217" i="1"/>
  <c r="W217" i="1"/>
  <c r="X217" i="1" s="1"/>
  <c r="Y217" i="1" s="1"/>
  <c r="V217" i="1"/>
  <c r="AQ216" i="1"/>
  <c r="AP216" i="1"/>
  <c r="AO216" i="1"/>
  <c r="AN216" i="1"/>
  <c r="AM216" i="1"/>
  <c r="AL216" i="1"/>
  <c r="AK216" i="1"/>
  <c r="AJ216" i="1"/>
  <c r="AI216" i="1"/>
  <c r="AH216" i="1"/>
  <c r="AC216" i="1"/>
  <c r="AB216" i="1"/>
  <c r="AA216" i="1"/>
  <c r="Z216" i="1"/>
  <c r="W216" i="1"/>
  <c r="X216" i="1" s="1"/>
  <c r="Y216" i="1" s="1"/>
  <c r="V216" i="1"/>
  <c r="AQ215" i="1"/>
  <c r="AP215" i="1"/>
  <c r="AO215" i="1"/>
  <c r="AN215" i="1"/>
  <c r="AM215" i="1"/>
  <c r="AL215" i="1"/>
  <c r="AK215" i="1"/>
  <c r="AJ215" i="1"/>
  <c r="AI215" i="1"/>
  <c r="AH215" i="1"/>
  <c r="AC215" i="1"/>
  <c r="AB215" i="1"/>
  <c r="AA215" i="1"/>
  <c r="Z215" i="1"/>
  <c r="W215" i="1"/>
  <c r="X215" i="1" s="1"/>
  <c r="Y215" i="1" s="1"/>
  <c r="V215" i="1"/>
  <c r="AQ214" i="1"/>
  <c r="AP214" i="1"/>
  <c r="AO214" i="1"/>
  <c r="AN214" i="1"/>
  <c r="AM214" i="1"/>
  <c r="AL214" i="1"/>
  <c r="AK214" i="1"/>
  <c r="AJ214" i="1"/>
  <c r="AI214" i="1"/>
  <c r="AH214" i="1"/>
  <c r="AC214" i="1"/>
  <c r="AB214" i="1"/>
  <c r="AA214" i="1"/>
  <c r="Z214" i="1"/>
  <c r="W214" i="1"/>
  <c r="X214" i="1" s="1"/>
  <c r="Y214" i="1" s="1"/>
  <c r="V214" i="1"/>
  <c r="AQ213" i="1"/>
  <c r="AP213" i="1"/>
  <c r="AO213" i="1"/>
  <c r="AN213" i="1"/>
  <c r="AM213" i="1"/>
  <c r="AL213" i="1"/>
  <c r="AK213" i="1"/>
  <c r="AJ213" i="1"/>
  <c r="AI213" i="1"/>
  <c r="AH213" i="1"/>
  <c r="AC213" i="1"/>
  <c r="AB213" i="1"/>
  <c r="AA213" i="1"/>
  <c r="Z213" i="1"/>
  <c r="W213" i="1"/>
  <c r="X213" i="1" s="1"/>
  <c r="Y213" i="1" s="1"/>
  <c r="V213" i="1"/>
  <c r="AQ212" i="1"/>
  <c r="AP212" i="1"/>
  <c r="AO212" i="1"/>
  <c r="AN212" i="1"/>
  <c r="AM212" i="1"/>
  <c r="AL212" i="1"/>
  <c r="AK212" i="1"/>
  <c r="AJ212" i="1"/>
  <c r="AI212" i="1"/>
  <c r="AH212" i="1"/>
  <c r="AC212" i="1"/>
  <c r="AB212" i="1"/>
  <c r="AA212" i="1"/>
  <c r="Z212" i="1"/>
  <c r="W212" i="1"/>
  <c r="X212" i="1" s="1"/>
  <c r="Y212" i="1" s="1"/>
  <c r="V212" i="1"/>
  <c r="AQ211" i="1"/>
  <c r="AP211" i="1"/>
  <c r="AO211" i="1"/>
  <c r="AN211" i="1"/>
  <c r="AM211" i="1"/>
  <c r="AL211" i="1"/>
  <c r="AK211" i="1"/>
  <c r="AJ211" i="1"/>
  <c r="AI211" i="1"/>
  <c r="AH211" i="1"/>
  <c r="AC211" i="1"/>
  <c r="AB211" i="1"/>
  <c r="AA211" i="1"/>
  <c r="Z211" i="1"/>
  <c r="W211" i="1"/>
  <c r="X211" i="1" s="1"/>
  <c r="Y211" i="1" s="1"/>
  <c r="V211" i="1"/>
  <c r="AQ210" i="1"/>
  <c r="AP210" i="1"/>
  <c r="AO210" i="1"/>
  <c r="AN210" i="1"/>
  <c r="AM210" i="1"/>
  <c r="AL210" i="1"/>
  <c r="AK210" i="1"/>
  <c r="AJ210" i="1"/>
  <c r="AI210" i="1"/>
  <c r="AH210" i="1"/>
  <c r="AC210" i="1"/>
  <c r="AB210" i="1"/>
  <c r="AA210" i="1"/>
  <c r="Z210" i="1"/>
  <c r="W210" i="1"/>
  <c r="X210" i="1" s="1"/>
  <c r="Y210" i="1" s="1"/>
  <c r="V210" i="1"/>
  <c r="AQ209" i="1"/>
  <c r="AP209" i="1"/>
  <c r="AO209" i="1"/>
  <c r="AN209" i="1"/>
  <c r="AM209" i="1"/>
  <c r="AL209" i="1"/>
  <c r="AK209" i="1"/>
  <c r="AJ209" i="1"/>
  <c r="AI209" i="1"/>
  <c r="AH209" i="1"/>
  <c r="AC209" i="1"/>
  <c r="AB209" i="1"/>
  <c r="AA209" i="1"/>
  <c r="Z209" i="1"/>
  <c r="W209" i="1"/>
  <c r="X209" i="1" s="1"/>
  <c r="Y209" i="1" s="1"/>
  <c r="V209" i="1"/>
  <c r="AQ208" i="1"/>
  <c r="AP208" i="1"/>
  <c r="AO208" i="1"/>
  <c r="AN208" i="1"/>
  <c r="AM208" i="1"/>
  <c r="AL208" i="1"/>
  <c r="AK208" i="1"/>
  <c r="AJ208" i="1"/>
  <c r="AI208" i="1"/>
  <c r="AH208" i="1"/>
  <c r="AC208" i="1"/>
  <c r="AB208" i="1"/>
  <c r="AA208" i="1"/>
  <c r="Z208" i="1"/>
  <c r="W208" i="1"/>
  <c r="X208" i="1" s="1"/>
  <c r="Y208" i="1" s="1"/>
  <c r="V208" i="1"/>
  <c r="AQ207" i="1"/>
  <c r="AP207" i="1"/>
  <c r="AO207" i="1"/>
  <c r="AN207" i="1"/>
  <c r="AM207" i="1"/>
  <c r="AL207" i="1"/>
  <c r="AK207" i="1"/>
  <c r="AJ207" i="1"/>
  <c r="AI207" i="1"/>
  <c r="AH207" i="1"/>
  <c r="AC207" i="1"/>
  <c r="AB207" i="1"/>
  <c r="AA207" i="1"/>
  <c r="Z207" i="1"/>
  <c r="W207" i="1"/>
  <c r="X207" i="1" s="1"/>
  <c r="Y207" i="1" s="1"/>
  <c r="V207" i="1"/>
  <c r="AQ206" i="1"/>
  <c r="AP206" i="1"/>
  <c r="AO206" i="1"/>
  <c r="AN206" i="1"/>
  <c r="AM206" i="1"/>
  <c r="AL206" i="1"/>
  <c r="AK206" i="1"/>
  <c r="AJ206" i="1"/>
  <c r="AI206" i="1"/>
  <c r="AH206" i="1"/>
  <c r="AC206" i="1"/>
  <c r="AB206" i="1"/>
  <c r="AA206" i="1"/>
  <c r="Z206" i="1"/>
  <c r="W206" i="1"/>
  <c r="X206" i="1" s="1"/>
  <c r="Y206" i="1" s="1"/>
  <c r="V206" i="1"/>
  <c r="AQ205" i="1"/>
  <c r="AP205" i="1"/>
  <c r="AO205" i="1"/>
  <c r="AN205" i="1"/>
  <c r="AM205" i="1"/>
  <c r="AL205" i="1"/>
  <c r="AK205" i="1"/>
  <c r="AJ205" i="1"/>
  <c r="AI205" i="1"/>
  <c r="AH205" i="1"/>
  <c r="AC205" i="1"/>
  <c r="AB205" i="1"/>
  <c r="AA205" i="1"/>
  <c r="Z205" i="1"/>
  <c r="W205" i="1"/>
  <c r="X205" i="1" s="1"/>
  <c r="Y205" i="1" s="1"/>
  <c r="V205" i="1"/>
  <c r="AQ204" i="1"/>
  <c r="AP204" i="1"/>
  <c r="AO204" i="1"/>
  <c r="AN204" i="1"/>
  <c r="AM204" i="1"/>
  <c r="AL204" i="1"/>
  <c r="AK204" i="1"/>
  <c r="AJ204" i="1"/>
  <c r="AI204" i="1"/>
  <c r="AH204" i="1"/>
  <c r="AC204" i="1"/>
  <c r="AB204" i="1"/>
  <c r="AA204" i="1"/>
  <c r="Z204" i="1"/>
  <c r="W204" i="1"/>
  <c r="X204" i="1" s="1"/>
  <c r="Y204" i="1" s="1"/>
  <c r="V204" i="1"/>
  <c r="AQ203" i="1"/>
  <c r="AP203" i="1"/>
  <c r="AO203" i="1"/>
  <c r="AN203" i="1"/>
  <c r="AM203" i="1"/>
  <c r="AL203" i="1"/>
  <c r="AK203" i="1"/>
  <c r="AJ203" i="1"/>
  <c r="AI203" i="1"/>
  <c r="AH203" i="1"/>
  <c r="AC203" i="1"/>
  <c r="AB203" i="1"/>
  <c r="AA203" i="1"/>
  <c r="Z203" i="1"/>
  <c r="W203" i="1"/>
  <c r="X203" i="1" s="1"/>
  <c r="Y203" i="1" s="1"/>
  <c r="V203" i="1"/>
  <c r="AQ202" i="1"/>
  <c r="AP202" i="1"/>
  <c r="AO202" i="1"/>
  <c r="AN202" i="1"/>
  <c r="AM202" i="1"/>
  <c r="AL202" i="1"/>
  <c r="AK202" i="1"/>
  <c r="AJ202" i="1"/>
  <c r="AI202" i="1"/>
  <c r="AH202" i="1"/>
  <c r="AC202" i="1"/>
  <c r="AB202" i="1"/>
  <c r="AA202" i="1"/>
  <c r="Z202" i="1"/>
  <c r="W202" i="1"/>
  <c r="X202" i="1" s="1"/>
  <c r="Y202" i="1" s="1"/>
  <c r="V202" i="1"/>
  <c r="AQ201" i="1"/>
  <c r="AP201" i="1"/>
  <c r="AN201" i="1"/>
  <c r="AM201" i="1"/>
  <c r="AL201" i="1"/>
  <c r="AK201" i="1"/>
  <c r="AJ201" i="1"/>
  <c r="AI201" i="1"/>
  <c r="AH201" i="1"/>
  <c r="AC201" i="1"/>
  <c r="AB201" i="1"/>
  <c r="AA201" i="1"/>
  <c r="Z201" i="1"/>
  <c r="W201" i="1"/>
  <c r="X201" i="1" s="1"/>
  <c r="Y201" i="1" s="1"/>
  <c r="V201" i="1"/>
  <c r="AQ200" i="1"/>
  <c r="AP200" i="1"/>
  <c r="AO200" i="1"/>
  <c r="AN200" i="1"/>
  <c r="AM200" i="1"/>
  <c r="AL200" i="1"/>
  <c r="AK200" i="1"/>
  <c r="AJ200" i="1"/>
  <c r="AI200" i="1"/>
  <c r="AH200" i="1"/>
  <c r="AC200" i="1"/>
  <c r="AB200" i="1"/>
  <c r="AA200" i="1"/>
  <c r="Z200" i="1"/>
  <c r="W200" i="1"/>
  <c r="X200" i="1" s="1"/>
  <c r="Y200" i="1" s="1"/>
  <c r="V200" i="1"/>
  <c r="AQ199" i="1"/>
  <c r="AP199" i="1"/>
  <c r="AO199" i="1"/>
  <c r="AN199" i="1"/>
  <c r="AM199" i="1"/>
  <c r="AL199" i="1"/>
  <c r="AK199" i="1"/>
  <c r="AJ199" i="1"/>
  <c r="AI199" i="1"/>
  <c r="AH199" i="1"/>
  <c r="AC199" i="1"/>
  <c r="AB199" i="1"/>
  <c r="AA199" i="1"/>
  <c r="Z199" i="1"/>
  <c r="W199" i="1"/>
  <c r="X199" i="1" s="1"/>
  <c r="Y199" i="1" s="1"/>
  <c r="V199" i="1"/>
  <c r="AQ198" i="1"/>
  <c r="AP198" i="1"/>
  <c r="AO198" i="1"/>
  <c r="AN198" i="1"/>
  <c r="AM198" i="1"/>
  <c r="AL198" i="1"/>
  <c r="AK198" i="1"/>
  <c r="AJ198" i="1"/>
  <c r="AI198" i="1"/>
  <c r="AH198" i="1"/>
  <c r="AC198" i="1"/>
  <c r="AB198" i="1"/>
  <c r="AA198" i="1"/>
  <c r="Z198" i="1"/>
  <c r="W198" i="1"/>
  <c r="X198" i="1" s="1"/>
  <c r="Y198" i="1" s="1"/>
  <c r="V198" i="1"/>
  <c r="AQ197" i="1"/>
  <c r="AP197" i="1"/>
  <c r="AO197" i="1"/>
  <c r="AN197" i="1"/>
  <c r="AM197" i="1"/>
  <c r="AL197" i="1"/>
  <c r="AK197" i="1"/>
  <c r="AJ197" i="1"/>
  <c r="AI197" i="1"/>
  <c r="AH197" i="1"/>
  <c r="AC197" i="1"/>
  <c r="AB197" i="1"/>
  <c r="AA197" i="1"/>
  <c r="Z197" i="1"/>
  <c r="W197" i="1"/>
  <c r="X197" i="1" s="1"/>
  <c r="Y197" i="1" s="1"/>
  <c r="V197" i="1"/>
  <c r="AQ196" i="1"/>
  <c r="AP196" i="1"/>
  <c r="AO196" i="1"/>
  <c r="AN196" i="1"/>
  <c r="AM196" i="1"/>
  <c r="AL196" i="1"/>
  <c r="AK196" i="1"/>
  <c r="AJ196" i="1"/>
  <c r="AI196" i="1"/>
  <c r="AH196" i="1"/>
  <c r="AC196" i="1"/>
  <c r="AB196" i="1"/>
  <c r="AA196" i="1"/>
  <c r="Z196" i="1"/>
  <c r="W196" i="1"/>
  <c r="X196" i="1" s="1"/>
  <c r="Y196" i="1" s="1"/>
  <c r="V196" i="1"/>
  <c r="AQ195" i="1"/>
  <c r="AP195" i="1"/>
  <c r="AO195" i="1"/>
  <c r="AN195" i="1"/>
  <c r="AM195" i="1"/>
  <c r="AL195" i="1"/>
  <c r="AK195" i="1"/>
  <c r="AJ195" i="1"/>
  <c r="AI195" i="1"/>
  <c r="AH195" i="1"/>
  <c r="AC195" i="1"/>
  <c r="AB195" i="1"/>
  <c r="AA195" i="1"/>
  <c r="Z195" i="1"/>
  <c r="W195" i="1"/>
  <c r="X195" i="1" s="1"/>
  <c r="Y195" i="1" s="1"/>
  <c r="V195" i="1"/>
  <c r="AQ194" i="1"/>
  <c r="AP194" i="1"/>
  <c r="AO194" i="1"/>
  <c r="AN194" i="1"/>
  <c r="AM194" i="1"/>
  <c r="AL194" i="1"/>
  <c r="AK194" i="1"/>
  <c r="AJ194" i="1"/>
  <c r="AI194" i="1"/>
  <c r="AH194" i="1"/>
  <c r="AC194" i="1"/>
  <c r="AB194" i="1"/>
  <c r="AA194" i="1"/>
  <c r="Z194" i="1"/>
  <c r="W194" i="1"/>
  <c r="X194" i="1" s="1"/>
  <c r="Y194" i="1" s="1"/>
  <c r="V194" i="1"/>
  <c r="AQ193" i="1"/>
  <c r="AP193" i="1"/>
  <c r="AO193" i="1"/>
  <c r="AN193" i="1"/>
  <c r="AM193" i="1"/>
  <c r="AL193" i="1"/>
  <c r="AK193" i="1"/>
  <c r="AJ193" i="1"/>
  <c r="AI193" i="1"/>
  <c r="AH193" i="1"/>
  <c r="AC193" i="1"/>
  <c r="AB193" i="1"/>
  <c r="AA193" i="1"/>
  <c r="Z193" i="1"/>
  <c r="W193" i="1"/>
  <c r="X193" i="1" s="1"/>
  <c r="Y193" i="1" s="1"/>
  <c r="V193" i="1"/>
  <c r="AQ192" i="1"/>
  <c r="AP192" i="1"/>
  <c r="AO192" i="1"/>
  <c r="AN192" i="1"/>
  <c r="AM192" i="1"/>
  <c r="AL192" i="1"/>
  <c r="AK192" i="1"/>
  <c r="AJ192" i="1"/>
  <c r="AI192" i="1"/>
  <c r="AH192" i="1"/>
  <c r="AC192" i="1"/>
  <c r="AB192" i="1"/>
  <c r="AA192" i="1"/>
  <c r="Z192" i="1"/>
  <c r="W192" i="1"/>
  <c r="X192" i="1" s="1"/>
  <c r="Y192" i="1" s="1"/>
  <c r="V192" i="1"/>
  <c r="AQ191" i="1"/>
  <c r="AP191" i="1"/>
  <c r="AO191" i="1"/>
  <c r="AN191" i="1"/>
  <c r="AM191" i="1"/>
  <c r="AL191" i="1"/>
  <c r="AK191" i="1"/>
  <c r="AJ191" i="1"/>
  <c r="AI191" i="1"/>
  <c r="AH191" i="1"/>
  <c r="AC191" i="1"/>
  <c r="AB191" i="1"/>
  <c r="AA191" i="1"/>
  <c r="Z191" i="1"/>
  <c r="W191" i="1"/>
  <c r="X191" i="1" s="1"/>
  <c r="Y191" i="1" s="1"/>
  <c r="V191" i="1"/>
  <c r="AQ190" i="1"/>
  <c r="AP190" i="1"/>
  <c r="AO190" i="1"/>
  <c r="AN190" i="1"/>
  <c r="AM190" i="1"/>
  <c r="AL190" i="1"/>
  <c r="AK190" i="1"/>
  <c r="AJ190" i="1"/>
  <c r="AI190" i="1"/>
  <c r="AH190" i="1"/>
  <c r="AC190" i="1"/>
  <c r="AB190" i="1"/>
  <c r="AA190" i="1"/>
  <c r="Z190" i="1"/>
  <c r="W190" i="1"/>
  <c r="X190" i="1" s="1"/>
  <c r="Y190" i="1" s="1"/>
  <c r="V190" i="1"/>
  <c r="AQ189" i="1"/>
  <c r="AP189" i="1"/>
  <c r="AO189" i="1"/>
  <c r="AN189" i="1"/>
  <c r="AM189" i="1"/>
  <c r="AL189" i="1"/>
  <c r="AK189" i="1"/>
  <c r="AJ189" i="1"/>
  <c r="AI189" i="1"/>
  <c r="AH189" i="1"/>
  <c r="AC189" i="1"/>
  <c r="AB189" i="1"/>
  <c r="AA189" i="1"/>
  <c r="Z189" i="1"/>
  <c r="W189" i="1"/>
  <c r="X189" i="1" s="1"/>
  <c r="Y189" i="1" s="1"/>
  <c r="V189" i="1"/>
  <c r="AQ188" i="1"/>
  <c r="AP188" i="1"/>
  <c r="AO188" i="1"/>
  <c r="AN188" i="1"/>
  <c r="AM188" i="1"/>
  <c r="AL188" i="1"/>
  <c r="AK188" i="1"/>
  <c r="AJ188" i="1"/>
  <c r="AI188" i="1"/>
  <c r="AH188" i="1"/>
  <c r="AC188" i="1"/>
  <c r="AB188" i="1"/>
  <c r="AA188" i="1"/>
  <c r="Z188" i="1"/>
  <c r="W188" i="1"/>
  <c r="X188" i="1" s="1"/>
  <c r="Y188" i="1" s="1"/>
  <c r="V188" i="1"/>
  <c r="AQ187" i="1"/>
  <c r="AP187" i="1"/>
  <c r="AO187" i="1"/>
  <c r="AN187" i="1"/>
  <c r="AM187" i="1"/>
  <c r="AL187" i="1"/>
  <c r="AK187" i="1"/>
  <c r="AI187" i="1"/>
  <c r="AH187" i="1"/>
  <c r="AC187" i="1"/>
  <c r="AB187" i="1"/>
  <c r="AA187" i="1"/>
  <c r="Z187" i="1"/>
  <c r="W187" i="1"/>
  <c r="X187" i="1" s="1"/>
  <c r="Y187" i="1" s="1"/>
  <c r="V187" i="1"/>
  <c r="AQ186" i="1"/>
  <c r="AP186" i="1"/>
  <c r="AO186" i="1"/>
  <c r="AN186" i="1"/>
  <c r="AM186" i="1"/>
  <c r="AL186" i="1"/>
  <c r="AK186" i="1"/>
  <c r="AJ186" i="1"/>
  <c r="AI186" i="1"/>
  <c r="AH186" i="1"/>
  <c r="AC186" i="1"/>
  <c r="AB186" i="1"/>
  <c r="AA186" i="1"/>
  <c r="Z186" i="1"/>
  <c r="W186" i="1"/>
  <c r="X186" i="1" s="1"/>
  <c r="Y186" i="1" s="1"/>
  <c r="V186" i="1"/>
  <c r="AQ185" i="1"/>
  <c r="AP185" i="1"/>
  <c r="AO185" i="1"/>
  <c r="AN185" i="1"/>
  <c r="AM185" i="1"/>
  <c r="AL185" i="1"/>
  <c r="AK185" i="1"/>
  <c r="AJ185" i="1"/>
  <c r="AI185" i="1"/>
  <c r="AH185" i="1"/>
  <c r="AC185" i="1"/>
  <c r="AB185" i="1"/>
  <c r="AA185" i="1"/>
  <c r="Z185" i="1"/>
  <c r="W185" i="1"/>
  <c r="X185" i="1" s="1"/>
  <c r="Y185" i="1" s="1"/>
  <c r="V185" i="1"/>
  <c r="AQ184" i="1"/>
  <c r="AP184" i="1"/>
  <c r="AO184" i="1"/>
  <c r="AN184" i="1"/>
  <c r="AM184" i="1"/>
  <c r="AL184" i="1"/>
  <c r="AK184" i="1"/>
  <c r="AJ184" i="1"/>
  <c r="AI184" i="1"/>
  <c r="AH184" i="1"/>
  <c r="AC184" i="1"/>
  <c r="AB184" i="1"/>
  <c r="AA184" i="1"/>
  <c r="Z184" i="1"/>
  <c r="W184" i="1"/>
  <c r="X184" i="1" s="1"/>
  <c r="Y184" i="1" s="1"/>
  <c r="V184" i="1"/>
  <c r="AQ183" i="1"/>
  <c r="AP183" i="1"/>
  <c r="AO183" i="1"/>
  <c r="AN183" i="1"/>
  <c r="AM183" i="1"/>
  <c r="AL183" i="1"/>
  <c r="AK183" i="1"/>
  <c r="AJ183" i="1"/>
  <c r="AI183" i="1"/>
  <c r="AH183" i="1"/>
  <c r="AC183" i="1"/>
  <c r="AB183" i="1"/>
  <c r="AA183" i="1"/>
  <c r="Z183" i="1"/>
  <c r="W183" i="1"/>
  <c r="X183" i="1" s="1"/>
  <c r="Y183" i="1" s="1"/>
  <c r="V183" i="1"/>
  <c r="AQ182" i="1"/>
  <c r="AP182" i="1"/>
  <c r="AO182" i="1"/>
  <c r="AN182" i="1"/>
  <c r="AM182" i="1"/>
  <c r="AL182" i="1"/>
  <c r="AK182" i="1"/>
  <c r="AJ182" i="1"/>
  <c r="AI182" i="1"/>
  <c r="AH182" i="1"/>
  <c r="AC182" i="1"/>
  <c r="AB182" i="1"/>
  <c r="AA182" i="1"/>
  <c r="Z182" i="1"/>
  <c r="W182" i="1"/>
  <c r="X182" i="1" s="1"/>
  <c r="Y182" i="1" s="1"/>
  <c r="V182" i="1"/>
  <c r="AQ181" i="1"/>
  <c r="AP181" i="1"/>
  <c r="AO181" i="1"/>
  <c r="AN181" i="1"/>
  <c r="AM181" i="1"/>
  <c r="AL181" i="1"/>
  <c r="AK181" i="1"/>
  <c r="AJ181" i="1"/>
  <c r="AI181" i="1"/>
  <c r="AH181" i="1"/>
  <c r="AC181" i="1"/>
  <c r="AB181" i="1"/>
  <c r="AA181" i="1"/>
  <c r="Z181" i="1"/>
  <c r="W181" i="1"/>
  <c r="X181" i="1" s="1"/>
  <c r="Y181" i="1" s="1"/>
  <c r="V181" i="1"/>
  <c r="AQ180" i="1"/>
  <c r="AP180" i="1"/>
  <c r="AO180" i="1"/>
  <c r="AN180" i="1"/>
  <c r="AM180" i="1"/>
  <c r="AL180" i="1"/>
  <c r="AK180" i="1"/>
  <c r="AJ180" i="1"/>
  <c r="AI180" i="1"/>
  <c r="AH180" i="1"/>
  <c r="AC180" i="1"/>
  <c r="AB180" i="1"/>
  <c r="AA180" i="1"/>
  <c r="Z180" i="1"/>
  <c r="W180" i="1"/>
  <c r="X180" i="1" s="1"/>
  <c r="Y180" i="1" s="1"/>
  <c r="V180" i="1"/>
  <c r="AQ179" i="1"/>
  <c r="AP179" i="1"/>
  <c r="AO179" i="1"/>
  <c r="AN179" i="1"/>
  <c r="AM179" i="1"/>
  <c r="AL179" i="1"/>
  <c r="AK179" i="1"/>
  <c r="AI179" i="1"/>
  <c r="AH179" i="1"/>
  <c r="AC179" i="1"/>
  <c r="AB179" i="1"/>
  <c r="AA179" i="1"/>
  <c r="Z179" i="1"/>
  <c r="W179" i="1"/>
  <c r="X179" i="1" s="1"/>
  <c r="Y179" i="1" s="1"/>
  <c r="V179" i="1"/>
  <c r="AQ178" i="1"/>
  <c r="AP178" i="1"/>
  <c r="AO178" i="1"/>
  <c r="AN178" i="1"/>
  <c r="AM178" i="1"/>
  <c r="AL178" i="1"/>
  <c r="AK178" i="1"/>
  <c r="AJ178" i="1"/>
  <c r="AI178" i="1"/>
  <c r="AH178" i="1"/>
  <c r="AC178" i="1"/>
  <c r="AB178" i="1"/>
  <c r="AA178" i="1"/>
  <c r="Z178" i="1"/>
  <c r="W178" i="1"/>
  <c r="X178" i="1" s="1"/>
  <c r="Y178" i="1" s="1"/>
  <c r="V178" i="1"/>
  <c r="AQ177" i="1"/>
  <c r="AP177" i="1"/>
  <c r="AO177" i="1"/>
  <c r="AN177" i="1"/>
  <c r="AM177" i="1"/>
  <c r="AL177" i="1"/>
  <c r="AK177" i="1"/>
  <c r="AJ177" i="1"/>
  <c r="AI177" i="1"/>
  <c r="AH177" i="1"/>
  <c r="AC177" i="1"/>
  <c r="AB177" i="1"/>
  <c r="AA177" i="1"/>
  <c r="Z177" i="1"/>
  <c r="W177" i="1"/>
  <c r="X177" i="1" s="1"/>
  <c r="Y177" i="1" s="1"/>
  <c r="V177" i="1"/>
  <c r="AQ176" i="1"/>
  <c r="AP176" i="1"/>
  <c r="AO176" i="1"/>
  <c r="AN176" i="1"/>
  <c r="AM176" i="1"/>
  <c r="AL176" i="1"/>
  <c r="AK176" i="1"/>
  <c r="AJ176" i="1"/>
  <c r="AI176" i="1"/>
  <c r="AH176" i="1"/>
  <c r="AC176" i="1"/>
  <c r="AB176" i="1"/>
  <c r="AA176" i="1"/>
  <c r="Z176" i="1"/>
  <c r="W176" i="1"/>
  <c r="X176" i="1" s="1"/>
  <c r="Y176" i="1" s="1"/>
  <c r="V176" i="1"/>
  <c r="AQ175" i="1"/>
  <c r="AP175" i="1"/>
  <c r="AO175" i="1"/>
  <c r="AN175" i="1"/>
  <c r="AM175" i="1"/>
  <c r="AL175" i="1"/>
  <c r="AK175" i="1"/>
  <c r="AJ175" i="1"/>
  <c r="AI175" i="1"/>
  <c r="AH175" i="1"/>
  <c r="AC175" i="1"/>
  <c r="AB175" i="1"/>
  <c r="AA175" i="1"/>
  <c r="Z175" i="1"/>
  <c r="W175" i="1"/>
  <c r="X175" i="1" s="1"/>
  <c r="Y175" i="1" s="1"/>
  <c r="V175" i="1"/>
  <c r="AQ174" i="1"/>
  <c r="AP174" i="1"/>
  <c r="AO174" i="1"/>
  <c r="AN174" i="1"/>
  <c r="AM174" i="1"/>
  <c r="AL174" i="1"/>
  <c r="AK174" i="1"/>
  <c r="AJ174" i="1"/>
  <c r="AI174" i="1"/>
  <c r="AH174" i="1"/>
  <c r="AC174" i="1"/>
  <c r="AB174" i="1"/>
  <c r="AA174" i="1"/>
  <c r="Z174" i="1"/>
  <c r="W174" i="1"/>
  <c r="X174" i="1" s="1"/>
  <c r="Y174" i="1" s="1"/>
  <c r="V174" i="1"/>
  <c r="AQ173" i="1"/>
  <c r="AP173" i="1"/>
  <c r="AO173" i="1"/>
  <c r="AN173" i="1"/>
  <c r="AM173" i="1"/>
  <c r="AL173" i="1"/>
  <c r="AK173" i="1"/>
  <c r="AJ173" i="1"/>
  <c r="AI173" i="1"/>
  <c r="AH173" i="1"/>
  <c r="AC173" i="1"/>
  <c r="AB173" i="1"/>
  <c r="AA173" i="1"/>
  <c r="Z173" i="1"/>
  <c r="W173" i="1"/>
  <c r="X173" i="1" s="1"/>
  <c r="Y173" i="1" s="1"/>
  <c r="V173" i="1"/>
  <c r="AQ172" i="1"/>
  <c r="AP172" i="1"/>
  <c r="AO172" i="1"/>
  <c r="AN172" i="1"/>
  <c r="AM172" i="1"/>
  <c r="AL172" i="1"/>
  <c r="AK172" i="1"/>
  <c r="AJ172" i="1"/>
  <c r="AI172" i="1"/>
  <c r="AH172" i="1"/>
  <c r="AC172" i="1"/>
  <c r="AB172" i="1"/>
  <c r="AA172" i="1"/>
  <c r="Z172" i="1"/>
  <c r="W172" i="1"/>
  <c r="X172" i="1" s="1"/>
  <c r="Y172" i="1" s="1"/>
  <c r="V172" i="1"/>
  <c r="AQ171" i="1"/>
  <c r="AP171" i="1"/>
  <c r="AO171" i="1"/>
  <c r="AN171" i="1"/>
  <c r="AM171" i="1"/>
  <c r="AL171" i="1"/>
  <c r="AK171" i="1"/>
  <c r="AJ171" i="1"/>
  <c r="AI171" i="1"/>
  <c r="AH171" i="1"/>
  <c r="AC171" i="1"/>
  <c r="AB171" i="1"/>
  <c r="AA171" i="1"/>
  <c r="Z171" i="1"/>
  <c r="W171" i="1"/>
  <c r="X171" i="1" s="1"/>
  <c r="Y171" i="1" s="1"/>
  <c r="V171" i="1"/>
  <c r="AQ170" i="1"/>
  <c r="AP170" i="1"/>
  <c r="AO170" i="1"/>
  <c r="AN170" i="1"/>
  <c r="AM170" i="1"/>
  <c r="AL170" i="1"/>
  <c r="AK170" i="1"/>
  <c r="AJ170" i="1"/>
  <c r="AI170" i="1"/>
  <c r="AH170" i="1"/>
  <c r="AC170" i="1"/>
  <c r="AB170" i="1"/>
  <c r="AA170" i="1"/>
  <c r="Z170" i="1"/>
  <c r="W170" i="1"/>
  <c r="X170" i="1" s="1"/>
  <c r="Y170" i="1" s="1"/>
  <c r="V170" i="1"/>
  <c r="AQ169" i="1"/>
  <c r="AP169" i="1"/>
  <c r="AO169" i="1"/>
  <c r="AN169" i="1"/>
  <c r="AM169" i="1"/>
  <c r="AL169" i="1"/>
  <c r="AK169" i="1"/>
  <c r="AJ169" i="1"/>
  <c r="AI169" i="1"/>
  <c r="AH169" i="1"/>
  <c r="AC169" i="1"/>
  <c r="AB169" i="1"/>
  <c r="AA169" i="1"/>
  <c r="Z169" i="1"/>
  <c r="W169" i="1"/>
  <c r="X169" i="1" s="1"/>
  <c r="Y169" i="1" s="1"/>
  <c r="V169" i="1"/>
  <c r="AQ168" i="1"/>
  <c r="AP168" i="1"/>
  <c r="AO168" i="1"/>
  <c r="AN168" i="1"/>
  <c r="AM168" i="1"/>
  <c r="AL168" i="1"/>
  <c r="AK168" i="1"/>
  <c r="AJ168" i="1"/>
  <c r="AI168" i="1"/>
  <c r="AH168" i="1"/>
  <c r="AC168" i="1"/>
  <c r="AB168" i="1"/>
  <c r="AA168" i="1"/>
  <c r="Z168" i="1"/>
  <c r="W168" i="1"/>
  <c r="X168" i="1" s="1"/>
  <c r="Y168" i="1" s="1"/>
  <c r="V168" i="1"/>
  <c r="AQ167" i="1"/>
  <c r="AP167" i="1"/>
  <c r="AO167" i="1"/>
  <c r="AN167" i="1"/>
  <c r="AM167" i="1"/>
  <c r="AL167" i="1"/>
  <c r="AK167" i="1"/>
  <c r="AJ167" i="1"/>
  <c r="AI167" i="1"/>
  <c r="AH167" i="1"/>
  <c r="AC167" i="1"/>
  <c r="AB167" i="1"/>
  <c r="AA167" i="1"/>
  <c r="Z167" i="1"/>
  <c r="W167" i="1"/>
  <c r="X167" i="1" s="1"/>
  <c r="Y167" i="1" s="1"/>
  <c r="V167" i="1"/>
  <c r="AQ166" i="1"/>
  <c r="AP166" i="1"/>
  <c r="AO166" i="1"/>
  <c r="AN166" i="1"/>
  <c r="AM166" i="1"/>
  <c r="AL166" i="1"/>
  <c r="AK166" i="1"/>
  <c r="AJ166" i="1"/>
  <c r="AI166" i="1"/>
  <c r="AH166" i="1"/>
  <c r="AC166" i="1"/>
  <c r="AB166" i="1"/>
  <c r="AA166" i="1"/>
  <c r="Z166" i="1"/>
  <c r="W166" i="1"/>
  <c r="X166" i="1" s="1"/>
  <c r="Y166" i="1" s="1"/>
  <c r="V166" i="1"/>
  <c r="AQ165" i="1"/>
  <c r="AP165" i="1"/>
  <c r="AN165" i="1"/>
  <c r="AM165" i="1"/>
  <c r="AL165" i="1"/>
  <c r="AK165" i="1"/>
  <c r="AJ165" i="1"/>
  <c r="AI165" i="1"/>
  <c r="AH165" i="1"/>
  <c r="AC165" i="1"/>
  <c r="AB165" i="1"/>
  <c r="AA165" i="1"/>
  <c r="Z165" i="1"/>
  <c r="W165" i="1"/>
  <c r="X165" i="1" s="1"/>
  <c r="Y165" i="1" s="1"/>
  <c r="V165" i="1"/>
  <c r="AQ164" i="1"/>
  <c r="AP164" i="1"/>
  <c r="AO164" i="1"/>
  <c r="AN164" i="1"/>
  <c r="AM164" i="1"/>
  <c r="AL164" i="1"/>
  <c r="AK164" i="1"/>
  <c r="AJ164" i="1"/>
  <c r="AI164" i="1"/>
  <c r="AH164" i="1"/>
  <c r="AC164" i="1"/>
  <c r="AB164" i="1"/>
  <c r="AA164" i="1"/>
  <c r="Z164" i="1"/>
  <c r="W164" i="1"/>
  <c r="X164" i="1" s="1"/>
  <c r="Y164" i="1" s="1"/>
  <c r="V164" i="1"/>
  <c r="AQ163" i="1"/>
  <c r="AP163" i="1"/>
  <c r="AO163" i="1"/>
  <c r="AN163" i="1"/>
  <c r="AM163" i="1"/>
  <c r="AL163" i="1"/>
  <c r="AK163" i="1"/>
  <c r="AJ163" i="1"/>
  <c r="AI163" i="1"/>
  <c r="AH163" i="1"/>
  <c r="AC163" i="1"/>
  <c r="AB163" i="1"/>
  <c r="AA163" i="1"/>
  <c r="Z163" i="1"/>
  <c r="W163" i="1"/>
  <c r="X163" i="1" s="1"/>
  <c r="Y163" i="1" s="1"/>
  <c r="V163" i="1"/>
  <c r="AQ162" i="1"/>
  <c r="AP162" i="1"/>
  <c r="AO162" i="1"/>
  <c r="AN162" i="1"/>
  <c r="AM162" i="1"/>
  <c r="AL162" i="1"/>
  <c r="AK162" i="1"/>
  <c r="AJ162" i="1"/>
  <c r="AI162" i="1"/>
  <c r="AH162" i="1"/>
  <c r="AC162" i="1"/>
  <c r="AB162" i="1"/>
  <c r="AA162" i="1"/>
  <c r="Z162" i="1"/>
  <c r="W162" i="1"/>
  <c r="X162" i="1" s="1"/>
  <c r="Y162" i="1" s="1"/>
  <c r="V162" i="1"/>
  <c r="AQ161" i="1"/>
  <c r="AP161" i="1"/>
  <c r="AO161" i="1"/>
  <c r="AN161" i="1"/>
  <c r="AM161" i="1"/>
  <c r="AL161" i="1"/>
  <c r="AK161" i="1"/>
  <c r="AJ161" i="1"/>
  <c r="AI161" i="1"/>
  <c r="AH161" i="1"/>
  <c r="AC161" i="1"/>
  <c r="AB161" i="1"/>
  <c r="AA161" i="1"/>
  <c r="Z161" i="1"/>
  <c r="W161" i="1"/>
  <c r="X161" i="1" s="1"/>
  <c r="Y161" i="1" s="1"/>
  <c r="V161" i="1"/>
  <c r="AQ160" i="1"/>
  <c r="AP160" i="1"/>
  <c r="AO160" i="1"/>
  <c r="AN160" i="1"/>
  <c r="AM160" i="1"/>
  <c r="AL160" i="1"/>
  <c r="AK160" i="1"/>
  <c r="AJ160" i="1"/>
  <c r="AI160" i="1"/>
  <c r="AH160" i="1"/>
  <c r="AC160" i="1"/>
  <c r="AB160" i="1"/>
  <c r="AA160" i="1"/>
  <c r="Z160" i="1"/>
  <c r="W160" i="1"/>
  <c r="X160" i="1" s="1"/>
  <c r="Y160" i="1" s="1"/>
  <c r="V160" i="1"/>
  <c r="AQ159" i="1"/>
  <c r="AP159" i="1"/>
  <c r="AO159" i="1"/>
  <c r="AN159" i="1"/>
  <c r="AM159" i="1"/>
  <c r="AL159" i="1"/>
  <c r="AK159" i="1"/>
  <c r="AJ159" i="1"/>
  <c r="AI159" i="1"/>
  <c r="AH159" i="1"/>
  <c r="AC159" i="1"/>
  <c r="AB159" i="1"/>
  <c r="AA159" i="1"/>
  <c r="Z159" i="1"/>
  <c r="W159" i="1"/>
  <c r="X159" i="1" s="1"/>
  <c r="Y159" i="1" s="1"/>
  <c r="V159" i="1"/>
  <c r="AQ158" i="1"/>
  <c r="AP158" i="1"/>
  <c r="AO158" i="1"/>
  <c r="AN158" i="1"/>
  <c r="AM158" i="1"/>
  <c r="AL158" i="1"/>
  <c r="AK158" i="1"/>
  <c r="AJ158" i="1"/>
  <c r="AI158" i="1"/>
  <c r="AH158" i="1"/>
  <c r="AC158" i="1"/>
  <c r="AB158" i="1"/>
  <c r="AA158" i="1"/>
  <c r="Z158" i="1"/>
  <c r="W158" i="1"/>
  <c r="X158" i="1" s="1"/>
  <c r="Y158" i="1" s="1"/>
  <c r="V158" i="1"/>
  <c r="AQ157" i="1"/>
  <c r="AP157" i="1"/>
  <c r="AO157" i="1"/>
  <c r="AN157" i="1"/>
  <c r="AM157" i="1"/>
  <c r="AL157" i="1"/>
  <c r="AK157" i="1"/>
  <c r="AJ157" i="1"/>
  <c r="AI157" i="1"/>
  <c r="AH157" i="1"/>
  <c r="AC157" i="1"/>
  <c r="AB157" i="1"/>
  <c r="AA157" i="1"/>
  <c r="Z157" i="1"/>
  <c r="W157" i="1"/>
  <c r="X157" i="1" s="1"/>
  <c r="Y157" i="1" s="1"/>
  <c r="V157" i="1"/>
  <c r="AQ156" i="1"/>
  <c r="AP156" i="1"/>
  <c r="AO156" i="1"/>
  <c r="AN156" i="1"/>
  <c r="AM156" i="1"/>
  <c r="AL156" i="1"/>
  <c r="AK156" i="1"/>
  <c r="AJ156" i="1"/>
  <c r="AI156" i="1"/>
  <c r="AH156" i="1"/>
  <c r="AC156" i="1"/>
  <c r="AB156" i="1"/>
  <c r="AA156" i="1"/>
  <c r="Z156" i="1"/>
  <c r="W156" i="1"/>
  <c r="X156" i="1" s="1"/>
  <c r="Y156" i="1" s="1"/>
  <c r="V156" i="1"/>
  <c r="AQ155" i="1"/>
  <c r="AP155" i="1"/>
  <c r="AO155" i="1"/>
  <c r="AN155" i="1"/>
  <c r="AM155" i="1"/>
  <c r="AL155" i="1"/>
  <c r="AK155" i="1"/>
  <c r="AJ155" i="1"/>
  <c r="AI155" i="1"/>
  <c r="AH155" i="1"/>
  <c r="AC155" i="1"/>
  <c r="AB155" i="1"/>
  <c r="AA155" i="1"/>
  <c r="Z155" i="1"/>
  <c r="W155" i="1"/>
  <c r="X155" i="1" s="1"/>
  <c r="Y155" i="1" s="1"/>
  <c r="V155" i="1"/>
  <c r="AQ154" i="1"/>
  <c r="AP154" i="1"/>
  <c r="AO154" i="1"/>
  <c r="AN154" i="1"/>
  <c r="AM154" i="1"/>
  <c r="AL154" i="1"/>
  <c r="AK154" i="1"/>
  <c r="AJ154" i="1"/>
  <c r="AI154" i="1"/>
  <c r="AH154" i="1"/>
  <c r="AC154" i="1"/>
  <c r="AB154" i="1"/>
  <c r="AA154" i="1"/>
  <c r="Z154" i="1"/>
  <c r="W154" i="1"/>
  <c r="X154" i="1" s="1"/>
  <c r="Y154" i="1" s="1"/>
  <c r="V154" i="1"/>
  <c r="AQ153" i="1"/>
  <c r="AP153" i="1"/>
  <c r="AO153" i="1"/>
  <c r="AN153" i="1"/>
  <c r="AM153" i="1"/>
  <c r="AL153" i="1"/>
  <c r="AK153" i="1"/>
  <c r="AI153" i="1"/>
  <c r="AH153" i="1"/>
  <c r="AC153" i="1"/>
  <c r="AB153" i="1"/>
  <c r="AA153" i="1"/>
  <c r="Z153" i="1"/>
  <c r="W153" i="1"/>
  <c r="X153" i="1" s="1"/>
  <c r="Y153" i="1" s="1"/>
  <c r="V153" i="1"/>
  <c r="AQ152" i="1"/>
  <c r="AP152" i="1"/>
  <c r="AO152" i="1"/>
  <c r="AN152" i="1"/>
  <c r="AM152" i="1"/>
  <c r="AL152" i="1"/>
  <c r="AK152" i="1"/>
  <c r="AI152" i="1"/>
  <c r="AH152" i="1"/>
  <c r="AC152" i="1"/>
  <c r="AB152" i="1"/>
  <c r="AA152" i="1"/>
  <c r="Z152" i="1"/>
  <c r="W152" i="1"/>
  <c r="X152" i="1" s="1"/>
  <c r="Y152" i="1" s="1"/>
  <c r="V152" i="1"/>
  <c r="AQ151" i="1"/>
  <c r="AP151" i="1"/>
  <c r="AO151" i="1"/>
  <c r="AN151" i="1"/>
  <c r="AM151" i="1"/>
  <c r="AL151" i="1"/>
  <c r="AK151" i="1"/>
  <c r="AJ151" i="1"/>
  <c r="AI151" i="1"/>
  <c r="AH151" i="1"/>
  <c r="AC151" i="1"/>
  <c r="AB151" i="1"/>
  <c r="AA151" i="1"/>
  <c r="Z151" i="1"/>
  <c r="W151" i="1"/>
  <c r="X151" i="1" s="1"/>
  <c r="Y151" i="1" s="1"/>
  <c r="V151" i="1"/>
  <c r="AQ150" i="1"/>
  <c r="AP150" i="1"/>
  <c r="AN150" i="1"/>
  <c r="AM150" i="1"/>
  <c r="AL150" i="1"/>
  <c r="AK150" i="1"/>
  <c r="AJ150" i="1"/>
  <c r="AI150" i="1"/>
  <c r="AH150" i="1"/>
  <c r="AC150" i="1"/>
  <c r="AB150" i="1"/>
  <c r="AA150" i="1"/>
  <c r="Z150" i="1"/>
  <c r="W150" i="1"/>
  <c r="X150" i="1" s="1"/>
  <c r="Y150" i="1" s="1"/>
  <c r="V150" i="1"/>
  <c r="AQ149" i="1"/>
  <c r="AP149" i="1"/>
  <c r="AO149" i="1"/>
  <c r="AN149" i="1"/>
  <c r="AM149" i="1"/>
  <c r="AL149" i="1"/>
  <c r="AK149" i="1"/>
  <c r="AJ149" i="1"/>
  <c r="AI149" i="1"/>
  <c r="AH149" i="1"/>
  <c r="AC149" i="1"/>
  <c r="AB149" i="1"/>
  <c r="AA149" i="1"/>
  <c r="Z149" i="1"/>
  <c r="W149" i="1"/>
  <c r="X149" i="1" s="1"/>
  <c r="Y149" i="1" s="1"/>
  <c r="V149" i="1"/>
  <c r="AQ148" i="1"/>
  <c r="AP148" i="1"/>
  <c r="AO148" i="1"/>
  <c r="AN148" i="1"/>
  <c r="AM148" i="1"/>
  <c r="AL148" i="1"/>
  <c r="AK148" i="1"/>
  <c r="AJ148" i="1"/>
  <c r="AI148" i="1"/>
  <c r="AH148" i="1"/>
  <c r="AC148" i="1"/>
  <c r="AB148" i="1"/>
  <c r="AA148" i="1"/>
  <c r="Z148" i="1"/>
  <c r="W148" i="1"/>
  <c r="X148" i="1" s="1"/>
  <c r="Y148" i="1" s="1"/>
  <c r="V148" i="1"/>
  <c r="AQ147" i="1"/>
  <c r="AP147" i="1"/>
  <c r="AO147" i="1"/>
  <c r="AN147" i="1"/>
  <c r="AM147" i="1"/>
  <c r="AL147" i="1"/>
  <c r="AK147" i="1"/>
  <c r="AJ147" i="1"/>
  <c r="AI147" i="1"/>
  <c r="AH147" i="1"/>
  <c r="AC147" i="1"/>
  <c r="AB147" i="1"/>
  <c r="AA147" i="1"/>
  <c r="Z147" i="1"/>
  <c r="W147" i="1"/>
  <c r="X147" i="1" s="1"/>
  <c r="Y147" i="1" s="1"/>
  <c r="V147" i="1"/>
  <c r="AQ146" i="1"/>
  <c r="AP146" i="1"/>
  <c r="AO146" i="1"/>
  <c r="AN146" i="1"/>
  <c r="AM146" i="1"/>
  <c r="AL146" i="1"/>
  <c r="AK146" i="1"/>
  <c r="AJ146" i="1"/>
  <c r="AI146" i="1"/>
  <c r="AH146" i="1"/>
  <c r="AC146" i="1"/>
  <c r="AB146" i="1"/>
  <c r="AA146" i="1"/>
  <c r="Z146" i="1"/>
  <c r="W146" i="1"/>
  <c r="X146" i="1" s="1"/>
  <c r="Y146" i="1" s="1"/>
  <c r="V146" i="1"/>
  <c r="AQ145" i="1"/>
  <c r="AP145" i="1"/>
  <c r="AO145" i="1"/>
  <c r="AN145" i="1"/>
  <c r="AM145" i="1"/>
  <c r="AL145" i="1"/>
  <c r="AK145" i="1"/>
  <c r="AJ145" i="1"/>
  <c r="AI145" i="1"/>
  <c r="AH145" i="1"/>
  <c r="AC145" i="1"/>
  <c r="AB145" i="1"/>
  <c r="AA145" i="1"/>
  <c r="Z145" i="1"/>
  <c r="W145" i="1"/>
  <c r="X145" i="1" s="1"/>
  <c r="Y145" i="1" s="1"/>
  <c r="V145" i="1"/>
  <c r="AQ144" i="1"/>
  <c r="AP144" i="1"/>
  <c r="AO144" i="1"/>
  <c r="AN144" i="1"/>
  <c r="AM144" i="1"/>
  <c r="AL144" i="1"/>
  <c r="AK144" i="1"/>
  <c r="AJ144" i="1"/>
  <c r="AI144" i="1"/>
  <c r="AH144" i="1"/>
  <c r="AC144" i="1"/>
  <c r="AB144" i="1"/>
  <c r="AA144" i="1"/>
  <c r="Z144" i="1"/>
  <c r="W144" i="1"/>
  <c r="X144" i="1" s="1"/>
  <c r="Y144" i="1" s="1"/>
  <c r="V144" i="1"/>
  <c r="AQ143" i="1"/>
  <c r="AP143" i="1"/>
  <c r="AO143" i="1"/>
  <c r="AN143" i="1"/>
  <c r="AM143" i="1"/>
  <c r="AL143" i="1"/>
  <c r="AK143" i="1"/>
  <c r="AJ143" i="1"/>
  <c r="AI143" i="1"/>
  <c r="AH143" i="1"/>
  <c r="AC143" i="1"/>
  <c r="AB143" i="1"/>
  <c r="AA143" i="1"/>
  <c r="Z143" i="1"/>
  <c r="W143" i="1"/>
  <c r="X143" i="1" s="1"/>
  <c r="Y143" i="1" s="1"/>
  <c r="V143" i="1"/>
  <c r="AQ142" i="1"/>
  <c r="AP142" i="1"/>
  <c r="AO142" i="1"/>
  <c r="AN142" i="1"/>
  <c r="AM142" i="1"/>
  <c r="AL142" i="1"/>
  <c r="AK142" i="1"/>
  <c r="AJ142" i="1"/>
  <c r="AI142" i="1"/>
  <c r="AH142" i="1"/>
  <c r="AC142" i="1"/>
  <c r="AB142" i="1"/>
  <c r="AA142" i="1"/>
  <c r="Z142" i="1"/>
  <c r="W142" i="1"/>
  <c r="X142" i="1" s="1"/>
  <c r="Y142" i="1" s="1"/>
  <c r="V142" i="1"/>
  <c r="AQ141" i="1"/>
  <c r="AP141" i="1"/>
  <c r="AO141" i="1"/>
  <c r="AN141" i="1"/>
  <c r="AM141" i="1"/>
  <c r="AL141" i="1"/>
  <c r="AK141" i="1"/>
  <c r="AJ141" i="1"/>
  <c r="AI141" i="1"/>
  <c r="AH141" i="1"/>
  <c r="AC141" i="1"/>
  <c r="AB141" i="1"/>
  <c r="AA141" i="1"/>
  <c r="Z141" i="1"/>
  <c r="W141" i="1"/>
  <c r="X141" i="1" s="1"/>
  <c r="Y141" i="1" s="1"/>
  <c r="V141" i="1"/>
  <c r="AQ140" i="1"/>
  <c r="AP140" i="1"/>
  <c r="AO140" i="1"/>
  <c r="AN140" i="1"/>
  <c r="AM140" i="1"/>
  <c r="AL140" i="1"/>
  <c r="AK140" i="1"/>
  <c r="AJ140" i="1"/>
  <c r="AI140" i="1"/>
  <c r="AH140" i="1"/>
  <c r="AC140" i="1"/>
  <c r="AB140" i="1"/>
  <c r="AA140" i="1"/>
  <c r="Z140" i="1"/>
  <c r="W140" i="1"/>
  <c r="X140" i="1" s="1"/>
  <c r="Y140" i="1" s="1"/>
  <c r="V140" i="1"/>
  <c r="AQ139" i="1"/>
  <c r="AP139" i="1"/>
  <c r="AO139" i="1"/>
  <c r="AN139" i="1"/>
  <c r="AM139" i="1"/>
  <c r="AL139" i="1"/>
  <c r="AK139" i="1"/>
  <c r="AJ139" i="1"/>
  <c r="AI139" i="1"/>
  <c r="AH139" i="1"/>
  <c r="AC139" i="1"/>
  <c r="AB139" i="1"/>
  <c r="AA139" i="1"/>
  <c r="Z139" i="1"/>
  <c r="W139" i="1"/>
  <c r="X139" i="1" s="1"/>
  <c r="Y139" i="1" s="1"/>
  <c r="V139" i="1"/>
  <c r="AQ138" i="1"/>
  <c r="AP138" i="1"/>
  <c r="AO138" i="1"/>
  <c r="AN138" i="1"/>
  <c r="AM138" i="1"/>
  <c r="AL138" i="1"/>
  <c r="AK138" i="1"/>
  <c r="AJ138" i="1"/>
  <c r="AI138" i="1"/>
  <c r="AH138" i="1"/>
  <c r="AC138" i="1"/>
  <c r="AB138" i="1"/>
  <c r="AA138" i="1"/>
  <c r="Z138" i="1"/>
  <c r="W138" i="1"/>
  <c r="X138" i="1" s="1"/>
  <c r="Y138" i="1" s="1"/>
  <c r="V138" i="1"/>
  <c r="AQ137" i="1"/>
  <c r="AP137" i="1"/>
  <c r="AO137" i="1"/>
  <c r="AN137" i="1"/>
  <c r="AM137" i="1"/>
  <c r="AL137" i="1"/>
  <c r="AK137" i="1"/>
  <c r="AJ137" i="1"/>
  <c r="AI137" i="1"/>
  <c r="AH137" i="1"/>
  <c r="AC137" i="1"/>
  <c r="AB137" i="1"/>
  <c r="AA137" i="1"/>
  <c r="Z137" i="1"/>
  <c r="W137" i="1"/>
  <c r="X137" i="1" s="1"/>
  <c r="Y137" i="1" s="1"/>
  <c r="V137" i="1"/>
  <c r="AQ136" i="1"/>
  <c r="AP136" i="1"/>
  <c r="AN136" i="1"/>
  <c r="AM136" i="1"/>
  <c r="AL136" i="1"/>
  <c r="AK136" i="1"/>
  <c r="AJ136" i="1"/>
  <c r="AI136" i="1"/>
  <c r="AH136" i="1"/>
  <c r="AC136" i="1"/>
  <c r="AB136" i="1"/>
  <c r="AA136" i="1"/>
  <c r="Z136" i="1"/>
  <c r="W136" i="1"/>
  <c r="X136" i="1" s="1"/>
  <c r="Y136" i="1" s="1"/>
  <c r="V136" i="1"/>
  <c r="AQ135" i="1"/>
  <c r="AP135" i="1"/>
  <c r="AO135" i="1"/>
  <c r="AN135" i="1"/>
  <c r="AM135" i="1"/>
  <c r="AL135" i="1"/>
  <c r="AK135" i="1"/>
  <c r="AJ135" i="1"/>
  <c r="AI135" i="1"/>
  <c r="AH135" i="1"/>
  <c r="AC135" i="1"/>
  <c r="AB135" i="1"/>
  <c r="AA135" i="1"/>
  <c r="Z135" i="1"/>
  <c r="W135" i="1"/>
  <c r="X135" i="1" s="1"/>
  <c r="Y135" i="1" s="1"/>
  <c r="V135" i="1"/>
  <c r="AQ134" i="1"/>
  <c r="AP134" i="1"/>
  <c r="AO134" i="1"/>
  <c r="AN134" i="1"/>
  <c r="AM134" i="1"/>
  <c r="AL134" i="1"/>
  <c r="AK134" i="1"/>
  <c r="AJ134" i="1"/>
  <c r="AI134" i="1"/>
  <c r="AH134" i="1"/>
  <c r="AC134" i="1"/>
  <c r="AB134" i="1"/>
  <c r="AA134" i="1"/>
  <c r="Z134" i="1"/>
  <c r="W134" i="1"/>
  <c r="X134" i="1" s="1"/>
  <c r="Y134" i="1" s="1"/>
  <c r="V134" i="1"/>
  <c r="AQ133" i="1"/>
  <c r="AP133" i="1"/>
  <c r="AO133" i="1"/>
  <c r="AN133" i="1"/>
  <c r="AM133" i="1"/>
  <c r="AL133" i="1"/>
  <c r="AK133" i="1"/>
  <c r="AJ133" i="1"/>
  <c r="AI133" i="1"/>
  <c r="AH133" i="1"/>
  <c r="AC133" i="1"/>
  <c r="AB133" i="1"/>
  <c r="AA133" i="1"/>
  <c r="Z133" i="1"/>
  <c r="W133" i="1"/>
  <c r="X133" i="1" s="1"/>
  <c r="Y133" i="1" s="1"/>
  <c r="V133" i="1"/>
  <c r="AQ132" i="1"/>
  <c r="AP132" i="1"/>
  <c r="AO132" i="1"/>
  <c r="AN132" i="1"/>
  <c r="AM132" i="1"/>
  <c r="AL132" i="1"/>
  <c r="AK132" i="1"/>
  <c r="AJ132" i="1"/>
  <c r="AI132" i="1"/>
  <c r="AH132" i="1"/>
  <c r="AC132" i="1"/>
  <c r="AB132" i="1"/>
  <c r="AA132" i="1"/>
  <c r="Z132" i="1"/>
  <c r="W132" i="1"/>
  <c r="X132" i="1" s="1"/>
  <c r="Y132" i="1" s="1"/>
  <c r="V132" i="1"/>
  <c r="AQ131" i="1"/>
  <c r="AP131" i="1"/>
  <c r="AO131" i="1"/>
  <c r="AN131" i="1"/>
  <c r="AM131" i="1"/>
  <c r="AL131" i="1"/>
  <c r="AK131" i="1"/>
  <c r="AJ131" i="1"/>
  <c r="AI131" i="1"/>
  <c r="AH131" i="1"/>
  <c r="AC131" i="1"/>
  <c r="AB131" i="1"/>
  <c r="AA131" i="1"/>
  <c r="Z131" i="1"/>
  <c r="W131" i="1"/>
  <c r="X131" i="1" s="1"/>
  <c r="Y131" i="1" s="1"/>
  <c r="V131" i="1"/>
  <c r="AQ130" i="1"/>
  <c r="AP130" i="1"/>
  <c r="AO130" i="1"/>
  <c r="AN130" i="1"/>
  <c r="AM130" i="1"/>
  <c r="AL130" i="1"/>
  <c r="AK130" i="1"/>
  <c r="AJ130" i="1"/>
  <c r="AI130" i="1"/>
  <c r="AH130" i="1"/>
  <c r="AC130" i="1"/>
  <c r="AB130" i="1"/>
  <c r="AA130" i="1"/>
  <c r="Z130" i="1"/>
  <c r="W130" i="1"/>
  <c r="X130" i="1" s="1"/>
  <c r="Y130" i="1" s="1"/>
  <c r="V130" i="1"/>
  <c r="AQ129" i="1"/>
  <c r="AP129" i="1"/>
  <c r="AO129" i="1"/>
  <c r="AN129" i="1"/>
  <c r="AM129" i="1"/>
  <c r="AL129" i="1"/>
  <c r="AK129" i="1"/>
  <c r="AJ129" i="1"/>
  <c r="AI129" i="1"/>
  <c r="AH129" i="1"/>
  <c r="AC129" i="1"/>
  <c r="AB129" i="1"/>
  <c r="AA129" i="1"/>
  <c r="Z129" i="1"/>
  <c r="W129" i="1"/>
  <c r="X129" i="1" s="1"/>
  <c r="Y129" i="1" s="1"/>
  <c r="V129" i="1"/>
  <c r="AQ128" i="1"/>
  <c r="AP128" i="1"/>
  <c r="AO128" i="1"/>
  <c r="AN128" i="1"/>
  <c r="AM128" i="1"/>
  <c r="AL128" i="1"/>
  <c r="AK128" i="1"/>
  <c r="AJ128" i="1"/>
  <c r="AI128" i="1"/>
  <c r="AH128" i="1"/>
  <c r="AC128" i="1"/>
  <c r="AB128" i="1"/>
  <c r="AA128" i="1"/>
  <c r="Z128" i="1"/>
  <c r="W128" i="1"/>
  <c r="X128" i="1" s="1"/>
  <c r="Y128" i="1" s="1"/>
  <c r="V128" i="1"/>
  <c r="AQ127" i="1"/>
  <c r="AP127" i="1"/>
  <c r="AO127" i="1"/>
  <c r="AN127" i="1"/>
  <c r="AM127" i="1"/>
  <c r="AL127" i="1"/>
  <c r="AK127" i="1"/>
  <c r="AJ127" i="1"/>
  <c r="AI127" i="1"/>
  <c r="AH127" i="1"/>
  <c r="AC127" i="1"/>
  <c r="AB127" i="1"/>
  <c r="AA127" i="1"/>
  <c r="Z127" i="1"/>
  <c r="W127" i="1"/>
  <c r="X127" i="1" s="1"/>
  <c r="Y127" i="1" s="1"/>
  <c r="V127" i="1"/>
  <c r="AQ126" i="1"/>
  <c r="AP126" i="1"/>
  <c r="AO126" i="1"/>
  <c r="AN126" i="1"/>
  <c r="AM126" i="1"/>
  <c r="AL126" i="1"/>
  <c r="AK126" i="1"/>
  <c r="AJ126" i="1"/>
  <c r="AI126" i="1"/>
  <c r="AH126" i="1"/>
  <c r="AC126" i="1"/>
  <c r="AB126" i="1"/>
  <c r="AA126" i="1"/>
  <c r="Z126" i="1"/>
  <c r="W126" i="1"/>
  <c r="X126" i="1" s="1"/>
  <c r="Y126" i="1" s="1"/>
  <c r="V126" i="1"/>
  <c r="AQ125" i="1"/>
  <c r="AP125" i="1"/>
  <c r="AO125" i="1"/>
  <c r="AN125" i="1"/>
  <c r="AM125" i="1"/>
  <c r="AL125" i="1"/>
  <c r="AK125" i="1"/>
  <c r="AJ125" i="1"/>
  <c r="AI125" i="1"/>
  <c r="AH125" i="1"/>
  <c r="AC125" i="1"/>
  <c r="AB125" i="1"/>
  <c r="AA125" i="1"/>
  <c r="Z125" i="1"/>
  <c r="W125" i="1"/>
  <c r="X125" i="1" s="1"/>
  <c r="Y125" i="1" s="1"/>
  <c r="V125" i="1"/>
  <c r="AQ124" i="1"/>
  <c r="AP124" i="1"/>
  <c r="AO124" i="1"/>
  <c r="AN124" i="1"/>
  <c r="AM124" i="1"/>
  <c r="AL124" i="1"/>
  <c r="AK124" i="1"/>
  <c r="AJ124" i="1"/>
  <c r="AI124" i="1"/>
  <c r="AH124" i="1"/>
  <c r="AC124" i="1"/>
  <c r="AB124" i="1"/>
  <c r="AA124" i="1"/>
  <c r="Z124" i="1"/>
  <c r="W124" i="1"/>
  <c r="X124" i="1" s="1"/>
  <c r="Y124" i="1" s="1"/>
  <c r="V124" i="1"/>
  <c r="AQ123" i="1"/>
  <c r="AP123" i="1"/>
  <c r="AO123" i="1"/>
  <c r="AN123" i="1"/>
  <c r="AM123" i="1"/>
  <c r="AL123" i="1"/>
  <c r="AK123" i="1"/>
  <c r="AJ123" i="1"/>
  <c r="AI123" i="1"/>
  <c r="AH123" i="1"/>
  <c r="AC123" i="1"/>
  <c r="AB123" i="1"/>
  <c r="AA123" i="1"/>
  <c r="Z123" i="1"/>
  <c r="W123" i="1"/>
  <c r="X123" i="1" s="1"/>
  <c r="Y123" i="1" s="1"/>
  <c r="V123" i="1"/>
  <c r="AQ122" i="1"/>
  <c r="AP122" i="1"/>
  <c r="AO122" i="1"/>
  <c r="AN122" i="1"/>
  <c r="AM122" i="1"/>
  <c r="AL122" i="1"/>
  <c r="AK122" i="1"/>
  <c r="AJ122" i="1"/>
  <c r="AI122" i="1"/>
  <c r="AH122" i="1"/>
  <c r="AC122" i="1"/>
  <c r="AB122" i="1"/>
  <c r="AA122" i="1"/>
  <c r="Z122" i="1"/>
  <c r="W122" i="1"/>
  <c r="X122" i="1" s="1"/>
  <c r="Y122" i="1" s="1"/>
  <c r="V122" i="1"/>
  <c r="AQ121" i="1"/>
  <c r="AP121" i="1"/>
  <c r="AO121" i="1"/>
  <c r="AN121" i="1"/>
  <c r="AM121" i="1"/>
  <c r="AL121" i="1"/>
  <c r="AK121" i="1"/>
  <c r="AJ121" i="1"/>
  <c r="AI121" i="1"/>
  <c r="AH121" i="1"/>
  <c r="AC121" i="1"/>
  <c r="AB121" i="1"/>
  <c r="AA121" i="1"/>
  <c r="Z121" i="1"/>
  <c r="W121" i="1"/>
  <c r="X121" i="1" s="1"/>
  <c r="Y121" i="1" s="1"/>
  <c r="V121" i="1"/>
  <c r="AQ120" i="1"/>
  <c r="AP120" i="1"/>
  <c r="AO120" i="1"/>
  <c r="AN120" i="1"/>
  <c r="AM120" i="1"/>
  <c r="AL120" i="1"/>
  <c r="AK120" i="1"/>
  <c r="AJ120" i="1"/>
  <c r="AI120" i="1"/>
  <c r="AH120" i="1"/>
  <c r="AC120" i="1"/>
  <c r="AB120" i="1"/>
  <c r="AA120" i="1"/>
  <c r="Z120" i="1"/>
  <c r="W120" i="1"/>
  <c r="X120" i="1" s="1"/>
  <c r="Y120" i="1" s="1"/>
  <c r="V120" i="1"/>
  <c r="AQ119" i="1"/>
  <c r="AP119" i="1"/>
  <c r="AO119" i="1"/>
  <c r="AN119" i="1"/>
  <c r="AM119" i="1"/>
  <c r="AL119" i="1"/>
  <c r="AK119" i="1"/>
  <c r="AJ119" i="1"/>
  <c r="AI119" i="1"/>
  <c r="AH119" i="1"/>
  <c r="AC119" i="1"/>
  <c r="AB119" i="1"/>
  <c r="AA119" i="1"/>
  <c r="Z119" i="1"/>
  <c r="W119" i="1"/>
  <c r="X119" i="1" s="1"/>
  <c r="Y119" i="1" s="1"/>
  <c r="V119" i="1"/>
  <c r="AQ118" i="1"/>
  <c r="AP118" i="1"/>
  <c r="AO118" i="1"/>
  <c r="AN118" i="1"/>
  <c r="AM118" i="1"/>
  <c r="AL118" i="1"/>
  <c r="AK118" i="1"/>
  <c r="AI118" i="1"/>
  <c r="AH118" i="1"/>
  <c r="AC118" i="1"/>
  <c r="AB118" i="1"/>
  <c r="AA118" i="1"/>
  <c r="Z118" i="1"/>
  <c r="W118" i="1"/>
  <c r="X118" i="1" s="1"/>
  <c r="Y118" i="1" s="1"/>
  <c r="V118" i="1"/>
  <c r="AQ117" i="1"/>
  <c r="AP117" i="1"/>
  <c r="AO117" i="1"/>
  <c r="AN117" i="1"/>
  <c r="AM117" i="1"/>
  <c r="AL117" i="1"/>
  <c r="AK117" i="1"/>
  <c r="AJ117" i="1"/>
  <c r="AI117" i="1"/>
  <c r="AH117" i="1"/>
  <c r="AC117" i="1"/>
  <c r="AB117" i="1"/>
  <c r="AA117" i="1"/>
  <c r="Z117" i="1"/>
  <c r="W117" i="1"/>
  <c r="X117" i="1" s="1"/>
  <c r="Y117" i="1" s="1"/>
  <c r="V117" i="1"/>
  <c r="AQ116" i="1"/>
  <c r="AP116" i="1"/>
  <c r="AO116" i="1"/>
  <c r="AN116" i="1"/>
  <c r="AM116" i="1"/>
  <c r="AL116" i="1"/>
  <c r="AK116" i="1"/>
  <c r="AJ116" i="1"/>
  <c r="AI116" i="1"/>
  <c r="AH116" i="1"/>
  <c r="AC116" i="1"/>
  <c r="AB116" i="1"/>
  <c r="AA116" i="1"/>
  <c r="Z116" i="1"/>
  <c r="W116" i="1"/>
  <c r="X116" i="1" s="1"/>
  <c r="Y116" i="1" s="1"/>
  <c r="V116" i="1"/>
  <c r="AQ115" i="1"/>
  <c r="AP115" i="1"/>
  <c r="AO115" i="1"/>
  <c r="AN115" i="1"/>
  <c r="AM115" i="1"/>
  <c r="AL115" i="1"/>
  <c r="AK115" i="1"/>
  <c r="AJ115" i="1"/>
  <c r="AI115" i="1"/>
  <c r="AH115" i="1"/>
  <c r="AC115" i="1"/>
  <c r="AB115" i="1"/>
  <c r="AA115" i="1"/>
  <c r="Z115" i="1"/>
  <c r="W115" i="1"/>
  <c r="X115" i="1" s="1"/>
  <c r="Y115" i="1" s="1"/>
  <c r="V115" i="1"/>
  <c r="AQ114" i="1"/>
  <c r="AP114" i="1"/>
  <c r="AO114" i="1"/>
  <c r="AN114" i="1"/>
  <c r="AM114" i="1"/>
  <c r="AL114" i="1"/>
  <c r="AK114" i="1"/>
  <c r="AI114" i="1"/>
  <c r="AH114" i="1"/>
  <c r="AC114" i="1"/>
  <c r="AB114" i="1"/>
  <c r="AA114" i="1"/>
  <c r="Z114" i="1"/>
  <c r="W114" i="1"/>
  <c r="X114" i="1" s="1"/>
  <c r="Y114" i="1" s="1"/>
  <c r="V114" i="1"/>
  <c r="AQ113" i="1"/>
  <c r="AP113" i="1"/>
  <c r="AO113" i="1"/>
  <c r="AN113" i="1"/>
  <c r="AM113" i="1"/>
  <c r="AL113" i="1"/>
  <c r="AK113" i="1"/>
  <c r="AJ113" i="1"/>
  <c r="AI113" i="1"/>
  <c r="AH113" i="1"/>
  <c r="AC113" i="1"/>
  <c r="AB113" i="1"/>
  <c r="AA113" i="1"/>
  <c r="Z113" i="1"/>
  <c r="W113" i="1"/>
  <c r="X113" i="1" s="1"/>
  <c r="Y113" i="1" s="1"/>
  <c r="V113" i="1"/>
  <c r="AQ112" i="1"/>
  <c r="AP112" i="1"/>
  <c r="AO112" i="1"/>
  <c r="AN112" i="1"/>
  <c r="AM112" i="1"/>
  <c r="AL112" i="1"/>
  <c r="AK112" i="1"/>
  <c r="AJ112" i="1"/>
  <c r="AI112" i="1"/>
  <c r="AH112" i="1"/>
  <c r="AC112" i="1"/>
  <c r="AB112" i="1"/>
  <c r="AA112" i="1"/>
  <c r="Z112" i="1"/>
  <c r="W112" i="1"/>
  <c r="X112" i="1" s="1"/>
  <c r="Y112" i="1" s="1"/>
  <c r="V112" i="1"/>
  <c r="AQ111" i="1"/>
  <c r="AP111" i="1"/>
  <c r="AO111" i="1"/>
  <c r="AN111" i="1"/>
  <c r="AM111" i="1"/>
  <c r="AL111" i="1"/>
  <c r="AK111" i="1"/>
  <c r="AJ111" i="1"/>
  <c r="AI111" i="1"/>
  <c r="AH111" i="1"/>
  <c r="AC111" i="1"/>
  <c r="AB111" i="1"/>
  <c r="AA111" i="1"/>
  <c r="Z111" i="1"/>
  <c r="W111" i="1"/>
  <c r="X111" i="1" s="1"/>
  <c r="Y111" i="1" s="1"/>
  <c r="V111" i="1"/>
  <c r="AQ110" i="1"/>
  <c r="AP110" i="1"/>
  <c r="AO110" i="1"/>
  <c r="AN110" i="1"/>
  <c r="AM110" i="1"/>
  <c r="AL110" i="1"/>
  <c r="AK110" i="1"/>
  <c r="AJ110" i="1"/>
  <c r="AI110" i="1"/>
  <c r="AH110" i="1"/>
  <c r="AC110" i="1"/>
  <c r="AB110" i="1"/>
  <c r="AA110" i="1"/>
  <c r="Z110" i="1"/>
  <c r="W110" i="1"/>
  <c r="X110" i="1" s="1"/>
  <c r="Y110" i="1" s="1"/>
  <c r="V110" i="1"/>
  <c r="AQ109" i="1"/>
  <c r="AP109" i="1"/>
  <c r="AO109" i="1"/>
  <c r="AN109" i="1"/>
  <c r="AM109" i="1"/>
  <c r="AL109" i="1"/>
  <c r="AK109" i="1"/>
  <c r="AJ109" i="1"/>
  <c r="AI109" i="1"/>
  <c r="AH109" i="1"/>
  <c r="AC109" i="1"/>
  <c r="AB109" i="1"/>
  <c r="AA109" i="1"/>
  <c r="Z109" i="1"/>
  <c r="W109" i="1"/>
  <c r="X109" i="1" s="1"/>
  <c r="Y109" i="1" s="1"/>
  <c r="V109" i="1"/>
  <c r="AQ108" i="1"/>
  <c r="AP108" i="1"/>
  <c r="AO108" i="1"/>
  <c r="AN108" i="1"/>
  <c r="AM108" i="1"/>
  <c r="AL108" i="1"/>
  <c r="AK108" i="1"/>
  <c r="AJ108" i="1"/>
  <c r="AI108" i="1"/>
  <c r="AH108" i="1"/>
  <c r="AC108" i="1"/>
  <c r="AB108" i="1"/>
  <c r="AA108" i="1"/>
  <c r="Z108" i="1"/>
  <c r="W108" i="1"/>
  <c r="X108" i="1" s="1"/>
  <c r="Y108" i="1" s="1"/>
  <c r="V108" i="1"/>
  <c r="AQ107" i="1"/>
  <c r="AP107" i="1"/>
  <c r="AO107" i="1"/>
  <c r="AN107" i="1"/>
  <c r="AM107" i="1"/>
  <c r="AL107" i="1"/>
  <c r="AK107" i="1"/>
  <c r="AJ107" i="1"/>
  <c r="AI107" i="1"/>
  <c r="AH107" i="1"/>
  <c r="AC107" i="1"/>
  <c r="AB107" i="1"/>
  <c r="AA107" i="1"/>
  <c r="Z107" i="1"/>
  <c r="W107" i="1"/>
  <c r="X107" i="1" s="1"/>
  <c r="Y107" i="1" s="1"/>
  <c r="V107" i="1"/>
  <c r="AQ106" i="1"/>
  <c r="AP106" i="1"/>
  <c r="AO106" i="1"/>
  <c r="AN106" i="1"/>
  <c r="AM106" i="1"/>
  <c r="AL106" i="1"/>
  <c r="AK106" i="1"/>
  <c r="AJ106" i="1"/>
  <c r="AI106" i="1"/>
  <c r="AH106" i="1"/>
  <c r="AC106" i="1"/>
  <c r="AB106" i="1"/>
  <c r="AA106" i="1"/>
  <c r="Z106" i="1"/>
  <c r="W106" i="1"/>
  <c r="X106" i="1" s="1"/>
  <c r="Y106" i="1" s="1"/>
  <c r="V106" i="1"/>
  <c r="AQ105" i="1"/>
  <c r="AP105" i="1"/>
  <c r="AO105" i="1"/>
  <c r="AN105" i="1"/>
  <c r="AM105" i="1"/>
  <c r="AL105" i="1"/>
  <c r="AK105" i="1"/>
  <c r="AJ105" i="1"/>
  <c r="AI105" i="1"/>
  <c r="AH105" i="1"/>
  <c r="AC105" i="1"/>
  <c r="AB105" i="1"/>
  <c r="AA105" i="1"/>
  <c r="Z105" i="1"/>
  <c r="W105" i="1"/>
  <c r="X105" i="1" s="1"/>
  <c r="Y105" i="1" s="1"/>
  <c r="V105" i="1"/>
  <c r="AQ104" i="1"/>
  <c r="AP104" i="1"/>
  <c r="AO104" i="1"/>
  <c r="AN104" i="1"/>
  <c r="AM104" i="1"/>
  <c r="AL104" i="1"/>
  <c r="AK104" i="1"/>
  <c r="AJ104" i="1"/>
  <c r="AI104" i="1"/>
  <c r="AH104" i="1"/>
  <c r="AC104" i="1"/>
  <c r="AB104" i="1"/>
  <c r="AA104" i="1"/>
  <c r="Z104" i="1"/>
  <c r="W104" i="1"/>
  <c r="X104" i="1" s="1"/>
  <c r="Y104" i="1" s="1"/>
  <c r="V104" i="1"/>
  <c r="AQ103" i="1"/>
  <c r="AP103" i="1"/>
  <c r="AO103" i="1"/>
  <c r="AN103" i="1"/>
  <c r="AM103" i="1"/>
  <c r="AL103" i="1"/>
  <c r="AK103" i="1"/>
  <c r="AJ103" i="1"/>
  <c r="AI103" i="1"/>
  <c r="AH103" i="1"/>
  <c r="AC103" i="1"/>
  <c r="AB103" i="1"/>
  <c r="AA103" i="1"/>
  <c r="Z103" i="1"/>
  <c r="W103" i="1"/>
  <c r="X103" i="1" s="1"/>
  <c r="Y103" i="1" s="1"/>
  <c r="V103" i="1"/>
  <c r="AQ102" i="1"/>
  <c r="AP102" i="1"/>
  <c r="AO102" i="1"/>
  <c r="AN102" i="1"/>
  <c r="AM102" i="1"/>
  <c r="AL102" i="1"/>
  <c r="AK102" i="1"/>
  <c r="AJ102" i="1"/>
  <c r="AI102" i="1"/>
  <c r="AH102" i="1"/>
  <c r="AC102" i="1"/>
  <c r="AB102" i="1"/>
  <c r="AA102" i="1"/>
  <c r="Z102" i="1"/>
  <c r="W102" i="1"/>
  <c r="X102" i="1" s="1"/>
  <c r="Y102" i="1" s="1"/>
  <c r="V102" i="1"/>
  <c r="AQ101" i="1"/>
  <c r="AP101" i="1"/>
  <c r="AO101" i="1"/>
  <c r="AN101" i="1"/>
  <c r="AM101" i="1"/>
  <c r="AL101" i="1"/>
  <c r="AK101" i="1"/>
  <c r="AJ101" i="1"/>
  <c r="AI101" i="1"/>
  <c r="AH101" i="1"/>
  <c r="AC101" i="1"/>
  <c r="AB101" i="1"/>
  <c r="AA101" i="1"/>
  <c r="Z101" i="1"/>
  <c r="W101" i="1"/>
  <c r="X101" i="1" s="1"/>
  <c r="Y101" i="1" s="1"/>
  <c r="V101" i="1"/>
  <c r="AQ100" i="1"/>
  <c r="AP100" i="1"/>
  <c r="AN100" i="1"/>
  <c r="AM100" i="1"/>
  <c r="AL100" i="1"/>
  <c r="AK100" i="1"/>
  <c r="AJ100" i="1"/>
  <c r="AI100" i="1"/>
  <c r="AH100" i="1"/>
  <c r="AC100" i="1"/>
  <c r="AB100" i="1"/>
  <c r="AA100" i="1"/>
  <c r="Z100" i="1"/>
  <c r="W100" i="1"/>
  <c r="X100" i="1" s="1"/>
  <c r="Y100" i="1" s="1"/>
  <c r="V100" i="1"/>
  <c r="AQ99" i="1"/>
  <c r="AP99" i="1"/>
  <c r="AO99" i="1"/>
  <c r="AN99" i="1"/>
  <c r="AM99" i="1"/>
  <c r="AL99" i="1"/>
  <c r="AK99" i="1"/>
  <c r="AJ99" i="1"/>
  <c r="AI99" i="1"/>
  <c r="AH99" i="1"/>
  <c r="AC99" i="1"/>
  <c r="AB99" i="1"/>
  <c r="AA99" i="1"/>
  <c r="Z99" i="1"/>
  <c r="W99" i="1"/>
  <c r="X99" i="1" s="1"/>
  <c r="Y99" i="1" s="1"/>
  <c r="V99" i="1"/>
  <c r="AQ98" i="1"/>
  <c r="AP98" i="1"/>
  <c r="AO98" i="1"/>
  <c r="AN98" i="1"/>
  <c r="AM98" i="1"/>
  <c r="AL98" i="1"/>
  <c r="AK98" i="1"/>
  <c r="AJ98" i="1"/>
  <c r="AI98" i="1"/>
  <c r="AH98" i="1"/>
  <c r="AC98" i="1"/>
  <c r="AB98" i="1"/>
  <c r="AA98" i="1"/>
  <c r="Z98" i="1"/>
  <c r="W98" i="1"/>
  <c r="X98" i="1" s="1"/>
  <c r="Y98" i="1" s="1"/>
  <c r="V98" i="1"/>
  <c r="AQ97" i="1"/>
  <c r="AP97" i="1"/>
  <c r="AO97" i="1"/>
  <c r="AN97" i="1"/>
  <c r="AM97" i="1"/>
  <c r="AL97" i="1"/>
  <c r="AK97" i="1"/>
  <c r="AJ97" i="1"/>
  <c r="AI97" i="1"/>
  <c r="AH97" i="1"/>
  <c r="AC97" i="1"/>
  <c r="AB97" i="1"/>
  <c r="AA97" i="1"/>
  <c r="Z97" i="1"/>
  <c r="W97" i="1"/>
  <c r="X97" i="1" s="1"/>
  <c r="Y97" i="1" s="1"/>
  <c r="V97" i="1"/>
  <c r="AQ96" i="1"/>
  <c r="AP96" i="1"/>
  <c r="AO96" i="1"/>
  <c r="AN96" i="1"/>
  <c r="AM96" i="1"/>
  <c r="AL96" i="1"/>
  <c r="AK96" i="1"/>
  <c r="AJ96" i="1"/>
  <c r="AI96" i="1"/>
  <c r="AH96" i="1"/>
  <c r="AC96" i="1"/>
  <c r="AB96" i="1"/>
  <c r="AA96" i="1"/>
  <c r="Z96" i="1"/>
  <c r="W96" i="1"/>
  <c r="X96" i="1" s="1"/>
  <c r="Y96" i="1" s="1"/>
  <c r="V96" i="1"/>
  <c r="AQ95" i="1"/>
  <c r="AP95" i="1"/>
  <c r="AO95" i="1"/>
  <c r="AN95" i="1"/>
  <c r="AM95" i="1"/>
  <c r="AL95" i="1"/>
  <c r="AK95" i="1"/>
  <c r="AJ95" i="1"/>
  <c r="AI95" i="1"/>
  <c r="AH95" i="1"/>
  <c r="AC95" i="1"/>
  <c r="AB95" i="1"/>
  <c r="AA95" i="1"/>
  <c r="Z95" i="1"/>
  <c r="W95" i="1"/>
  <c r="X95" i="1" s="1"/>
  <c r="Y95" i="1" s="1"/>
  <c r="V95" i="1"/>
  <c r="AQ94" i="1"/>
  <c r="AP94" i="1"/>
  <c r="AO94" i="1"/>
  <c r="AN94" i="1"/>
  <c r="AM94" i="1"/>
  <c r="AL94" i="1"/>
  <c r="AK94" i="1"/>
  <c r="AJ94" i="1"/>
  <c r="AI94" i="1"/>
  <c r="AH94" i="1"/>
  <c r="AC94" i="1"/>
  <c r="AB94" i="1"/>
  <c r="AA94" i="1"/>
  <c r="Z94" i="1"/>
  <c r="W94" i="1"/>
  <c r="X94" i="1" s="1"/>
  <c r="Y94" i="1" s="1"/>
  <c r="V94" i="1"/>
  <c r="AQ93" i="1"/>
  <c r="AP93" i="1"/>
  <c r="AO93" i="1"/>
  <c r="AN93" i="1"/>
  <c r="AM93" i="1"/>
  <c r="AL93" i="1"/>
  <c r="AK93" i="1"/>
  <c r="AJ93" i="1"/>
  <c r="AI93" i="1"/>
  <c r="AH93" i="1"/>
  <c r="AC93" i="1"/>
  <c r="AB93" i="1"/>
  <c r="AA93" i="1"/>
  <c r="Z93" i="1"/>
  <c r="W93" i="1"/>
  <c r="X93" i="1" s="1"/>
  <c r="Y93" i="1" s="1"/>
  <c r="V93" i="1"/>
  <c r="AQ92" i="1"/>
  <c r="AP92" i="1"/>
  <c r="AO92" i="1"/>
  <c r="AN92" i="1"/>
  <c r="AM92" i="1"/>
  <c r="AL92" i="1"/>
  <c r="AK92" i="1"/>
  <c r="AJ92" i="1"/>
  <c r="AI92" i="1"/>
  <c r="AH92" i="1"/>
  <c r="AC92" i="1"/>
  <c r="AB92" i="1"/>
  <c r="AA92" i="1"/>
  <c r="Z92" i="1"/>
  <c r="W92" i="1"/>
  <c r="X92" i="1" s="1"/>
  <c r="Y92" i="1" s="1"/>
  <c r="V92" i="1"/>
  <c r="AQ91" i="1"/>
  <c r="AP91" i="1"/>
  <c r="AO91" i="1"/>
  <c r="AN91" i="1"/>
  <c r="AM91" i="1"/>
  <c r="AL91" i="1"/>
  <c r="AK91" i="1"/>
  <c r="AJ91" i="1"/>
  <c r="AI91" i="1"/>
  <c r="AH91" i="1"/>
  <c r="AC91" i="1"/>
  <c r="AB91" i="1"/>
  <c r="AA91" i="1"/>
  <c r="Z91" i="1"/>
  <c r="W91" i="1"/>
  <c r="X91" i="1" s="1"/>
  <c r="Y91" i="1" s="1"/>
  <c r="V91" i="1"/>
  <c r="AQ90" i="1"/>
  <c r="AP90" i="1"/>
  <c r="AO90" i="1"/>
  <c r="AN90" i="1"/>
  <c r="AM90" i="1"/>
  <c r="AL90" i="1"/>
  <c r="AK90" i="1"/>
  <c r="AJ90" i="1"/>
  <c r="AI90" i="1"/>
  <c r="AH90" i="1"/>
  <c r="AC90" i="1"/>
  <c r="AB90" i="1"/>
  <c r="AA90" i="1"/>
  <c r="Z90" i="1"/>
  <c r="W90" i="1"/>
  <c r="X90" i="1" s="1"/>
  <c r="Y90" i="1" s="1"/>
  <c r="V90" i="1"/>
  <c r="AQ89" i="1"/>
  <c r="AP89" i="1"/>
  <c r="AO89" i="1"/>
  <c r="AN89" i="1"/>
  <c r="AM89" i="1"/>
  <c r="AL89" i="1"/>
  <c r="AK89" i="1"/>
  <c r="AJ89" i="1"/>
  <c r="AI89" i="1"/>
  <c r="AH89" i="1"/>
  <c r="AC89" i="1"/>
  <c r="AB89" i="1"/>
  <c r="AA89" i="1"/>
  <c r="Z89" i="1"/>
  <c r="W89" i="1"/>
  <c r="X89" i="1" s="1"/>
  <c r="Y89" i="1" s="1"/>
  <c r="V89" i="1"/>
  <c r="AQ88" i="1"/>
  <c r="AP88" i="1"/>
  <c r="AO88" i="1"/>
  <c r="AN88" i="1"/>
  <c r="AM88" i="1"/>
  <c r="AL88" i="1"/>
  <c r="AK88" i="1"/>
  <c r="AJ88" i="1"/>
  <c r="AI88" i="1"/>
  <c r="AH88" i="1"/>
  <c r="AC88" i="1"/>
  <c r="AB88" i="1"/>
  <c r="AA88" i="1"/>
  <c r="Z88" i="1"/>
  <c r="W88" i="1"/>
  <c r="X88" i="1" s="1"/>
  <c r="Y88" i="1" s="1"/>
  <c r="V88" i="1"/>
  <c r="AQ87" i="1"/>
  <c r="AP87" i="1"/>
  <c r="AO87" i="1"/>
  <c r="AN87" i="1"/>
  <c r="AM87" i="1"/>
  <c r="AL87" i="1"/>
  <c r="AK87" i="1"/>
  <c r="AJ87" i="1"/>
  <c r="AI87" i="1"/>
  <c r="AH87" i="1"/>
  <c r="AC87" i="1"/>
  <c r="AB87" i="1"/>
  <c r="AA87" i="1"/>
  <c r="Z87" i="1"/>
  <c r="W87" i="1"/>
  <c r="X87" i="1" s="1"/>
  <c r="Y87" i="1" s="1"/>
  <c r="V87" i="1"/>
  <c r="AQ86" i="1"/>
  <c r="AP86" i="1"/>
  <c r="AO86" i="1"/>
  <c r="AN86" i="1"/>
  <c r="AM86" i="1"/>
  <c r="AL86" i="1"/>
  <c r="AK86" i="1"/>
  <c r="AJ86" i="1"/>
  <c r="AI86" i="1"/>
  <c r="AH86" i="1"/>
  <c r="AC86" i="1"/>
  <c r="AB86" i="1"/>
  <c r="AA86" i="1"/>
  <c r="Z86" i="1"/>
  <c r="W86" i="1"/>
  <c r="X86" i="1" s="1"/>
  <c r="Y86" i="1" s="1"/>
  <c r="V86" i="1"/>
  <c r="AQ85" i="1"/>
  <c r="AP85" i="1"/>
  <c r="AO85" i="1"/>
  <c r="AN85" i="1"/>
  <c r="AM85" i="1"/>
  <c r="AL85" i="1"/>
  <c r="AK85" i="1"/>
  <c r="AJ85" i="1"/>
  <c r="AI85" i="1"/>
  <c r="AH85" i="1"/>
  <c r="AC85" i="1"/>
  <c r="AB85" i="1"/>
  <c r="AA85" i="1"/>
  <c r="Z85" i="1"/>
  <c r="W85" i="1"/>
  <c r="X85" i="1" s="1"/>
  <c r="Y85" i="1" s="1"/>
  <c r="V85" i="1"/>
  <c r="AQ84" i="1"/>
  <c r="AP84" i="1"/>
  <c r="AO84" i="1"/>
  <c r="AN84" i="1"/>
  <c r="AM84" i="1"/>
  <c r="AL84" i="1"/>
  <c r="AK84" i="1"/>
  <c r="AJ84" i="1"/>
  <c r="AI84" i="1"/>
  <c r="AH84" i="1"/>
  <c r="AC84" i="1"/>
  <c r="AB84" i="1"/>
  <c r="AA84" i="1"/>
  <c r="Z84" i="1"/>
  <c r="W84" i="1"/>
  <c r="X84" i="1" s="1"/>
  <c r="Y84" i="1" s="1"/>
  <c r="V84" i="1"/>
  <c r="AQ83" i="1"/>
  <c r="AP83" i="1"/>
  <c r="AO83" i="1"/>
  <c r="AN83" i="1"/>
  <c r="AM83" i="1"/>
  <c r="AL83" i="1"/>
  <c r="AK83" i="1"/>
  <c r="AJ83" i="1"/>
  <c r="AI83" i="1"/>
  <c r="AH83" i="1"/>
  <c r="AC83" i="1"/>
  <c r="AB83" i="1"/>
  <c r="AA83" i="1"/>
  <c r="Z83" i="1"/>
  <c r="W83" i="1"/>
  <c r="X83" i="1" s="1"/>
  <c r="Y83" i="1" s="1"/>
  <c r="V83" i="1"/>
  <c r="AQ82" i="1"/>
  <c r="AP82" i="1"/>
  <c r="AO82" i="1"/>
  <c r="AN82" i="1"/>
  <c r="AM82" i="1"/>
  <c r="AL82" i="1"/>
  <c r="AK82" i="1"/>
  <c r="AJ82" i="1"/>
  <c r="AI82" i="1"/>
  <c r="AH82" i="1"/>
  <c r="AC82" i="1"/>
  <c r="AB82" i="1"/>
  <c r="AA82" i="1"/>
  <c r="Z82" i="1"/>
  <c r="W82" i="1"/>
  <c r="X82" i="1" s="1"/>
  <c r="Y82" i="1" s="1"/>
  <c r="V82" i="1"/>
  <c r="AQ81" i="1"/>
  <c r="AP81" i="1"/>
  <c r="AO81" i="1"/>
  <c r="AN81" i="1"/>
  <c r="AM81" i="1"/>
  <c r="AL81" i="1"/>
  <c r="AK81" i="1"/>
  <c r="AJ81" i="1"/>
  <c r="AI81" i="1"/>
  <c r="AH81" i="1"/>
  <c r="AC81" i="1"/>
  <c r="AB81" i="1"/>
  <c r="AA81" i="1"/>
  <c r="Z81" i="1"/>
  <c r="W81" i="1"/>
  <c r="X81" i="1" s="1"/>
  <c r="Y81" i="1" s="1"/>
  <c r="V81" i="1"/>
  <c r="AQ80" i="1"/>
  <c r="AP80" i="1"/>
  <c r="AO80" i="1"/>
  <c r="AN80" i="1"/>
  <c r="AM80" i="1"/>
  <c r="AL80" i="1"/>
  <c r="AK80" i="1"/>
  <c r="AJ80" i="1"/>
  <c r="AI80" i="1"/>
  <c r="AH80" i="1"/>
  <c r="AC80" i="1"/>
  <c r="AB80" i="1"/>
  <c r="AA80" i="1"/>
  <c r="Z80" i="1"/>
  <c r="W80" i="1"/>
  <c r="X80" i="1" s="1"/>
  <c r="Y80" i="1" s="1"/>
  <c r="V80" i="1"/>
  <c r="AQ79" i="1"/>
  <c r="AP79" i="1"/>
  <c r="AO79" i="1"/>
  <c r="AN79" i="1"/>
  <c r="AM79" i="1"/>
  <c r="AL79" i="1"/>
  <c r="AK79" i="1"/>
  <c r="AJ79" i="1"/>
  <c r="AI79" i="1"/>
  <c r="AH79" i="1"/>
  <c r="AC79" i="1"/>
  <c r="AB79" i="1"/>
  <c r="AA79" i="1"/>
  <c r="Z79" i="1"/>
  <c r="W79" i="1"/>
  <c r="X79" i="1" s="1"/>
  <c r="Y79" i="1" s="1"/>
  <c r="V79" i="1"/>
  <c r="AQ78" i="1"/>
  <c r="AP78" i="1"/>
  <c r="AO78" i="1"/>
  <c r="AN78" i="1"/>
  <c r="AM78" i="1"/>
  <c r="AL78" i="1"/>
  <c r="AK78" i="1"/>
  <c r="AJ78" i="1"/>
  <c r="AI78" i="1"/>
  <c r="AH78" i="1"/>
  <c r="AC78" i="1"/>
  <c r="AB78" i="1"/>
  <c r="AA78" i="1"/>
  <c r="Z78" i="1"/>
  <c r="W78" i="1"/>
  <c r="X78" i="1" s="1"/>
  <c r="Y78" i="1" s="1"/>
  <c r="V78" i="1"/>
  <c r="AQ77" i="1"/>
  <c r="AP77" i="1"/>
  <c r="AO77" i="1"/>
  <c r="AN77" i="1"/>
  <c r="AM77" i="1"/>
  <c r="AL77" i="1"/>
  <c r="AK77" i="1"/>
  <c r="AJ77" i="1"/>
  <c r="AI77" i="1"/>
  <c r="AH77" i="1"/>
  <c r="AC77" i="1"/>
  <c r="AB77" i="1"/>
  <c r="AA77" i="1"/>
  <c r="Z77" i="1"/>
  <c r="W77" i="1"/>
  <c r="X77" i="1" s="1"/>
  <c r="Y77" i="1" s="1"/>
  <c r="V77" i="1"/>
  <c r="AQ76" i="1"/>
  <c r="AP76" i="1"/>
  <c r="AO76" i="1"/>
  <c r="AN76" i="1"/>
  <c r="AM76" i="1"/>
  <c r="AL76" i="1"/>
  <c r="AK76" i="1"/>
  <c r="AJ76" i="1"/>
  <c r="AI76" i="1"/>
  <c r="AH76" i="1"/>
  <c r="AC76" i="1"/>
  <c r="AB76" i="1"/>
  <c r="AA76" i="1"/>
  <c r="Z76" i="1"/>
  <c r="W76" i="1"/>
  <c r="X76" i="1" s="1"/>
  <c r="Y76" i="1" s="1"/>
  <c r="V76" i="1"/>
  <c r="AQ75" i="1"/>
  <c r="AP75" i="1"/>
  <c r="AO75" i="1"/>
  <c r="AN75" i="1"/>
  <c r="AM75" i="1"/>
  <c r="AL75" i="1"/>
  <c r="AK75" i="1"/>
  <c r="AJ75" i="1"/>
  <c r="AI75" i="1"/>
  <c r="AH75" i="1"/>
  <c r="AC75" i="1"/>
  <c r="AB75" i="1"/>
  <c r="AA75" i="1"/>
  <c r="Z75" i="1"/>
  <c r="W75" i="1"/>
  <c r="X75" i="1" s="1"/>
  <c r="Y75" i="1" s="1"/>
  <c r="V75" i="1"/>
  <c r="AQ74" i="1"/>
  <c r="AP74" i="1"/>
  <c r="AO74" i="1"/>
  <c r="AN74" i="1"/>
  <c r="AM74" i="1"/>
  <c r="AL74" i="1"/>
  <c r="AK74" i="1"/>
  <c r="AJ74" i="1"/>
  <c r="AI74" i="1"/>
  <c r="AH74" i="1"/>
  <c r="AC74" i="1"/>
  <c r="AB74" i="1"/>
  <c r="AA74" i="1"/>
  <c r="Z74" i="1"/>
  <c r="W74" i="1"/>
  <c r="X74" i="1" s="1"/>
  <c r="Y74" i="1" s="1"/>
  <c r="V74" i="1"/>
  <c r="AQ73" i="1"/>
  <c r="AP73" i="1"/>
  <c r="AO73" i="1"/>
  <c r="AN73" i="1"/>
  <c r="AM73" i="1"/>
  <c r="AL73" i="1"/>
  <c r="AK73" i="1"/>
  <c r="AJ73" i="1"/>
  <c r="AI73" i="1"/>
  <c r="AH73" i="1"/>
  <c r="AC73" i="1"/>
  <c r="AB73" i="1"/>
  <c r="AA73" i="1"/>
  <c r="Z73" i="1"/>
  <c r="W73" i="1"/>
  <c r="X73" i="1" s="1"/>
  <c r="Y73" i="1" s="1"/>
  <c r="V73" i="1"/>
  <c r="AQ72" i="1"/>
  <c r="AP72" i="1"/>
  <c r="AO72" i="1"/>
  <c r="AN72" i="1"/>
  <c r="AM72" i="1"/>
  <c r="AL72" i="1"/>
  <c r="AK72" i="1"/>
  <c r="AJ72" i="1"/>
  <c r="AI72" i="1"/>
  <c r="AH72" i="1"/>
  <c r="AC72" i="1"/>
  <c r="AB72" i="1"/>
  <c r="AA72" i="1"/>
  <c r="Z72" i="1"/>
  <c r="W72" i="1"/>
  <c r="X72" i="1" s="1"/>
  <c r="Y72" i="1" s="1"/>
  <c r="V72" i="1"/>
  <c r="AQ71" i="1"/>
  <c r="AP71" i="1"/>
  <c r="AO71" i="1"/>
  <c r="AN71" i="1"/>
  <c r="AM71" i="1"/>
  <c r="AL71" i="1"/>
  <c r="AK71" i="1"/>
  <c r="AJ71" i="1"/>
  <c r="AI71" i="1"/>
  <c r="AH71" i="1"/>
  <c r="AC71" i="1"/>
  <c r="AB71" i="1"/>
  <c r="AA71" i="1"/>
  <c r="Z71" i="1"/>
  <c r="W71" i="1"/>
  <c r="X71" i="1" s="1"/>
  <c r="Y71" i="1" s="1"/>
  <c r="V71" i="1"/>
  <c r="AQ70" i="1"/>
  <c r="AP70" i="1"/>
  <c r="AO70" i="1"/>
  <c r="AN70" i="1"/>
  <c r="AM70" i="1"/>
  <c r="AL70" i="1"/>
  <c r="AK70" i="1"/>
  <c r="AJ70" i="1"/>
  <c r="AI70" i="1"/>
  <c r="AH70" i="1"/>
  <c r="AC70" i="1"/>
  <c r="AB70" i="1"/>
  <c r="AA70" i="1"/>
  <c r="Z70" i="1"/>
  <c r="W70" i="1"/>
  <c r="X70" i="1" s="1"/>
  <c r="Y70" i="1" s="1"/>
  <c r="V70" i="1"/>
  <c r="AQ69" i="1"/>
  <c r="AP69" i="1"/>
  <c r="AO69" i="1"/>
  <c r="AN69" i="1"/>
  <c r="AM69" i="1"/>
  <c r="AL69" i="1"/>
  <c r="AK69" i="1"/>
  <c r="AJ69" i="1"/>
  <c r="AI69" i="1"/>
  <c r="AH69" i="1"/>
  <c r="AC69" i="1"/>
  <c r="AB69" i="1"/>
  <c r="AA69" i="1"/>
  <c r="Z69" i="1"/>
  <c r="W69" i="1"/>
  <c r="X69" i="1" s="1"/>
  <c r="Y69" i="1" s="1"/>
  <c r="V69" i="1"/>
  <c r="AQ68" i="1"/>
  <c r="AP68" i="1"/>
  <c r="AO68" i="1"/>
  <c r="AN68" i="1"/>
  <c r="AM68" i="1"/>
  <c r="AL68" i="1"/>
  <c r="AK68" i="1"/>
  <c r="AJ68" i="1"/>
  <c r="AI68" i="1"/>
  <c r="AH68" i="1"/>
  <c r="AC68" i="1"/>
  <c r="AB68" i="1"/>
  <c r="AA68" i="1"/>
  <c r="Z68" i="1"/>
  <c r="W68" i="1"/>
  <c r="X68" i="1" s="1"/>
  <c r="Y68" i="1" s="1"/>
  <c r="V68" i="1"/>
  <c r="AQ67" i="1"/>
  <c r="AP67" i="1"/>
  <c r="AO67" i="1"/>
  <c r="AN67" i="1"/>
  <c r="AM67" i="1"/>
  <c r="AL67" i="1"/>
  <c r="AK67" i="1"/>
  <c r="AJ67" i="1"/>
  <c r="AI67" i="1"/>
  <c r="AH67" i="1"/>
  <c r="AC67" i="1"/>
  <c r="AB67" i="1"/>
  <c r="AA67" i="1"/>
  <c r="Z67" i="1"/>
  <c r="W67" i="1"/>
  <c r="X67" i="1" s="1"/>
  <c r="Y67" i="1" s="1"/>
  <c r="V67" i="1"/>
  <c r="AQ66" i="1"/>
  <c r="AP66" i="1"/>
  <c r="AO66" i="1"/>
  <c r="AN66" i="1"/>
  <c r="AM66" i="1"/>
  <c r="AL66" i="1"/>
  <c r="AK66" i="1"/>
  <c r="AJ66" i="1"/>
  <c r="AI66" i="1"/>
  <c r="AH66" i="1"/>
  <c r="AC66" i="1"/>
  <c r="AB66" i="1"/>
  <c r="AA66" i="1"/>
  <c r="Z66" i="1"/>
  <c r="W66" i="1"/>
  <c r="X66" i="1" s="1"/>
  <c r="Y66" i="1" s="1"/>
  <c r="V66" i="1"/>
  <c r="AQ65" i="1"/>
  <c r="AP65" i="1"/>
  <c r="AO65" i="1"/>
  <c r="AN65" i="1"/>
  <c r="AM65" i="1"/>
  <c r="AL65" i="1"/>
  <c r="AK65" i="1"/>
  <c r="AJ65" i="1"/>
  <c r="AI65" i="1"/>
  <c r="AH65" i="1"/>
  <c r="AC65" i="1"/>
  <c r="AB65" i="1"/>
  <c r="AA65" i="1"/>
  <c r="Z65" i="1"/>
  <c r="W65" i="1"/>
  <c r="X65" i="1" s="1"/>
  <c r="Y65" i="1" s="1"/>
  <c r="V65" i="1"/>
  <c r="AQ64" i="1"/>
  <c r="AP64" i="1"/>
  <c r="AO64" i="1"/>
  <c r="AN64" i="1"/>
  <c r="AM64" i="1"/>
  <c r="AL64" i="1"/>
  <c r="AK64" i="1"/>
  <c r="AJ64" i="1"/>
  <c r="AI64" i="1"/>
  <c r="AH64" i="1"/>
  <c r="AC64" i="1"/>
  <c r="AB64" i="1"/>
  <c r="AA64" i="1"/>
  <c r="Z64" i="1"/>
  <c r="W64" i="1"/>
  <c r="X64" i="1" s="1"/>
  <c r="Y64" i="1" s="1"/>
  <c r="V64" i="1"/>
  <c r="AQ63" i="1"/>
  <c r="AP63" i="1"/>
  <c r="AO63" i="1"/>
  <c r="AN63" i="1"/>
  <c r="AM63" i="1"/>
  <c r="AL63" i="1"/>
  <c r="AK63" i="1"/>
  <c r="AJ63" i="1"/>
  <c r="AI63" i="1"/>
  <c r="AH63" i="1"/>
  <c r="AC63" i="1"/>
  <c r="AB63" i="1"/>
  <c r="AA63" i="1"/>
  <c r="Z63" i="1"/>
  <c r="W63" i="1"/>
  <c r="X63" i="1" s="1"/>
  <c r="Y63" i="1" s="1"/>
  <c r="V63" i="1"/>
  <c r="AQ62" i="1"/>
  <c r="AP62" i="1"/>
  <c r="AO62" i="1"/>
  <c r="AN62" i="1"/>
  <c r="AM62" i="1"/>
  <c r="AL62" i="1"/>
  <c r="AK62" i="1"/>
  <c r="AJ62" i="1"/>
  <c r="AI62" i="1"/>
  <c r="AH62" i="1"/>
  <c r="AC62" i="1"/>
  <c r="AB62" i="1"/>
  <c r="AA62" i="1"/>
  <c r="Z62" i="1"/>
  <c r="W62" i="1"/>
  <c r="X62" i="1" s="1"/>
  <c r="Y62" i="1" s="1"/>
  <c r="V62" i="1"/>
  <c r="AQ61" i="1"/>
  <c r="AP61" i="1"/>
  <c r="AO61" i="1"/>
  <c r="AN61" i="1"/>
  <c r="AM61" i="1"/>
  <c r="AL61" i="1"/>
  <c r="AK61" i="1"/>
  <c r="AJ61" i="1"/>
  <c r="AI61" i="1"/>
  <c r="AH61" i="1"/>
  <c r="AC61" i="1"/>
  <c r="AB61" i="1"/>
  <c r="AA61" i="1"/>
  <c r="Z61" i="1"/>
  <c r="W61" i="1"/>
  <c r="X61" i="1" s="1"/>
  <c r="Y61" i="1" s="1"/>
  <c r="V61" i="1"/>
  <c r="AQ60" i="1"/>
  <c r="AP60" i="1"/>
  <c r="AN60" i="1"/>
  <c r="AM60" i="1"/>
  <c r="AL60" i="1"/>
  <c r="AK60" i="1"/>
  <c r="AJ60" i="1"/>
  <c r="AI60" i="1"/>
  <c r="AH60" i="1"/>
  <c r="AC60" i="1"/>
  <c r="AB60" i="1"/>
  <c r="AA60" i="1"/>
  <c r="Z60" i="1"/>
  <c r="W60" i="1"/>
  <c r="X60" i="1" s="1"/>
  <c r="Y60" i="1" s="1"/>
  <c r="V60" i="1"/>
  <c r="AQ59" i="1"/>
  <c r="AP59" i="1"/>
  <c r="AO59" i="1"/>
  <c r="AN59" i="1"/>
  <c r="AM59" i="1"/>
  <c r="AL59" i="1"/>
  <c r="AK59" i="1"/>
  <c r="AJ59" i="1"/>
  <c r="AI59" i="1"/>
  <c r="AH59" i="1"/>
  <c r="AC59" i="1"/>
  <c r="AB59" i="1"/>
  <c r="AA59" i="1"/>
  <c r="Z59" i="1"/>
  <c r="W59" i="1"/>
  <c r="X59" i="1" s="1"/>
  <c r="Y59" i="1" s="1"/>
  <c r="V59" i="1"/>
  <c r="AQ58" i="1"/>
  <c r="AP58" i="1"/>
  <c r="AO58" i="1"/>
  <c r="AN58" i="1"/>
  <c r="AM58" i="1"/>
  <c r="AL58" i="1"/>
  <c r="AK58" i="1"/>
  <c r="AJ58" i="1"/>
  <c r="AI58" i="1"/>
  <c r="AH58" i="1"/>
  <c r="AC58" i="1"/>
  <c r="AB58" i="1"/>
  <c r="AA58" i="1"/>
  <c r="Z58" i="1"/>
  <c r="W58" i="1"/>
  <c r="X58" i="1" s="1"/>
  <c r="Y58" i="1" s="1"/>
  <c r="V58" i="1"/>
  <c r="AQ57" i="1"/>
  <c r="AP57" i="1"/>
  <c r="AO57" i="1"/>
  <c r="AN57" i="1"/>
  <c r="AM57" i="1"/>
  <c r="AL57" i="1"/>
  <c r="AK57" i="1"/>
  <c r="AJ57" i="1"/>
  <c r="AI57" i="1"/>
  <c r="AH57" i="1"/>
  <c r="AC57" i="1"/>
  <c r="AB57" i="1"/>
  <c r="AA57" i="1"/>
  <c r="Z57" i="1"/>
  <c r="W57" i="1"/>
  <c r="X57" i="1" s="1"/>
  <c r="Y57" i="1" s="1"/>
  <c r="V57" i="1"/>
  <c r="AQ56" i="1"/>
  <c r="AP56" i="1"/>
  <c r="AO56" i="1"/>
  <c r="AN56" i="1"/>
  <c r="AM56" i="1"/>
  <c r="AL56" i="1"/>
  <c r="AK56" i="1"/>
  <c r="AJ56" i="1"/>
  <c r="AI56" i="1"/>
  <c r="AH56" i="1"/>
  <c r="AC56" i="1"/>
  <c r="AB56" i="1"/>
  <c r="AA56" i="1"/>
  <c r="Z56" i="1"/>
  <c r="W56" i="1"/>
  <c r="X56" i="1" s="1"/>
  <c r="Y56" i="1" s="1"/>
  <c r="V56" i="1"/>
  <c r="AQ55" i="1"/>
  <c r="AP55" i="1"/>
  <c r="AO55" i="1"/>
  <c r="AN55" i="1"/>
  <c r="AM55" i="1"/>
  <c r="AL55" i="1"/>
  <c r="AK55" i="1"/>
  <c r="AJ55" i="1"/>
  <c r="AI55" i="1"/>
  <c r="AH55" i="1"/>
  <c r="AC55" i="1"/>
  <c r="AB55" i="1"/>
  <c r="AA55" i="1"/>
  <c r="Z55" i="1"/>
  <c r="W55" i="1"/>
  <c r="X55" i="1" s="1"/>
  <c r="Y55" i="1" s="1"/>
  <c r="V55" i="1"/>
  <c r="AQ54" i="1"/>
  <c r="AP54" i="1"/>
  <c r="AO54" i="1"/>
  <c r="AN54" i="1"/>
  <c r="AM54" i="1"/>
  <c r="AL54" i="1"/>
  <c r="AK54" i="1"/>
  <c r="AJ54" i="1"/>
  <c r="AI54" i="1"/>
  <c r="AH54" i="1"/>
  <c r="AC54" i="1"/>
  <c r="AB54" i="1"/>
  <c r="AA54" i="1"/>
  <c r="Z54" i="1"/>
  <c r="W54" i="1"/>
  <c r="X54" i="1" s="1"/>
  <c r="Y54" i="1" s="1"/>
  <c r="V54" i="1"/>
  <c r="AQ53" i="1"/>
  <c r="AP53" i="1"/>
  <c r="AO53" i="1"/>
  <c r="AN53" i="1"/>
  <c r="AM53" i="1"/>
  <c r="AL53" i="1"/>
  <c r="AK53" i="1"/>
  <c r="AJ53" i="1"/>
  <c r="AI53" i="1"/>
  <c r="AH53" i="1"/>
  <c r="AC53" i="1"/>
  <c r="AB53" i="1"/>
  <c r="AA53" i="1"/>
  <c r="Z53" i="1"/>
  <c r="W53" i="1"/>
  <c r="X53" i="1" s="1"/>
  <c r="Y53" i="1" s="1"/>
  <c r="V53" i="1"/>
  <c r="AQ52" i="1"/>
  <c r="AP52" i="1"/>
  <c r="AO52" i="1"/>
  <c r="AN52" i="1"/>
  <c r="AM52" i="1"/>
  <c r="AL52" i="1"/>
  <c r="AK52" i="1"/>
  <c r="AJ52" i="1"/>
  <c r="AI52" i="1"/>
  <c r="AH52" i="1"/>
  <c r="AC52" i="1"/>
  <c r="AB52" i="1"/>
  <c r="AA52" i="1"/>
  <c r="Z52" i="1"/>
  <c r="W52" i="1"/>
  <c r="X52" i="1" s="1"/>
  <c r="Y52" i="1" s="1"/>
  <c r="V52" i="1"/>
  <c r="AQ51" i="1"/>
  <c r="AP51" i="1"/>
  <c r="AO51" i="1"/>
  <c r="AN51" i="1"/>
  <c r="AM51" i="1"/>
  <c r="AL51" i="1"/>
  <c r="AK51" i="1"/>
  <c r="AJ51" i="1"/>
  <c r="AI51" i="1"/>
  <c r="AH51" i="1"/>
  <c r="AC51" i="1"/>
  <c r="AB51" i="1"/>
  <c r="AA51" i="1"/>
  <c r="Z51" i="1"/>
  <c r="W51" i="1"/>
  <c r="X51" i="1" s="1"/>
  <c r="Y51" i="1" s="1"/>
  <c r="V51" i="1"/>
  <c r="AQ50" i="1"/>
  <c r="AP50" i="1"/>
  <c r="AO50" i="1"/>
  <c r="AN50" i="1"/>
  <c r="AM50" i="1"/>
  <c r="AL50" i="1"/>
  <c r="AK50" i="1"/>
  <c r="AJ50" i="1"/>
  <c r="AI50" i="1"/>
  <c r="AH50" i="1"/>
  <c r="AC50" i="1"/>
  <c r="AB50" i="1"/>
  <c r="AA50" i="1"/>
  <c r="Z50" i="1"/>
  <c r="W50" i="1"/>
  <c r="X50" i="1" s="1"/>
  <c r="Y50" i="1" s="1"/>
  <c r="V50" i="1"/>
  <c r="AQ49" i="1"/>
  <c r="AP49" i="1"/>
  <c r="AO49" i="1"/>
  <c r="AN49" i="1"/>
  <c r="AM49" i="1"/>
  <c r="AL49" i="1"/>
  <c r="AK49" i="1"/>
  <c r="AJ49" i="1"/>
  <c r="AI49" i="1"/>
  <c r="AH49" i="1"/>
  <c r="AC49" i="1"/>
  <c r="AB49" i="1"/>
  <c r="AA49" i="1"/>
  <c r="Z49" i="1"/>
  <c r="W49" i="1"/>
  <c r="X49" i="1" s="1"/>
  <c r="Y49" i="1" s="1"/>
  <c r="V49" i="1"/>
  <c r="AQ48" i="1"/>
  <c r="AP48" i="1"/>
  <c r="AO48" i="1"/>
  <c r="AN48" i="1"/>
  <c r="AM48" i="1"/>
  <c r="AL48" i="1"/>
  <c r="AK48" i="1"/>
  <c r="AJ48" i="1"/>
  <c r="AI48" i="1"/>
  <c r="AH48" i="1"/>
  <c r="AC48" i="1"/>
  <c r="AB48" i="1"/>
  <c r="AA48" i="1"/>
  <c r="Z48" i="1"/>
  <c r="W48" i="1"/>
  <c r="X48" i="1" s="1"/>
  <c r="Y48" i="1" s="1"/>
  <c r="V48" i="1"/>
  <c r="AQ47" i="1"/>
  <c r="AP47" i="1"/>
  <c r="AO47" i="1"/>
  <c r="AN47" i="1"/>
  <c r="AM47" i="1"/>
  <c r="AL47" i="1"/>
  <c r="AK47" i="1"/>
  <c r="AJ47" i="1"/>
  <c r="AI47" i="1"/>
  <c r="AH47" i="1"/>
  <c r="AC47" i="1"/>
  <c r="AB47" i="1"/>
  <c r="AA47" i="1"/>
  <c r="Z47" i="1"/>
  <c r="W47" i="1"/>
  <c r="X47" i="1" s="1"/>
  <c r="Y47" i="1" s="1"/>
  <c r="V47" i="1"/>
  <c r="AQ46" i="1"/>
  <c r="AP46" i="1"/>
  <c r="AO46" i="1"/>
  <c r="AN46" i="1"/>
  <c r="AM46" i="1"/>
  <c r="AL46" i="1"/>
  <c r="AK46" i="1"/>
  <c r="AJ46" i="1"/>
  <c r="AI46" i="1"/>
  <c r="AH46" i="1"/>
  <c r="AC46" i="1"/>
  <c r="AB46" i="1"/>
  <c r="AA46" i="1"/>
  <c r="Z46" i="1"/>
  <c r="W46" i="1"/>
  <c r="X46" i="1" s="1"/>
  <c r="Y46" i="1" s="1"/>
  <c r="V46" i="1"/>
  <c r="AQ45" i="1"/>
  <c r="AP45" i="1"/>
  <c r="AO45" i="1"/>
  <c r="AN45" i="1"/>
  <c r="AM45" i="1"/>
  <c r="AL45" i="1"/>
  <c r="AK45" i="1"/>
  <c r="AJ45" i="1"/>
  <c r="AI45" i="1"/>
  <c r="AH45" i="1"/>
  <c r="AC45" i="1"/>
  <c r="AB45" i="1"/>
  <c r="AA45" i="1"/>
  <c r="Z45" i="1"/>
  <c r="W45" i="1"/>
  <c r="X45" i="1" s="1"/>
  <c r="Y45" i="1" s="1"/>
  <c r="V45" i="1"/>
  <c r="AQ44" i="1"/>
  <c r="AP44" i="1"/>
  <c r="AO44" i="1"/>
  <c r="AN44" i="1"/>
  <c r="AM44" i="1"/>
  <c r="AL44" i="1"/>
  <c r="AK44" i="1"/>
  <c r="AJ44" i="1"/>
  <c r="AI44" i="1"/>
  <c r="AH44" i="1"/>
  <c r="AC44" i="1"/>
  <c r="AB44" i="1"/>
  <c r="AA44" i="1"/>
  <c r="Z44" i="1"/>
  <c r="W44" i="1"/>
  <c r="X44" i="1" s="1"/>
  <c r="Y44" i="1" s="1"/>
  <c r="V44" i="1"/>
  <c r="AQ43" i="1"/>
  <c r="AP43" i="1"/>
  <c r="AO43" i="1"/>
  <c r="AN43" i="1"/>
  <c r="AM43" i="1"/>
  <c r="AL43" i="1"/>
  <c r="AK43" i="1"/>
  <c r="AJ43" i="1"/>
  <c r="AI43" i="1"/>
  <c r="AH43" i="1"/>
  <c r="AC43" i="1"/>
  <c r="AB43" i="1"/>
  <c r="AA43" i="1"/>
  <c r="Z43" i="1"/>
  <c r="W43" i="1"/>
  <c r="X43" i="1" s="1"/>
  <c r="Y43" i="1" s="1"/>
  <c r="V43" i="1"/>
  <c r="AQ42" i="1"/>
  <c r="AP42" i="1"/>
  <c r="AO42" i="1"/>
  <c r="AN42" i="1"/>
  <c r="AM42" i="1"/>
  <c r="AL42" i="1"/>
  <c r="AK42" i="1"/>
  <c r="AJ42" i="1"/>
  <c r="AI42" i="1"/>
  <c r="AH42" i="1"/>
  <c r="AC42" i="1"/>
  <c r="AB42" i="1"/>
  <c r="AA42" i="1"/>
  <c r="Z42" i="1"/>
  <c r="W42" i="1"/>
  <c r="X42" i="1" s="1"/>
  <c r="Y42" i="1" s="1"/>
  <c r="V42" i="1"/>
  <c r="AQ41" i="1"/>
  <c r="AP41" i="1"/>
  <c r="AO41" i="1"/>
  <c r="AN41" i="1"/>
  <c r="AM41" i="1"/>
  <c r="AL41" i="1"/>
  <c r="AK41" i="1"/>
  <c r="AJ41" i="1"/>
  <c r="AI41" i="1"/>
  <c r="AH41" i="1"/>
  <c r="AC41" i="1"/>
  <c r="AB41" i="1"/>
  <c r="AA41" i="1"/>
  <c r="Z41" i="1"/>
  <c r="W41" i="1"/>
  <c r="X41" i="1" s="1"/>
  <c r="Y41" i="1" s="1"/>
  <c r="V41" i="1"/>
  <c r="AQ40" i="1"/>
  <c r="AP40" i="1"/>
  <c r="AO40" i="1"/>
  <c r="AN40" i="1"/>
  <c r="AM40" i="1"/>
  <c r="AL40" i="1"/>
  <c r="AK40" i="1"/>
  <c r="AJ40" i="1"/>
  <c r="AI40" i="1"/>
  <c r="AH40" i="1"/>
  <c r="AC40" i="1"/>
  <c r="AB40" i="1"/>
  <c r="AA40" i="1"/>
  <c r="Z40" i="1"/>
  <c r="W40" i="1"/>
  <c r="X40" i="1" s="1"/>
  <c r="Y40" i="1" s="1"/>
  <c r="V40" i="1"/>
  <c r="AQ39" i="1"/>
  <c r="AP39" i="1"/>
  <c r="AO39" i="1"/>
  <c r="AN39" i="1"/>
  <c r="AM39" i="1"/>
  <c r="AL39" i="1"/>
  <c r="AK39" i="1"/>
  <c r="AJ39" i="1"/>
  <c r="AI39" i="1"/>
  <c r="AH39" i="1"/>
  <c r="AC39" i="1"/>
  <c r="AB39" i="1"/>
  <c r="AA39" i="1"/>
  <c r="Z39" i="1"/>
  <c r="W39" i="1"/>
  <c r="X39" i="1" s="1"/>
  <c r="Y39" i="1" s="1"/>
  <c r="V39" i="1"/>
  <c r="AQ38" i="1"/>
  <c r="AP38" i="1"/>
  <c r="AO38" i="1"/>
  <c r="AN38" i="1"/>
  <c r="AM38" i="1"/>
  <c r="AL38" i="1"/>
  <c r="AK38" i="1"/>
  <c r="AJ38" i="1"/>
  <c r="AI38" i="1"/>
  <c r="AH38" i="1"/>
  <c r="AC38" i="1"/>
  <c r="AB38" i="1"/>
  <c r="AA38" i="1"/>
  <c r="Z38" i="1"/>
  <c r="W38" i="1"/>
  <c r="X38" i="1" s="1"/>
  <c r="Y38" i="1" s="1"/>
  <c r="V38" i="1"/>
  <c r="AQ37" i="1"/>
  <c r="AP37" i="1"/>
  <c r="AO37" i="1"/>
  <c r="AN37" i="1"/>
  <c r="AM37" i="1"/>
  <c r="AL37" i="1"/>
  <c r="AK37" i="1"/>
  <c r="AJ37" i="1"/>
  <c r="AI37" i="1"/>
  <c r="AH37" i="1"/>
  <c r="AC37" i="1"/>
  <c r="AB37" i="1"/>
  <c r="AA37" i="1"/>
  <c r="Z37" i="1"/>
  <c r="W37" i="1"/>
  <c r="X37" i="1" s="1"/>
  <c r="Y37" i="1" s="1"/>
  <c r="V37" i="1"/>
  <c r="AQ36" i="1"/>
  <c r="AP36" i="1"/>
  <c r="AN36" i="1"/>
  <c r="AM36" i="1"/>
  <c r="AL36" i="1"/>
  <c r="AK36" i="1"/>
  <c r="AJ36" i="1"/>
  <c r="AI36" i="1"/>
  <c r="AH36" i="1"/>
  <c r="AC36" i="1"/>
  <c r="AB36" i="1"/>
  <c r="AA36" i="1"/>
  <c r="Z36" i="1"/>
  <c r="W36" i="1"/>
  <c r="X36" i="1" s="1"/>
  <c r="Y36" i="1" s="1"/>
  <c r="V36" i="1"/>
  <c r="AQ35" i="1"/>
  <c r="AP35" i="1"/>
  <c r="AO35" i="1"/>
  <c r="AN35" i="1"/>
  <c r="AM35" i="1"/>
  <c r="AL35" i="1"/>
  <c r="AK35" i="1"/>
  <c r="AJ35" i="1"/>
  <c r="AI35" i="1"/>
  <c r="AH35" i="1"/>
  <c r="AC35" i="1"/>
  <c r="AB35" i="1"/>
  <c r="AA35" i="1"/>
  <c r="Z35" i="1"/>
  <c r="W35" i="1"/>
  <c r="X35" i="1" s="1"/>
  <c r="Y35" i="1" s="1"/>
  <c r="V35" i="1"/>
  <c r="AQ34" i="1"/>
  <c r="AP34" i="1"/>
  <c r="AO34" i="1"/>
  <c r="AN34" i="1"/>
  <c r="AM34" i="1"/>
  <c r="AL34" i="1"/>
  <c r="AK34" i="1"/>
  <c r="AJ34" i="1"/>
  <c r="AI34" i="1"/>
  <c r="AH34" i="1"/>
  <c r="AC34" i="1"/>
  <c r="AB34" i="1"/>
  <c r="AA34" i="1"/>
  <c r="Z34" i="1"/>
  <c r="W34" i="1"/>
  <c r="X34" i="1" s="1"/>
  <c r="Y34" i="1" s="1"/>
  <c r="V34" i="1"/>
  <c r="AQ33" i="1"/>
  <c r="AP33" i="1"/>
  <c r="AO33" i="1"/>
  <c r="AN33" i="1"/>
  <c r="AM33" i="1"/>
  <c r="AL33" i="1"/>
  <c r="AK33" i="1"/>
  <c r="AJ33" i="1"/>
  <c r="AI33" i="1"/>
  <c r="AH33" i="1"/>
  <c r="AC33" i="1"/>
  <c r="AB33" i="1"/>
  <c r="AA33" i="1"/>
  <c r="Z33" i="1"/>
  <c r="W33" i="1"/>
  <c r="X33" i="1" s="1"/>
  <c r="Y33" i="1" s="1"/>
  <c r="V33" i="1"/>
  <c r="AQ32" i="1"/>
  <c r="AP32" i="1"/>
  <c r="AO32" i="1"/>
  <c r="AN32" i="1"/>
  <c r="AM32" i="1"/>
  <c r="AL32" i="1"/>
  <c r="AK32" i="1"/>
  <c r="AJ32" i="1"/>
  <c r="AI32" i="1"/>
  <c r="AH32" i="1"/>
  <c r="AC32" i="1"/>
  <c r="AB32" i="1"/>
  <c r="AA32" i="1"/>
  <c r="Z32" i="1"/>
  <c r="W32" i="1"/>
  <c r="X32" i="1" s="1"/>
  <c r="Y32" i="1" s="1"/>
  <c r="V32" i="1"/>
  <c r="AQ31" i="1"/>
  <c r="AP31" i="1"/>
  <c r="AO31" i="1"/>
  <c r="AN31" i="1"/>
  <c r="AM31" i="1"/>
  <c r="AL31" i="1"/>
  <c r="AK31" i="1"/>
  <c r="AJ31" i="1"/>
  <c r="AI31" i="1"/>
  <c r="AH31" i="1"/>
  <c r="AC31" i="1"/>
  <c r="AB31" i="1"/>
  <c r="AA31" i="1"/>
  <c r="Z31" i="1"/>
  <c r="W31" i="1"/>
  <c r="X31" i="1" s="1"/>
  <c r="Y31" i="1" s="1"/>
  <c r="V31" i="1"/>
  <c r="AQ30" i="1"/>
  <c r="AP30" i="1"/>
  <c r="AO30" i="1"/>
  <c r="AN30" i="1"/>
  <c r="AM30" i="1"/>
  <c r="AL30" i="1"/>
  <c r="AK30" i="1"/>
  <c r="AJ30" i="1"/>
  <c r="AI30" i="1"/>
  <c r="AH30" i="1"/>
  <c r="AC30" i="1"/>
  <c r="AB30" i="1"/>
  <c r="AA30" i="1"/>
  <c r="Z30" i="1"/>
  <c r="W30" i="1"/>
  <c r="X30" i="1" s="1"/>
  <c r="Y30" i="1" s="1"/>
  <c r="V30" i="1"/>
  <c r="AQ29" i="1"/>
  <c r="AP29" i="1"/>
  <c r="AO29" i="1"/>
  <c r="AN29" i="1"/>
  <c r="AM29" i="1"/>
  <c r="AL29" i="1"/>
  <c r="AK29" i="1"/>
  <c r="AJ29" i="1"/>
  <c r="AI29" i="1"/>
  <c r="AH29" i="1"/>
  <c r="AC29" i="1"/>
  <c r="AB29" i="1"/>
  <c r="AA29" i="1"/>
  <c r="Z29" i="1"/>
  <c r="W29" i="1"/>
  <c r="X29" i="1" s="1"/>
  <c r="Y29" i="1" s="1"/>
  <c r="V29" i="1"/>
  <c r="AQ28" i="1"/>
  <c r="AP28" i="1"/>
  <c r="AO28" i="1"/>
  <c r="AN28" i="1"/>
  <c r="AM28" i="1"/>
  <c r="AL28" i="1"/>
  <c r="AK28" i="1"/>
  <c r="AJ28" i="1"/>
  <c r="AI28" i="1"/>
  <c r="AH28" i="1"/>
  <c r="AC28" i="1"/>
  <c r="AB28" i="1"/>
  <c r="AA28" i="1"/>
  <c r="Z28" i="1"/>
  <c r="W28" i="1"/>
  <c r="X28" i="1" s="1"/>
  <c r="Y28" i="1" s="1"/>
  <c r="V28" i="1"/>
  <c r="AQ27" i="1"/>
  <c r="AP27" i="1"/>
  <c r="AO27" i="1"/>
  <c r="AN27" i="1"/>
  <c r="AM27" i="1"/>
  <c r="AL27" i="1"/>
  <c r="AK27" i="1"/>
  <c r="AJ27" i="1"/>
  <c r="AI27" i="1"/>
  <c r="AH27" i="1"/>
  <c r="AC27" i="1"/>
  <c r="AB27" i="1"/>
  <c r="AA27" i="1"/>
  <c r="Z27" i="1"/>
  <c r="W27" i="1"/>
  <c r="X27" i="1" s="1"/>
  <c r="Y27" i="1" s="1"/>
  <c r="V27" i="1"/>
  <c r="AQ26" i="1"/>
  <c r="AP26" i="1"/>
  <c r="AO26" i="1"/>
  <c r="AN26" i="1"/>
  <c r="AM26" i="1"/>
  <c r="AL26" i="1"/>
  <c r="AK26" i="1"/>
  <c r="AJ26" i="1"/>
  <c r="AI26" i="1"/>
  <c r="AH26" i="1"/>
  <c r="AC26" i="1"/>
  <c r="AB26" i="1"/>
  <c r="AA26" i="1"/>
  <c r="Z26" i="1"/>
  <c r="W26" i="1"/>
  <c r="X26" i="1" s="1"/>
  <c r="Y26" i="1" s="1"/>
  <c r="V26" i="1"/>
  <c r="AQ25" i="1"/>
  <c r="AP25" i="1"/>
  <c r="AO25" i="1"/>
  <c r="AN25" i="1"/>
  <c r="AM25" i="1"/>
  <c r="AL25" i="1"/>
  <c r="AK25" i="1"/>
  <c r="AJ25" i="1"/>
  <c r="AI25" i="1"/>
  <c r="AH25" i="1"/>
  <c r="AC25" i="1"/>
  <c r="AB25" i="1"/>
  <c r="AA25" i="1"/>
  <c r="Z25" i="1"/>
  <c r="W25" i="1"/>
  <c r="X25" i="1" s="1"/>
  <c r="Y25" i="1" s="1"/>
  <c r="V25" i="1"/>
  <c r="AQ24" i="1"/>
  <c r="AP24" i="1"/>
  <c r="AO24" i="1"/>
  <c r="AN24" i="1"/>
  <c r="AM24" i="1"/>
  <c r="AL24" i="1"/>
  <c r="AK24" i="1"/>
  <c r="AJ24" i="1"/>
  <c r="AI24" i="1"/>
  <c r="AH24" i="1"/>
  <c r="AC24" i="1"/>
  <c r="AB24" i="1"/>
  <c r="AA24" i="1"/>
  <c r="Z24" i="1"/>
  <c r="W24" i="1"/>
  <c r="X24" i="1" s="1"/>
  <c r="Y24" i="1" s="1"/>
  <c r="V24" i="1"/>
  <c r="AQ23" i="1"/>
  <c r="AP23" i="1"/>
  <c r="AO23" i="1"/>
  <c r="AN23" i="1"/>
  <c r="AM23" i="1"/>
  <c r="AL23" i="1"/>
  <c r="AK23" i="1"/>
  <c r="AJ23" i="1"/>
  <c r="AI23" i="1"/>
  <c r="AH23" i="1"/>
  <c r="AC23" i="1"/>
  <c r="AB23" i="1"/>
  <c r="AA23" i="1"/>
  <c r="Z23" i="1"/>
  <c r="W23" i="1"/>
  <c r="X23" i="1" s="1"/>
  <c r="Y23" i="1" s="1"/>
  <c r="V23" i="1"/>
  <c r="AQ22" i="1"/>
  <c r="AP22" i="1"/>
  <c r="AO22" i="1"/>
  <c r="AN22" i="1"/>
  <c r="AM22" i="1"/>
  <c r="AL22" i="1"/>
  <c r="AK22" i="1"/>
  <c r="AJ22" i="1"/>
  <c r="AI22" i="1"/>
  <c r="AH22" i="1"/>
  <c r="AC22" i="1"/>
  <c r="AB22" i="1"/>
  <c r="AA22" i="1"/>
  <c r="Z22" i="1"/>
  <c r="W22" i="1"/>
  <c r="X22" i="1" s="1"/>
  <c r="Y22" i="1" s="1"/>
  <c r="V22" i="1"/>
  <c r="AQ21" i="1"/>
  <c r="AP21" i="1"/>
  <c r="AO21" i="1"/>
  <c r="AN21" i="1"/>
  <c r="AM21" i="1"/>
  <c r="AL21" i="1"/>
  <c r="AK21" i="1"/>
  <c r="AJ21" i="1"/>
  <c r="AI21" i="1"/>
  <c r="AH21" i="1"/>
  <c r="AC21" i="1"/>
  <c r="AB21" i="1"/>
  <c r="AA21" i="1"/>
  <c r="Z21" i="1"/>
  <c r="W21" i="1"/>
  <c r="X21" i="1" s="1"/>
  <c r="Y21" i="1" s="1"/>
  <c r="V21" i="1"/>
  <c r="AQ20" i="1"/>
  <c r="AP20" i="1"/>
  <c r="AO20" i="1"/>
  <c r="AN20" i="1"/>
  <c r="AM20" i="1"/>
  <c r="AL20" i="1"/>
  <c r="AK20" i="1"/>
  <c r="AJ20" i="1"/>
  <c r="AI20" i="1"/>
  <c r="AH20" i="1"/>
  <c r="AC20" i="1"/>
  <c r="AB20" i="1"/>
  <c r="AA20" i="1"/>
  <c r="Z20" i="1"/>
  <c r="W20" i="1"/>
  <c r="X20" i="1" s="1"/>
  <c r="Y20" i="1" s="1"/>
  <c r="V20" i="1"/>
  <c r="AQ19" i="1"/>
  <c r="AP19" i="1"/>
  <c r="AO19" i="1"/>
  <c r="AN19" i="1"/>
  <c r="AM19" i="1"/>
  <c r="AL19" i="1"/>
  <c r="AK19" i="1"/>
  <c r="AJ19" i="1"/>
  <c r="AI19" i="1"/>
  <c r="AH19" i="1"/>
  <c r="AC19" i="1"/>
  <c r="AB19" i="1"/>
  <c r="AA19" i="1"/>
  <c r="Z19" i="1"/>
  <c r="W19" i="1"/>
  <c r="X19" i="1" s="1"/>
  <c r="Y19" i="1" s="1"/>
  <c r="V19" i="1"/>
  <c r="AQ18" i="1"/>
  <c r="AP18" i="1"/>
  <c r="AO18" i="1"/>
  <c r="AN18" i="1"/>
  <c r="AM18" i="1"/>
  <c r="AL18" i="1"/>
  <c r="AK18" i="1"/>
  <c r="AJ18" i="1"/>
  <c r="AI18" i="1"/>
  <c r="AH18" i="1"/>
  <c r="AC18" i="1"/>
  <c r="AB18" i="1"/>
  <c r="AA18" i="1"/>
  <c r="Z18" i="1"/>
  <c r="W18" i="1"/>
  <c r="X18" i="1" s="1"/>
  <c r="Y18" i="1" s="1"/>
  <c r="V18" i="1"/>
  <c r="AQ17" i="1"/>
  <c r="AP17" i="1"/>
  <c r="AO17" i="1"/>
  <c r="AN17" i="1"/>
  <c r="AM17" i="1"/>
  <c r="AL17" i="1"/>
  <c r="AK17" i="1"/>
  <c r="AJ17" i="1"/>
  <c r="AI17" i="1"/>
  <c r="AH17" i="1"/>
  <c r="AC17" i="1"/>
  <c r="AB17" i="1"/>
  <c r="AA17" i="1"/>
  <c r="Z17" i="1"/>
  <c r="W17" i="1"/>
  <c r="X17" i="1" s="1"/>
  <c r="Y17" i="1" s="1"/>
  <c r="V17" i="1"/>
  <c r="AQ16" i="1"/>
  <c r="AP16" i="1"/>
  <c r="AO16" i="1"/>
  <c r="AN16" i="1"/>
  <c r="AM16" i="1"/>
  <c r="AL16" i="1"/>
  <c r="AK16" i="1"/>
  <c r="AJ16" i="1"/>
  <c r="AI16" i="1"/>
  <c r="AH16" i="1"/>
  <c r="AC16" i="1"/>
  <c r="AB16" i="1"/>
  <c r="AA16" i="1"/>
  <c r="Z16" i="1"/>
  <c r="W16" i="1"/>
  <c r="X16" i="1" s="1"/>
  <c r="Y16" i="1" s="1"/>
  <c r="V16" i="1"/>
  <c r="AQ15" i="1"/>
  <c r="AP15" i="1"/>
  <c r="AO15" i="1"/>
  <c r="AN15" i="1"/>
  <c r="AM15" i="1"/>
  <c r="AL15" i="1"/>
  <c r="AK15" i="1"/>
  <c r="AJ15" i="1"/>
  <c r="AI15" i="1"/>
  <c r="AH15" i="1"/>
  <c r="AC15" i="1"/>
  <c r="AB15" i="1"/>
  <c r="AA15" i="1"/>
  <c r="Z15" i="1"/>
  <c r="W15" i="1"/>
  <c r="X15" i="1" s="1"/>
  <c r="Y15" i="1" s="1"/>
  <c r="V15" i="1"/>
  <c r="AQ14" i="1"/>
  <c r="AP14" i="1"/>
  <c r="AO14" i="1"/>
  <c r="AN14" i="1"/>
  <c r="AM14" i="1"/>
  <c r="AL14" i="1"/>
  <c r="AK14" i="1"/>
  <c r="AJ14" i="1"/>
  <c r="AI14" i="1"/>
  <c r="AH14" i="1"/>
  <c r="AC14" i="1"/>
  <c r="AB14" i="1"/>
  <c r="AA14" i="1"/>
  <c r="Z14" i="1"/>
  <c r="W14" i="1"/>
  <c r="X14" i="1" s="1"/>
  <c r="Y14" i="1" s="1"/>
  <c r="V14" i="1"/>
  <c r="AQ13" i="1"/>
  <c r="AP13" i="1"/>
  <c r="AO13" i="1"/>
  <c r="AN13" i="1"/>
  <c r="AM13" i="1"/>
  <c r="AL13" i="1"/>
  <c r="AK13" i="1"/>
  <c r="AJ13" i="1"/>
  <c r="AI13" i="1"/>
  <c r="AH13" i="1"/>
  <c r="AC13" i="1"/>
  <c r="AB13" i="1"/>
  <c r="AA13" i="1"/>
  <c r="Z13" i="1"/>
  <c r="W13" i="1"/>
  <c r="X13" i="1" s="1"/>
  <c r="Y13" i="1" s="1"/>
  <c r="V13" i="1"/>
  <c r="AQ12" i="1"/>
  <c r="AP12" i="1"/>
  <c r="AO12" i="1"/>
  <c r="AN12" i="1"/>
  <c r="AM12" i="1"/>
  <c r="AL12" i="1"/>
  <c r="AK12" i="1"/>
  <c r="AJ12" i="1"/>
  <c r="AI12" i="1"/>
  <c r="AH12" i="1"/>
  <c r="AC12" i="1"/>
  <c r="AB12" i="1"/>
  <c r="AA12" i="1"/>
  <c r="Z12" i="1"/>
  <c r="W12" i="1"/>
  <c r="X12" i="1" s="1"/>
  <c r="Y12" i="1" s="1"/>
  <c r="V12" i="1"/>
  <c r="AQ11" i="1"/>
  <c r="AP11" i="1"/>
  <c r="AO11" i="1"/>
  <c r="AN11" i="1"/>
  <c r="AM11" i="1"/>
  <c r="AL11" i="1"/>
  <c r="AK11" i="1"/>
  <c r="AJ11" i="1"/>
  <c r="AI11" i="1"/>
  <c r="AH11" i="1"/>
  <c r="AC11" i="1"/>
  <c r="AB11" i="1"/>
  <c r="AA11" i="1"/>
  <c r="Z11" i="1"/>
  <c r="W11" i="1"/>
  <c r="X11" i="1" s="1"/>
  <c r="Y11" i="1" s="1"/>
  <c r="V11" i="1"/>
  <c r="AQ10" i="1"/>
  <c r="AP10" i="1"/>
  <c r="AO10" i="1"/>
  <c r="AN10" i="1"/>
  <c r="AM10" i="1"/>
  <c r="AL10" i="1"/>
  <c r="AK10" i="1"/>
  <c r="AJ10" i="1"/>
  <c r="AI10" i="1"/>
  <c r="AH10" i="1"/>
  <c r="AC10" i="1"/>
  <c r="AB10" i="1"/>
  <c r="AA10" i="1"/>
  <c r="Z10" i="1"/>
  <c r="W10" i="1"/>
  <c r="X10" i="1" s="1"/>
  <c r="Y10" i="1" s="1"/>
  <c r="V10" i="1"/>
  <c r="AQ9" i="1"/>
  <c r="AP9" i="1"/>
  <c r="AO9" i="1"/>
  <c r="AN9" i="1"/>
  <c r="AM9" i="1"/>
  <c r="AL9" i="1"/>
  <c r="AK9" i="1"/>
  <c r="AJ9" i="1"/>
  <c r="AI9" i="1"/>
  <c r="AH9" i="1"/>
  <c r="AC9" i="1"/>
  <c r="AB9" i="1"/>
  <c r="AA9" i="1"/>
  <c r="Z9" i="1"/>
  <c r="W9" i="1"/>
  <c r="X9" i="1" s="1"/>
  <c r="Y9" i="1" s="1"/>
  <c r="V9" i="1"/>
  <c r="AQ8" i="1"/>
  <c r="AP8" i="1"/>
  <c r="AO8" i="1"/>
  <c r="AN8" i="1"/>
  <c r="AM8" i="1"/>
  <c r="AL8" i="1"/>
  <c r="AK8" i="1"/>
  <c r="AJ8" i="1"/>
  <c r="AI8" i="1"/>
  <c r="AH8" i="1"/>
  <c r="AC8" i="1"/>
  <c r="AB8" i="1"/>
  <c r="AA8" i="1"/>
  <c r="Z8" i="1"/>
  <c r="W8" i="1"/>
  <c r="X8" i="1" s="1"/>
  <c r="Y8" i="1" s="1"/>
  <c r="V8" i="1"/>
  <c r="AQ7" i="1"/>
  <c r="AP7" i="1"/>
  <c r="AO7" i="1"/>
  <c r="AN7" i="1"/>
  <c r="AM7" i="1"/>
  <c r="AL7" i="1"/>
  <c r="AK7" i="1"/>
  <c r="AJ7" i="1"/>
  <c r="AI7" i="1"/>
  <c r="AH7" i="1"/>
  <c r="AC7" i="1"/>
  <c r="AB7" i="1"/>
  <c r="AA7" i="1"/>
  <c r="Z7" i="1"/>
  <c r="W7" i="1"/>
  <c r="X7" i="1" s="1"/>
  <c r="Y7" i="1" s="1"/>
  <c r="V7" i="1"/>
  <c r="AQ6" i="1"/>
  <c r="AP6" i="1"/>
  <c r="AO6" i="1"/>
  <c r="AN6" i="1"/>
  <c r="AM6" i="1"/>
  <c r="AL6" i="1"/>
  <c r="AK6" i="1"/>
  <c r="AJ6" i="1"/>
  <c r="AI6" i="1"/>
  <c r="AH6" i="1"/>
  <c r="AC6" i="1"/>
  <c r="AB6" i="1"/>
  <c r="AA6" i="1"/>
  <c r="Z6" i="1"/>
  <c r="W6" i="1"/>
  <c r="X6" i="1" s="1"/>
  <c r="Y6" i="1" s="1"/>
  <c r="V6" i="1"/>
  <c r="AQ5" i="1"/>
  <c r="AP5" i="1"/>
  <c r="AO5" i="1"/>
  <c r="AN5" i="1"/>
  <c r="AM5" i="1"/>
  <c r="AL5" i="1"/>
  <c r="AK5" i="1"/>
  <c r="AJ5" i="1"/>
  <c r="AI5" i="1"/>
  <c r="AH5" i="1"/>
  <c r="AC5" i="1"/>
  <c r="AB5" i="1"/>
  <c r="AA5" i="1"/>
  <c r="Z5" i="1"/>
  <c r="W5" i="1"/>
  <c r="X5" i="1" s="1"/>
  <c r="Y5" i="1" s="1"/>
  <c r="V5" i="1"/>
  <c r="AQ4" i="1"/>
  <c r="AP4" i="1"/>
  <c r="AO4" i="1"/>
  <c r="AN4" i="1"/>
  <c r="AM4" i="1"/>
  <c r="AL4" i="1"/>
  <c r="AK4" i="1"/>
  <c r="AJ4" i="1"/>
  <c r="AI4" i="1"/>
  <c r="AH4" i="1"/>
  <c r="AC4" i="1"/>
  <c r="AB4" i="1"/>
  <c r="AA4" i="1"/>
  <c r="Z4" i="1"/>
  <c r="W4" i="1"/>
  <c r="X4" i="1" s="1"/>
  <c r="Y4" i="1" s="1"/>
  <c r="V4" i="1"/>
  <c r="AQ3" i="1"/>
  <c r="AP3" i="1"/>
  <c r="AO3" i="1"/>
  <c r="AN3" i="1"/>
  <c r="AM3" i="1"/>
  <c r="AL3" i="1"/>
  <c r="AK3" i="1"/>
  <c r="AJ3" i="1"/>
  <c r="AI3" i="1"/>
  <c r="AH3" i="1"/>
  <c r="AC3" i="1"/>
  <c r="AB3" i="1"/>
  <c r="AA3" i="1"/>
  <c r="Z3" i="1"/>
  <c r="W3" i="1"/>
  <c r="X3" i="1" s="1"/>
  <c r="Y3" i="1" s="1"/>
  <c r="V3" i="1"/>
  <c r="AQ2" i="1"/>
  <c r="AP2" i="1"/>
  <c r="AO2" i="1"/>
  <c r="AN2" i="1"/>
  <c r="AM2" i="1"/>
  <c r="AL2" i="1"/>
  <c r="AK2" i="1"/>
  <c r="AJ2" i="1"/>
  <c r="AI2" i="1"/>
  <c r="AH2" i="1"/>
  <c r="AC2" i="1"/>
  <c r="AB2" i="1"/>
  <c r="AA2" i="1"/>
  <c r="Z2" i="1"/>
  <c r="W2" i="1"/>
  <c r="X2" i="1" s="1"/>
  <c r="Y2" i="1" s="1"/>
  <c r="V2" i="1"/>
  <c r="B6" i="8"/>
  <c r="B5" i="8"/>
  <c r="B6" i="5"/>
  <c r="B5" i="6"/>
  <c r="B4" i="6"/>
</calcChain>
</file>

<file path=xl/sharedStrings.xml><?xml version="1.0" encoding="utf-8"?>
<sst xmlns="http://schemas.openxmlformats.org/spreadsheetml/2006/main" count="12535" uniqueCount="3091">
  <si>
    <t>Missing Value Summary</t>
  </si>
  <si>
    <t>Column Evaluated</t>
  </si>
  <si>
    <t>Missing Count</t>
  </si>
  <si>
    <t>Handling Strategy Applied</t>
  </si>
  <si>
    <t>Region</t>
  </si>
  <si>
    <t>Blanks replaced with "Unknown" and flagged.</t>
  </si>
  <si>
    <t>Ship Mode</t>
  </si>
  <si>
    <t>Discount</t>
  </si>
  <si>
    <t>Empty discounts treated as 0 (valid rows only).</t>
  </si>
  <si>
    <t xml:space="preserve">  </t>
  </si>
  <si>
    <t>Duplicate Record Summary</t>
  </si>
  <si>
    <t>Metric</t>
  </si>
  <si>
    <t>Record Count</t>
  </si>
  <si>
    <t>Logic Used</t>
  </si>
  <si>
    <t>Number of exact duplicate rows found</t>
  </si>
  <si>
    <t>Rows where every single column matched identically.</t>
  </si>
  <si>
    <t>Number of duplicate order IDs found</t>
  </si>
  <si>
    <t>Rows sharing an order_id but containing conflicting data fields.</t>
  </si>
  <si>
    <t>Number of records removed</t>
  </si>
  <si>
    <t>Permanently removed exact duplicate rows from the final dataset.</t>
  </si>
  <si>
    <t>Number of records flagged for review</t>
  </si>
  <si>
    <t>Retained in the final dataset but tagged for manual business logic resolution</t>
  </si>
  <si>
    <t>Logic used for handling duplicates</t>
  </si>
  <si>
    <t>Conditional Flagging</t>
  </si>
  <si>
    <t>Exact duplicates dropped entirely. Conflicting duplicates retained and flagged via COUNTIF matching to prevent data loss</t>
  </si>
  <si>
    <t>Invalid Discount Summary</t>
  </si>
  <si>
    <t>Out-of-Bounds Issue</t>
  </si>
  <si>
    <t>Count</t>
  </si>
  <si>
    <t>Rule Violation Definition</t>
  </si>
  <si>
    <t>Negative Discounts</t>
  </si>
  <si>
    <t>Any rate below 0.00% (Flagged as Invalid).</t>
  </si>
  <si>
    <t>Exceeded Max Threshold</t>
  </si>
  <si>
    <t>Discounts greater than 70% (Flagged as Invalid).</t>
  </si>
  <si>
    <t>Date Sequence Issue Summary</t>
  </si>
  <si>
    <t>Anomaly Identified</t>
  </si>
  <si>
    <t>Operational Impact</t>
  </si>
  <si>
    <t>Ship Date Before Order Date</t>
  </si>
  <si>
    <t>Timeline logic failure (Flagged as Invalid shipping record).</t>
  </si>
  <si>
    <t>Unparseable / Text Dates</t>
  </si>
  <si>
    <t>Raw strings that Excel could not transform.</t>
  </si>
  <si>
    <t>Order Status Impact Summary</t>
  </si>
  <si>
    <t>Order/Payment Status</t>
  </si>
  <si>
    <t>Volume</t>
  </si>
  <si>
    <t>Completed Sales Summary Action</t>
  </si>
  <si>
    <t>Cancelled</t>
  </si>
  <si>
    <t>Completely excluded from completed metrics.</t>
  </si>
  <si>
    <t>Failed Payments</t>
  </si>
  <si>
    <t>Refunded / Returned</t>
  </si>
  <si>
    <t>Separately summarized as a distinct bucket.</t>
  </si>
  <si>
    <t>Sales/Profit Calculation Mismatch Summary</t>
  </si>
  <si>
    <t>Calculation Check</t>
  </si>
  <si>
    <t>Variance Rows Found</t>
  </si>
  <si>
    <t>Status Notes</t>
  </si>
  <si>
    <t>Sales vs Calculated Sales</t>
  </si>
  <si>
    <t>Counts rows where raw sales don't match quantity * price.</t>
  </si>
  <si>
    <t>Profit vs Calculated Profit</t>
  </si>
  <si>
    <t>Counts rows where profit doesn't equal sales - cost.</t>
  </si>
  <si>
    <t>Final Dataset Quality Distribution</t>
  </si>
  <si>
    <t>Data Quality Classification</t>
  </si>
  <si>
    <t>Percentage of Total</t>
  </si>
  <si>
    <t>Valid (Clean Records)</t>
  </si>
  <si>
    <t>=B4/SUM(B4:B5)</t>
  </si>
  <si>
    <t>Flagged / Invalid Records</t>
  </si>
  <si>
    <t>=B5/SUM(B4:B5)</t>
  </si>
  <si>
    <t>Total Active Row Count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</si>
  <si>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</si>
  <si>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</si>
  <si>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</si>
  <si>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</si>
  <si>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</si>
  <si>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</si>
  <si>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</si>
  <si>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</si>
  <si>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</si>
  <si>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</si>
  <si>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</si>
  <si>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</si>
  <si>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</si>
  <si>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</si>
  <si>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</si>
  <si>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</si>
  <si>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</si>
  <si>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</si>
  <si>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</si>
  <si>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</si>
  <si>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</si>
  <si>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</si>
  <si>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</si>
  <si>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</si>
  <si>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</si>
  <si>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</si>
  <si>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</si>
  <si>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</si>
  <si>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</si>
  <si>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Sales Mismatch Check</t>
  </si>
  <si>
    <t>Profit Mismatch Check</t>
  </si>
  <si>
    <t>customer_name (cleaned)</t>
  </si>
  <si>
    <t>segment (cleaned)</t>
  </si>
  <si>
    <t>region (cleaned)</t>
  </si>
  <si>
    <t>state (cleaned)</t>
  </si>
  <si>
    <t>city (cleaned)</t>
  </si>
  <si>
    <t>category (cleaned)</t>
  </si>
  <si>
    <t>sub_category (cleaned)</t>
  </si>
  <si>
    <t>ship_mode (cleaned)</t>
  </si>
  <si>
    <t>payment_status (cleaned)</t>
  </si>
  <si>
    <t>order_status (cleaned)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</si>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</sst>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7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b/>
      <sz val="12"/>
      <color theme="1"/>
      <name val="Calibri"/>
      <family val="2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1" xfId="0" applyFont="1" applyBorder="1" applyAlignment="1">
      <alignment readingOrder="1"/>
    </xf>
    <xf numFmtId="0" fontId="5" fillId="0" borderId="1" xfId="0" quotePrefix="1" applyFont="1" applyBorder="1" applyAlignment="1">
      <alignment horizontal="left" wrapText="1" readingOrder="1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left" wrapText="1" readingOrder="1"/>
    </xf>
    <xf numFmtId="0" fontId="4" fillId="0" borderId="6" xfId="0" applyFont="1" applyBorder="1" applyAlignment="1">
      <alignment readingOrder="1"/>
    </xf>
    <xf numFmtId="0" fontId="5" fillId="0" borderId="7" xfId="0" applyFont="1" applyBorder="1" applyAlignment="1">
      <alignment wrapText="1" readingOrder="1"/>
    </xf>
    <xf numFmtId="0" fontId="4" fillId="0" borderId="11" xfId="0" applyFont="1" applyBorder="1" applyAlignment="1">
      <alignment readingOrder="1"/>
    </xf>
    <xf numFmtId="0" fontId="5" fillId="0" borderId="13" xfId="0" applyFont="1" applyBorder="1" applyAlignment="1">
      <alignment wrapText="1" readingOrder="1"/>
    </xf>
    <xf numFmtId="0" fontId="5" fillId="0" borderId="12" xfId="0" applyFont="1" applyBorder="1" applyAlignment="1">
      <alignment horizontal="left" wrapText="1" readingOrder="1"/>
    </xf>
    <xf numFmtId="0" fontId="0" fillId="3" borderId="0" xfId="0" applyFill="1"/>
    <xf numFmtId="0" fontId="2" fillId="3" borderId="0" xfId="0" applyFont="1" applyFill="1" applyAlignment="1">
      <alignment wrapText="1"/>
    </xf>
    <xf numFmtId="0" fontId="5" fillId="0" borderId="1" xfId="0" quotePrefix="1" applyFont="1" applyBorder="1" applyAlignment="1">
      <alignment readingOrder="1"/>
    </xf>
    <xf numFmtId="10" fontId="5" fillId="0" borderId="1" xfId="0" applyNumberFormat="1" applyFont="1" applyBorder="1" applyAlignment="1">
      <alignment horizontal="left" readingOrder="1"/>
    </xf>
    <xf numFmtId="0" fontId="4" fillId="4" borderId="1" xfId="0" applyFont="1" applyFill="1" applyBorder="1" applyAlignment="1">
      <alignment readingOrder="1"/>
    </xf>
    <xf numFmtId="0" fontId="4" fillId="4" borderId="1" xfId="0" applyFont="1" applyFill="1" applyBorder="1" applyAlignment="1">
      <alignment wrapText="1" readingOrder="1"/>
    </xf>
    <xf numFmtId="0" fontId="4" fillId="4" borderId="14" xfId="0" applyFont="1" applyFill="1" applyBorder="1" applyAlignment="1">
      <alignment readingOrder="1"/>
    </xf>
    <xf numFmtId="0" fontId="4" fillId="4" borderId="9" xfId="0" applyFont="1" applyFill="1" applyBorder="1" applyAlignment="1">
      <alignment wrapText="1" readingOrder="1"/>
    </xf>
    <xf numFmtId="0" fontId="4" fillId="4" borderId="15" xfId="0" applyFont="1" applyFill="1" applyBorder="1" applyAlignment="1">
      <alignment wrapText="1" readingOrder="1"/>
    </xf>
    <xf numFmtId="0" fontId="4" fillId="4" borderId="9" xfId="0" applyFont="1" applyFill="1" applyBorder="1" applyAlignment="1">
      <alignment readingOrder="1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50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4C7C5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4C7C5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C4C7C5"/>
        </top>
        <bottom style="medium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</border>
    </dxf>
    <dxf>
      <font>
        <name val="Calibri"/>
        <scheme val="minor"/>
      </font>
    </dxf>
    <dxf>
      <font>
        <name val="Calibri"/>
        <scheme val="minor"/>
      </font>
      <fill>
        <patternFill patternType="solid">
          <fgColor indexed="64"/>
          <bgColor theme="5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f521ed2f8ee32ab/cleaned_orders.xlsx" TargetMode="External"/><Relationship Id="rId1" Type="http://schemas.openxmlformats.org/officeDocument/2006/relationships/externalLinkPath" Target="cleaned_ord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3f521ed2f8ee32ab" itemId="3F521ED2F8EE32AB!sfb6fcd2f4e154933b93f75d2311b4828">
      <xxl21:absoluteUrl r:id="rId2"/>
    </xxl21:alternateUrls>
    <sheetNames>
      <sheetName val="Sheet1"/>
      <sheetName val="cleaned_order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947FB0-F6A9-4C97-BD62-CB77DB34A2AB}" name="Table4" displayName="Table4" ref="A3:C6" totalsRowShown="0" headerRowDxfId="49" dataDxfId="48" headerRowBorderDxfId="46" tableBorderDxfId="47" totalsRowBorderDxfId="45">
  <autoFilter ref="A3:C6" xr:uid="{A2947FB0-F6A9-4C97-BD62-CB77DB34A2AB}">
    <filterColumn colId="0" hiddenButton="1"/>
    <filterColumn colId="1" hiddenButton="1"/>
    <filterColumn colId="2" hiddenButton="1"/>
  </autoFilter>
  <tableColumns count="3">
    <tableColumn id="1" xr3:uid="{FFC57894-E615-4D2D-961D-4208D80166D8}" name="Column Evaluated" dataDxfId="44"/>
    <tableColumn id="2" xr3:uid="{6C538FC9-4731-42E6-99D8-9895816C934F}" name="Missing Count" dataDxfId="43"/>
    <tableColumn id="3" xr3:uid="{788CF117-DAC7-477A-B3EA-5888EB2EA7CF}" name="Handling Strategy Applied" data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9B7F52-BF66-4185-A5C0-B3FE97FD8564}" name="Table5" displayName="Table5" ref="A3:C8" totalsRowShown="0" headerRowDxfId="41" headerRowBorderDxfId="39" tableBorderDxfId="40" totalsRowBorderDxfId="38">
  <autoFilter ref="A3:C8" xr:uid="{FB9B7F52-BF66-4185-A5C0-B3FE97FD8564}">
    <filterColumn colId="0" hiddenButton="1"/>
    <filterColumn colId="1" hiddenButton="1"/>
    <filterColumn colId="2" hiddenButton="1"/>
  </autoFilter>
  <tableColumns count="3">
    <tableColumn id="1" xr3:uid="{04BBA770-84FC-40C1-AFBC-09E71FDF995E}" name="Metric" dataDxfId="37"/>
    <tableColumn id="2" xr3:uid="{1DE24519-9571-40ED-B723-B6BFF04A52A1}" name="Record Count" dataDxfId="36">
      <calculatedColumnFormula>COUNTIF('Cleaned Orders'!#REF!, "Conflicting Duplicate Order ID")</calculatedColumnFormula>
    </tableColumn>
    <tableColumn id="3" xr3:uid="{CD1566A1-E151-4382-93D3-04925E6AF6B2}" name="Logic Used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D0DA9A-2CB5-4D49-A741-79CB04796B93}" name="Table6" displayName="Table6" ref="A3:C5" totalsRowShown="0" headerRowDxfId="34" headerRowBorderDxfId="32" tableBorderDxfId="33" totalsRowBorderDxfId="31">
  <autoFilter ref="A3:C5" xr:uid="{78D0DA9A-2CB5-4D49-A741-79CB04796B93}">
    <filterColumn colId="0" hiddenButton="1"/>
    <filterColumn colId="1" hiddenButton="1"/>
    <filterColumn colId="2" hiddenButton="1"/>
  </autoFilter>
  <tableColumns count="3">
    <tableColumn id="1" xr3:uid="{12E8A2B9-7E19-4E38-8B9C-9BD2825FD378}" name="Out-of-Bounds Issue" dataDxfId="30"/>
    <tableColumn id="2" xr3:uid="{AF22AF2C-70F7-4FCD-BD16-D75EF03884B7}" name="Count" dataDxfId="29"/>
    <tableColumn id="3" xr3:uid="{7D0135AA-D30A-4B08-90CD-D1E3A46257D7}" name="Rule Violation Definition" dataDxfId="2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C948A3-5907-4441-913A-7A6B2A03889D}" name="Table7" displayName="Table7" ref="A3:C5" totalsRowShown="0" headerRowDxfId="27" headerRowBorderDxfId="25" tableBorderDxfId="26" totalsRowBorderDxfId="24">
  <autoFilter ref="A3:C5" xr:uid="{C9C948A3-5907-4441-913A-7A6B2A03889D}">
    <filterColumn colId="0" hiddenButton="1"/>
    <filterColumn colId="1" hiddenButton="1"/>
    <filterColumn colId="2" hiddenButton="1"/>
  </autoFilter>
  <tableColumns count="3">
    <tableColumn id="1" xr3:uid="{465AA99D-6A00-4E41-8149-8D3EBCEA7783}" name="Anomaly Identified" dataDxfId="23"/>
    <tableColumn id="2" xr3:uid="{7D75C5D1-1AB5-490B-B7FA-A06CD0595E17}" name="Count" dataDxfId="22"/>
    <tableColumn id="3" xr3:uid="{AD18897B-B2EB-48A0-AA2F-48CED5ED0757}" name="Operational Impact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8AC699-0E80-41C9-B303-753B33B33F4F}" name="Table8" displayName="Table8" ref="A3:C6" totalsRowShown="0" headerRowDxfId="20" headerRowBorderDxfId="18" tableBorderDxfId="19" totalsRowBorderDxfId="17">
  <autoFilter ref="A3:C6" xr:uid="{EF8AC699-0E80-41C9-B303-753B33B33F4F}">
    <filterColumn colId="0" hiddenButton="1"/>
    <filterColumn colId="1" hiddenButton="1"/>
    <filterColumn colId="2" hiddenButton="1"/>
  </autoFilter>
  <tableColumns count="3">
    <tableColumn id="1" xr3:uid="{5FFDD0EE-10D0-4A40-BDC9-E54DD6EA3156}" name="Order/Payment Status" dataDxfId="16"/>
    <tableColumn id="2" xr3:uid="{BA6B8E39-758D-405D-8060-62F68F9E0D91}" name="Volume" dataDxfId="15"/>
    <tableColumn id="3" xr3:uid="{3DD2360F-1938-4120-889E-1FA78D602F67}" name="Completed Sales Summary Action" dataDxfId="1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B088C8-759B-43D3-8034-174A8EE4E994}" name="Table9" displayName="Table9" ref="A3:C5" totalsRowShown="0" headerRowDxfId="13" headerRowBorderDxfId="11" tableBorderDxfId="12" totalsRowBorderDxfId="10">
  <autoFilter ref="A3:C5" xr:uid="{95B088C8-759B-43D3-8034-174A8EE4E994}">
    <filterColumn colId="0" hiddenButton="1"/>
    <filterColumn colId="1" hiddenButton="1"/>
    <filterColumn colId="2" hiddenButton="1"/>
  </autoFilter>
  <tableColumns count="3">
    <tableColumn id="1" xr3:uid="{DDFD254B-9C1A-4989-8E32-B7105058FFB4}" name="Calculation Check" dataDxfId="9"/>
    <tableColumn id="2" xr3:uid="{BFDE9AEC-4693-435F-A1E4-EEC2F4F61E12}" name="Variance Rows Found" dataDxfId="8"/>
    <tableColumn id="3" xr3:uid="{06AB855B-017C-43C4-9499-117D74FAE18F}" name="Status Notes" dataDxfId="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375907-2B3F-4394-884C-80856ABD0F0A}" name="Table10" displayName="Table10" ref="A3:C6" totalsRowShown="0" headerRowDxfId="6" headerRowBorderDxfId="4" tableBorderDxfId="5" totalsRowBorderDxfId="3">
  <autoFilter ref="A3:C6" xr:uid="{BD375907-2B3F-4394-884C-80856ABD0F0A}">
    <filterColumn colId="0" hiddenButton="1"/>
    <filterColumn colId="1" hiddenButton="1"/>
    <filterColumn colId="2" hiddenButton="1"/>
  </autoFilter>
  <tableColumns count="3">
    <tableColumn id="1" xr3:uid="{21DED97A-8D17-4E47-B01C-A466027E7B1A}" name="Data Quality Classification" dataDxfId="2"/>
    <tableColumn id="2" xr3:uid="{E807AABE-962D-4CDB-A215-4692670A8118}" name="Record Count" dataDxfId="1"/>
    <tableColumn id="3" xr3:uid="{67C554BA-3418-41CB-8115-4975235C83A2}" name="Percentage of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E3AC-EFA7-4262-A6AF-0294E9D4E9C4}">
  <dimension ref="A1:C8"/>
  <sheetViews>
    <sheetView workbookViewId="0">
      <selection sqref="A1:C2"/>
    </sheetView>
  </sheetViews>
  <sheetFormatPr defaultRowHeight="15"/>
  <cols>
    <col min="1" max="1" width="23.5703125" bestFit="1" customWidth="1"/>
    <col min="2" max="3" width="36.5703125" bestFit="1" customWidth="1"/>
  </cols>
  <sheetData>
    <row r="1" spans="1:3" ht="15.75" customHeight="1">
      <c r="A1" s="26" t="s">
        <v>0</v>
      </c>
      <c r="B1" s="26"/>
      <c r="C1" s="26"/>
    </row>
    <row r="2" spans="1:3">
      <c r="A2" s="26"/>
      <c r="B2" s="26"/>
      <c r="C2" s="26"/>
    </row>
    <row r="3" spans="1:3">
      <c r="A3" s="20" t="s">
        <v>1</v>
      </c>
      <c r="B3" s="21" t="s">
        <v>2</v>
      </c>
      <c r="C3" s="21" t="s">
        <v>3</v>
      </c>
    </row>
    <row r="4" spans="1:3" ht="30.75">
      <c r="A4" s="7" t="s">
        <v>4</v>
      </c>
      <c r="B4" s="8">
        <f>COUNTIF('Cleaned Orders'!AC:AC, "Missing region")</f>
        <v>24</v>
      </c>
      <c r="C4" s="9" t="s">
        <v>5</v>
      </c>
    </row>
    <row r="5" spans="1:3" ht="30.75">
      <c r="A5" s="7" t="s">
        <v>6</v>
      </c>
      <c r="B5" s="8">
        <f>COUNTIF('Cleaned Orders'!AC:AC, "Missing ship_mode")</f>
        <v>17</v>
      </c>
      <c r="C5" s="9" t="s">
        <v>5</v>
      </c>
    </row>
    <row r="6" spans="1:3" ht="30.75">
      <c r="A6" s="7" t="s">
        <v>7</v>
      </c>
      <c r="B6" s="8">
        <f>COUNTIF('Cleaned Orders'!AC:AC, "Missing Date")</f>
        <v>0</v>
      </c>
      <c r="C6" s="9" t="s">
        <v>8</v>
      </c>
    </row>
    <row r="7" spans="1:3">
      <c r="A7" s="5"/>
      <c r="B7" s="6"/>
      <c r="C7" s="6"/>
    </row>
    <row r="8" spans="1:3">
      <c r="C8" t="s">
        <v>9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6A73-C2A5-4045-913A-AF35B20E773F}">
  <dimension ref="A1:L8"/>
  <sheetViews>
    <sheetView workbookViewId="0">
      <selection sqref="A1:C2"/>
    </sheetView>
  </sheetViews>
  <sheetFormatPr defaultRowHeight="15"/>
  <cols>
    <col min="1" max="1" width="35.140625" bestFit="1" customWidth="1"/>
    <col min="2" max="3" width="36.5703125" bestFit="1" customWidth="1"/>
  </cols>
  <sheetData>
    <row r="1" spans="1:12" ht="15.75" customHeight="1">
      <c r="A1" s="27" t="s">
        <v>10</v>
      </c>
      <c r="B1" s="28"/>
      <c r="C1" s="29"/>
    </row>
    <row r="2" spans="1:12">
      <c r="A2" s="30"/>
      <c r="B2" s="31"/>
      <c r="C2" s="32"/>
    </row>
    <row r="3" spans="1:12">
      <c r="A3" s="22" t="s">
        <v>11</v>
      </c>
      <c r="B3" s="23" t="s">
        <v>12</v>
      </c>
      <c r="C3" s="24" t="s">
        <v>13</v>
      </c>
    </row>
    <row r="4" spans="1:12" ht="30.75">
      <c r="A4" s="11" t="s">
        <v>14</v>
      </c>
      <c r="B4" s="10">
        <v>20</v>
      </c>
      <c r="C4" s="12" t="s">
        <v>15</v>
      </c>
    </row>
    <row r="5" spans="1:12" ht="30.75">
      <c r="A5" s="11" t="s">
        <v>16</v>
      </c>
      <c r="B5" s="10">
        <f>COUNTIF('Cleaned Orders'!AC:AC, "Conflicting Duplicate Order ID")</f>
        <v>63</v>
      </c>
      <c r="C5" s="12" t="s">
        <v>17</v>
      </c>
      <c r="L5" t="s">
        <v>9</v>
      </c>
    </row>
    <row r="6" spans="1:12" ht="30.75">
      <c r="A6" s="11" t="s">
        <v>18</v>
      </c>
      <c r="B6" s="10">
        <f>B4</f>
        <v>20</v>
      </c>
      <c r="C6" s="12" t="s">
        <v>19</v>
      </c>
    </row>
    <row r="7" spans="1:12" ht="30.75">
      <c r="A7" s="11" t="s">
        <v>20</v>
      </c>
      <c r="B7" s="10">
        <f>B5</f>
        <v>63</v>
      </c>
      <c r="C7" s="12" t="s">
        <v>21</v>
      </c>
    </row>
    <row r="8" spans="1:12" ht="60.75">
      <c r="A8" s="13" t="s">
        <v>22</v>
      </c>
      <c r="B8" s="15" t="s">
        <v>23</v>
      </c>
      <c r="C8" s="14" t="s">
        <v>24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2B70-48E2-41E0-997F-AEA611FDAD25}">
  <dimension ref="A1:C5"/>
  <sheetViews>
    <sheetView workbookViewId="0">
      <selection sqref="A1:C2"/>
    </sheetView>
  </sheetViews>
  <sheetFormatPr defaultRowHeight="15"/>
  <cols>
    <col min="1" max="1" width="26" bestFit="1" customWidth="1"/>
    <col min="2" max="3" width="36.5703125" bestFit="1" customWidth="1"/>
  </cols>
  <sheetData>
    <row r="1" spans="1:3" ht="15.75" customHeight="1">
      <c r="A1" s="33" t="s">
        <v>25</v>
      </c>
      <c r="B1" s="34"/>
      <c r="C1" s="35"/>
    </row>
    <row r="2" spans="1:3">
      <c r="A2" s="36"/>
      <c r="B2" s="31"/>
      <c r="C2" s="37"/>
    </row>
    <row r="3" spans="1:3">
      <c r="A3" s="20" t="s">
        <v>26</v>
      </c>
      <c r="B3" s="21" t="s">
        <v>27</v>
      </c>
      <c r="C3" s="21" t="s">
        <v>28</v>
      </c>
    </row>
    <row r="4" spans="1:3" ht="30.75">
      <c r="A4" s="7" t="s">
        <v>29</v>
      </c>
      <c r="B4" s="8">
        <f>COUNTIFS('Cleaned Orders'!P:P, "&lt;0")</f>
        <v>16</v>
      </c>
      <c r="C4" s="9" t="s">
        <v>30</v>
      </c>
    </row>
    <row r="5" spans="1:3" ht="30.75">
      <c r="A5" s="7" t="s">
        <v>31</v>
      </c>
      <c r="B5" s="8">
        <f>COUNTIFS('Cleaned Orders'!P:P, "&gt;0.7 OR &gt;70%")</f>
        <v>9</v>
      </c>
      <c r="C5" s="9" t="s">
        <v>32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5BF1-7D48-4625-9162-B421C3C091B7}">
  <dimension ref="A1:C5"/>
  <sheetViews>
    <sheetView workbookViewId="0">
      <selection sqref="A1:C2"/>
    </sheetView>
  </sheetViews>
  <sheetFormatPr defaultRowHeight="15"/>
  <cols>
    <col min="1" max="1" width="29.5703125" bestFit="1" customWidth="1"/>
    <col min="2" max="3" width="36.5703125" bestFit="1" customWidth="1"/>
  </cols>
  <sheetData>
    <row r="1" spans="1:3" ht="15.75" customHeight="1">
      <c r="A1" s="33" t="s">
        <v>33</v>
      </c>
      <c r="B1" s="34"/>
      <c r="C1" s="35"/>
    </row>
    <row r="2" spans="1:3">
      <c r="A2" s="36"/>
      <c r="B2" s="31"/>
      <c r="C2" s="37"/>
    </row>
    <row r="3" spans="1:3">
      <c r="A3" s="25" t="s">
        <v>34</v>
      </c>
      <c r="B3" s="23" t="s">
        <v>27</v>
      </c>
      <c r="C3" s="23" t="s">
        <v>35</v>
      </c>
    </row>
    <row r="4" spans="1:3" ht="30.75">
      <c r="A4" s="7" t="s">
        <v>36</v>
      </c>
      <c r="B4" s="8">
        <f>COUNTIF('Cleaned Orders'!AC:AC, "Invalid shipping record")</f>
        <v>69</v>
      </c>
      <c r="C4" s="9" t="s">
        <v>37</v>
      </c>
    </row>
    <row r="5" spans="1:3" ht="30.75">
      <c r="A5" s="7" t="s">
        <v>38</v>
      </c>
      <c r="B5" s="8">
        <f>COUNTIF('Cleaned Orders'!AC:AC, "Text Value Not Recognized as Date")</f>
        <v>247</v>
      </c>
      <c r="C5" s="9" t="s">
        <v>39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EAE4-5B12-423A-8CC7-19A107827174}">
  <dimension ref="A1:C6"/>
  <sheetViews>
    <sheetView workbookViewId="0">
      <selection sqref="A1:C2"/>
    </sheetView>
  </sheetViews>
  <sheetFormatPr defaultRowHeight="15"/>
  <cols>
    <col min="1" max="1" width="27.140625" bestFit="1" customWidth="1"/>
    <col min="2" max="3" width="36.5703125" bestFit="1" customWidth="1"/>
  </cols>
  <sheetData>
    <row r="1" spans="1:3" ht="15.75" customHeight="1">
      <c r="A1" s="33" t="s">
        <v>40</v>
      </c>
      <c r="B1" s="34"/>
      <c r="C1" s="35"/>
    </row>
    <row r="2" spans="1:3">
      <c r="A2" s="36"/>
      <c r="B2" s="31"/>
      <c r="C2" s="37"/>
    </row>
    <row r="3" spans="1:3">
      <c r="A3" s="20" t="s">
        <v>41</v>
      </c>
      <c r="B3" s="21" t="s">
        <v>42</v>
      </c>
      <c r="C3" s="21" t="s">
        <v>43</v>
      </c>
    </row>
    <row r="4" spans="1:3" ht="30.75">
      <c r="A4" s="7" t="s">
        <v>44</v>
      </c>
      <c r="B4" s="8">
        <f>COUNTIF('Cleaned Orders'!U:U, "Cancelled")</f>
        <v>146</v>
      </c>
      <c r="C4" s="9" t="s">
        <v>45</v>
      </c>
    </row>
    <row r="5" spans="1:3" ht="30.75">
      <c r="A5" s="7" t="s">
        <v>46</v>
      </c>
      <c r="B5" s="8">
        <f>COUNTIF('Cleaned Orders'!T:T, "Failed")</f>
        <v>69</v>
      </c>
      <c r="C5" s="9" t="s">
        <v>45</v>
      </c>
    </row>
    <row r="6" spans="1:3" ht="30.75">
      <c r="A6" s="7" t="s">
        <v>47</v>
      </c>
      <c r="B6" s="8">
        <f>COUNTIF('Cleaned Orders'!U:U, "Returned")</f>
        <v>164</v>
      </c>
      <c r="C6" s="9" t="s">
        <v>48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B87F-EC14-4357-A71F-8C6A979CFE4C}">
  <dimension ref="A1:C5"/>
  <sheetViews>
    <sheetView workbookViewId="0">
      <selection sqref="A1:C2"/>
    </sheetView>
  </sheetViews>
  <sheetFormatPr defaultRowHeight="15"/>
  <cols>
    <col min="1" max="1" width="31.140625" customWidth="1"/>
    <col min="2" max="3" width="36.5703125" bestFit="1" customWidth="1"/>
  </cols>
  <sheetData>
    <row r="1" spans="1:3" ht="15.75" customHeight="1">
      <c r="A1" s="38" t="s">
        <v>49</v>
      </c>
      <c r="B1" s="38"/>
      <c r="C1" s="38"/>
    </row>
    <row r="2" spans="1:3">
      <c r="A2" s="38"/>
      <c r="B2" s="38"/>
      <c r="C2" s="38"/>
    </row>
    <row r="3" spans="1:3">
      <c r="A3" s="20" t="s">
        <v>50</v>
      </c>
      <c r="B3" s="21" t="s">
        <v>51</v>
      </c>
      <c r="C3" s="21" t="s">
        <v>52</v>
      </c>
    </row>
    <row r="4" spans="1:3" ht="30.75">
      <c r="A4" s="7" t="s">
        <v>53</v>
      </c>
      <c r="B4" s="8">
        <f>SUM('Cleaned Orders'!AD:AD)</f>
        <v>65</v>
      </c>
      <c r="C4" s="9" t="s">
        <v>54</v>
      </c>
    </row>
    <row r="5" spans="1:3" ht="30.75">
      <c r="A5" s="7" t="s">
        <v>55</v>
      </c>
      <c r="B5" s="8">
        <f>SUM('Cleaned Orders'!AE:AE)</f>
        <v>66</v>
      </c>
      <c r="C5" s="9" t="s">
        <v>56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DE5F-2ECD-4BE5-B231-083C84194633}">
  <dimension ref="A1:C6"/>
  <sheetViews>
    <sheetView tabSelected="1" workbookViewId="0">
      <selection sqref="A1:C2"/>
    </sheetView>
  </sheetViews>
  <sheetFormatPr defaultRowHeight="15"/>
  <cols>
    <col min="1" max="1" width="29.7109375" bestFit="1" customWidth="1"/>
    <col min="2" max="2" width="36.5703125" bestFit="1" customWidth="1"/>
    <col min="3" max="3" width="20.5703125" bestFit="1" customWidth="1"/>
  </cols>
  <sheetData>
    <row r="1" spans="1:3" ht="15.75" customHeight="1">
      <c r="A1" s="39" t="s">
        <v>57</v>
      </c>
      <c r="B1" s="40"/>
      <c r="C1" s="41"/>
    </row>
    <row r="2" spans="1:3">
      <c r="A2" s="42"/>
      <c r="B2" s="43"/>
      <c r="C2" s="44"/>
    </row>
    <row r="3" spans="1:3">
      <c r="A3" s="20" t="s">
        <v>58</v>
      </c>
      <c r="B3" s="21" t="s">
        <v>12</v>
      </c>
      <c r="C3" s="20" t="s">
        <v>59</v>
      </c>
    </row>
    <row r="4" spans="1:3">
      <c r="A4" s="7" t="s">
        <v>60</v>
      </c>
      <c r="B4" s="8">
        <f>COUNTIF('Cleaned Orders'!AC:AC, "Valid")</f>
        <v>497</v>
      </c>
      <c r="C4" s="18" t="s">
        <v>61</v>
      </c>
    </row>
    <row r="5" spans="1:3">
      <c r="A5" s="7" t="s">
        <v>62</v>
      </c>
      <c r="B5" s="8">
        <f>COUNTIF('Cleaned Orders'!AC:AC, "&lt;&gt;Valid") - 1</f>
        <v>1048078</v>
      </c>
      <c r="C5" s="18" t="s">
        <v>63</v>
      </c>
    </row>
    <row r="6" spans="1:3">
      <c r="A6" s="7" t="s">
        <v>64</v>
      </c>
      <c r="B6" s="8">
        <f>COUNTA('Cleaned Orders'!A:A) - 1</f>
        <v>932</v>
      </c>
      <c r="C6" s="19">
        <v>1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6"/>
  <sheetViews>
    <sheetView workbookViewId="0">
      <selection activeCell="E9" sqref="E9"/>
    </sheetView>
  </sheetViews>
  <sheetFormatPr defaultRowHeight="15"/>
  <cols>
    <col min="1" max="1" width="15.85546875" bestFit="1" customWidth="1"/>
    <col min="2" max="3" width="10.85546875" bestFit="1" customWidth="1"/>
    <col min="4" max="4" width="10.42578125" bestFit="1" customWidth="1"/>
    <col min="5" max="5" width="26" bestFit="1" customWidth="1"/>
    <col min="6" max="6" width="15.7109375" bestFit="1" customWidth="1"/>
    <col min="7" max="7" width="9.28515625" bestFit="1" customWidth="1"/>
    <col min="8" max="8" width="15.42578125" bestFit="1" customWidth="1"/>
    <col min="9" max="9" width="12.7109375" bestFit="1" customWidth="1"/>
    <col min="10" max="10" width="15.5703125" bestFit="1" customWidth="1"/>
    <col min="11" max="11" width="10.85546875" bestFit="1" customWidth="1"/>
    <col min="12" max="12" width="20.85546875" bestFit="1" customWidth="1"/>
    <col min="13" max="13" width="16.28515625" bestFit="1" customWidth="1"/>
    <col min="20" max="20" width="9.28515625" bestFit="1" customWidth="1"/>
    <col min="21" max="21" width="11.7109375" bestFit="1" customWidth="1"/>
    <col min="22" max="22" width="28" bestFit="1" customWidth="1"/>
    <col min="23" max="23" width="20.5703125" bestFit="1" customWidth="1"/>
    <col min="26" max="26" width="17.140625" customWidth="1"/>
    <col min="27" max="27" width="11.42578125" customWidth="1"/>
    <col min="29" max="29" width="31.140625" bestFit="1" customWidth="1"/>
    <col min="30" max="31" width="31.140625" customWidth="1"/>
    <col min="34" max="34" width="23.7109375" bestFit="1" customWidth="1"/>
    <col min="35" max="35" width="17" bestFit="1" customWidth="1"/>
    <col min="36" max="36" width="9.28515625" bestFit="1" customWidth="1"/>
    <col min="37" max="37" width="15.42578125" bestFit="1" customWidth="1"/>
    <col min="38" max="38" width="12.7109375" bestFit="1" customWidth="1"/>
    <col min="39" max="39" width="17" bestFit="1" customWidth="1"/>
    <col min="40" max="40" width="21.140625" bestFit="1" customWidth="1"/>
    <col min="41" max="41" width="19.140625" bestFit="1" customWidth="1"/>
    <col min="42" max="42" width="23.5703125" bestFit="1" customWidth="1"/>
    <col min="43" max="43" width="20.5703125" bestFit="1" customWidth="1"/>
  </cols>
  <sheetData>
    <row r="1" spans="1:43" ht="5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H1" s="16" t="s">
        <v>96</v>
      </c>
      <c r="AI1" s="16" t="s">
        <v>97</v>
      </c>
      <c r="AJ1" s="17" t="s">
        <v>98</v>
      </c>
      <c r="AK1" s="16" t="s">
        <v>99</v>
      </c>
      <c r="AL1" s="16" t="s">
        <v>100</v>
      </c>
      <c r="AM1" s="16" t="s">
        <v>101</v>
      </c>
      <c r="AN1" s="16" t="s">
        <v>102</v>
      </c>
      <c r="AO1" s="16" t="s">
        <v>103</v>
      </c>
      <c r="AP1" s="16" t="s">
        <v>104</v>
      </c>
      <c r="AQ1" s="16" t="s">
        <v>105</v>
      </c>
    </row>
    <row r="2" spans="1:43">
      <c r="A2" t="s">
        <v>106</v>
      </c>
      <c r="B2" s="3">
        <v>45494</v>
      </c>
      <c r="C2" s="3">
        <v>45500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117</v>
      </c>
      <c r="U2" t="s">
        <v>118</v>
      </c>
      <c r="V2" s="2">
        <f>IF(ISBLANK(P2), 0, P2)</f>
        <v>0.2</v>
      </c>
      <c r="W2" s="2">
        <f>N2 * O2 * (1 - P2)</f>
        <v>19049.28</v>
      </c>
      <c r="X2" s="2">
        <f>W2-R2</f>
        <v>3207.3899999999994</v>
      </c>
      <c r="Y2" s="2">
        <f>IFERROR(X2 / W2, 0)</f>
        <v>0.16837329284886357</v>
      </c>
      <c r="Z2" s="2">
        <f>IF(OR(ISBLANK(B2), ISBLANK(C2), ISTEXT(B2), ISTEXT(C2)), "", C2 - B2)</f>
        <v>6</v>
      </c>
      <c r="AA2" s="2">
        <f>MONTH(B2)</f>
        <v>7</v>
      </c>
      <c r="AB2" s="2">
        <f>YEAR(B2)</f>
        <v>2024</v>
      </c>
      <c r="AC2" s="2" t="str">
        <f>IF(COUNTIF(A:A, A2) &gt; 1, "Conflicting Duplicate Order ID",
 IF(OR(G2="Unknown", ISBLANK(G2)), "Missing region",
 IF(OR(M2="Unknown", ISBLANK(M2)), "Missing ship_mode",
 IF(OR(ISBLANK(B2), ISBLANK(C2)), "Missing Date",
 IF(OR(ISTEXT(B2), ISTEXT(C2)), "Text Value Not Recognized as Date",
 IF(C2 &lt; B2, "Invalid shipping record",
 IF(P2 &lt; 0, "Invalid",
 IF(P2 &gt; 0.7, "Invalid",
 "Valid"))))))))</f>
        <v>Valid</v>
      </c>
      <c r="AD2" s="2">
        <f>IF(ABS(Q2 - W2) &gt; 0.01, 1, 0)</f>
        <v>0</v>
      </c>
      <c r="AE2" s="2">
        <f>IF(ABS(S2 - X2) &gt; 0.01, 1, 0)</f>
        <v>0</v>
      </c>
      <c r="AH2" t="str">
        <f>PROPER(TRIM(E2))</f>
        <v>Karan Malhotra</v>
      </c>
      <c r="AI2" t="str">
        <f>PROPER(TRIM(F2))</f>
        <v>Consumer</v>
      </c>
      <c r="AJ2" t="str">
        <f>PROPER(TRIM(G2))</f>
        <v>North</v>
      </c>
      <c r="AK2" t="str">
        <f>PROPER(TRIM(H2))</f>
        <v>Rajasthan</v>
      </c>
      <c r="AL2" t="str">
        <f>PROPER(TRIM(I2))</f>
        <v>Jaipur</v>
      </c>
      <c r="AM2" t="str">
        <f>PROPER(TRIM(J2))</f>
        <v>Office Supplies</v>
      </c>
      <c r="AN2" t="str">
        <f>PROPER(TRIM(K2))</f>
        <v>Paper</v>
      </c>
      <c r="AO2" t="str">
        <f>PROPER(TRIM(M2))</f>
        <v>Second Class</v>
      </c>
      <c r="AP2" t="str">
        <f>PROPER(TRIM(T2))</f>
        <v>Paid</v>
      </c>
      <c r="AQ2" t="str">
        <f>PROPER(TRIM(U2))</f>
        <v>Completed</v>
      </c>
    </row>
    <row r="3" spans="1:43">
      <c r="A3" t="s">
        <v>119</v>
      </c>
      <c r="B3" s="3">
        <v>45535</v>
      </c>
      <c r="C3" s="3">
        <v>45540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117</v>
      </c>
      <c r="U3" t="s">
        <v>118</v>
      </c>
      <c r="V3" s="2">
        <f t="shared" ref="V3:V66" si="0">IF(ISBLANK(P3), 0, P3)</f>
        <v>0</v>
      </c>
      <c r="W3" s="2">
        <f t="shared" ref="W3:W66" si="1">N3 * O3 * (1 - P3)</f>
        <v>7312.5</v>
      </c>
      <c r="X3" s="2">
        <f>W3-R3</f>
        <v>2407.7700000000004</v>
      </c>
      <c r="Y3" s="2">
        <f t="shared" ref="Y3:Y66" si="2">IFERROR(X3 / W3, 0)</f>
        <v>0.32926769230769237</v>
      </c>
      <c r="Z3" s="2">
        <f t="shared" ref="Z3:Z66" si="3">IF(OR(ISBLANK(B3), ISBLANK(C3), ISTEXT(B3), ISTEXT(C3)), "", C3 - B3)</f>
        <v>5</v>
      </c>
      <c r="AA3" s="2">
        <f t="shared" ref="AA3:AA66" si="4">MONTH(B3)</f>
        <v>8</v>
      </c>
      <c r="AB3" s="2">
        <f t="shared" ref="AB3:AB66" si="5">YEAR(B3)</f>
        <v>2024</v>
      </c>
      <c r="AC3" s="2" t="str">
        <f t="shared" ref="AC3:AC66" si="6">IF(COUNTIF(A:A, A3) &gt; 1, "Conflicting Duplicate Order ID",
 IF(OR(G3="Unknown", ISBLANK(G3)), "Missing region",
 IF(OR(M3="Unknown", ISBLANK(M3)), "Missing ship_mode",
 IF(OR(ISBLANK(B3), ISBLANK(C3)), "Missing Date",
 IF(OR(ISTEXT(B3), ISTEXT(C3)), "Text Value Not Recognized as Date",
 IF(C3 &lt; B3, "Invalid shipping record",
 IF(P3 &lt; 0, "Invalid",
 IF(P3 &gt; 0.7, "Invalid",
 "Valid"))))))))</f>
        <v>Valid</v>
      </c>
      <c r="AD3" s="2">
        <f t="shared" ref="AD3:AD66" si="7">IF(ABS(Q3 - W3) &gt; 0.01, 1, 0)</f>
        <v>0</v>
      </c>
      <c r="AE3" s="2">
        <f t="shared" ref="AE3:AE66" si="8">IF(ABS(S3 - X3) &gt; 0.01, 1, 0)</f>
        <v>0</v>
      </c>
      <c r="AH3" t="str">
        <f t="shared" ref="AH3:AN66" si="9">PROPER(TRIM(E3))</f>
        <v>Mira Das</v>
      </c>
      <c r="AI3" t="str">
        <f t="shared" si="9"/>
        <v>Small Business</v>
      </c>
      <c r="AJ3" t="str">
        <f t="shared" si="9"/>
        <v>East</v>
      </c>
      <c r="AK3" t="str">
        <f t="shared" si="9"/>
        <v>Odisha</v>
      </c>
      <c r="AL3" t="str">
        <f t="shared" si="9"/>
        <v>Bhubaneswar</v>
      </c>
      <c r="AM3" t="str">
        <f t="shared" si="9"/>
        <v>Furniture</v>
      </c>
      <c r="AN3" t="str">
        <f t="shared" si="9"/>
        <v>Tables</v>
      </c>
      <c r="AO3" t="str">
        <f t="shared" ref="AO3:AO66" si="10">PROPER(TRIM(M3))</f>
        <v>Same Day</v>
      </c>
      <c r="AP3" t="str">
        <f t="shared" ref="AP3:AQ66" si="11">PROPER(TRIM(T3))</f>
        <v>Paid</v>
      </c>
      <c r="AQ3" t="str">
        <f t="shared" si="11"/>
        <v>Completed</v>
      </c>
    </row>
    <row r="4" spans="1:43">
      <c r="A4" t="s">
        <v>130</v>
      </c>
      <c r="B4" s="3">
        <v>45451</v>
      </c>
      <c r="C4" s="3">
        <v>45458</v>
      </c>
      <c r="D4" t="s">
        <v>131</v>
      </c>
      <c r="E4" t="s">
        <v>132</v>
      </c>
      <c r="F4" t="s">
        <v>109</v>
      </c>
      <c r="G4" t="s">
        <v>123</v>
      </c>
      <c r="H4" t="s">
        <v>124</v>
      </c>
      <c r="I4" t="s">
        <v>125</v>
      </c>
      <c r="J4" t="s">
        <v>113</v>
      </c>
      <c r="K4" t="s">
        <v>133</v>
      </c>
      <c r="L4" t="s">
        <v>134</v>
      </c>
      <c r="M4" t="s">
        <v>135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117</v>
      </c>
      <c r="U4" t="s">
        <v>118</v>
      </c>
      <c r="V4" s="2">
        <f t="shared" si="0"/>
        <v>0.55000000000000004</v>
      </c>
      <c r="W4" s="2">
        <f t="shared" si="1"/>
        <v>1917.7739999999999</v>
      </c>
      <c r="X4" s="2">
        <f>W4-R4</f>
        <v>-547.91600000000017</v>
      </c>
      <c r="Y4" s="2">
        <f t="shared" si="2"/>
        <v>-0.28570415492127865</v>
      </c>
      <c r="Z4" s="2">
        <f t="shared" si="3"/>
        <v>7</v>
      </c>
      <c r="AA4" s="2">
        <f t="shared" si="4"/>
        <v>6</v>
      </c>
      <c r="AB4" s="2">
        <f t="shared" si="5"/>
        <v>2024</v>
      </c>
      <c r="AC4" s="2" t="str">
        <f t="shared" si="6"/>
        <v>Valid</v>
      </c>
      <c r="AD4" s="2">
        <f t="shared" si="7"/>
        <v>1</v>
      </c>
      <c r="AE4" s="2">
        <f t="shared" si="8"/>
        <v>1</v>
      </c>
      <c r="AH4" t="str">
        <f t="shared" si="9"/>
        <v>Isha Nair</v>
      </c>
      <c r="AI4" t="str">
        <f t="shared" si="9"/>
        <v>Consumer</v>
      </c>
      <c r="AJ4" t="str">
        <f t="shared" si="9"/>
        <v>East</v>
      </c>
      <c r="AK4" t="str">
        <f t="shared" si="9"/>
        <v>Odisha</v>
      </c>
      <c r="AL4" t="str">
        <f t="shared" si="9"/>
        <v>Bhubaneswar</v>
      </c>
      <c r="AM4" t="str">
        <f t="shared" si="9"/>
        <v>Office Supplies</v>
      </c>
      <c r="AN4" t="str">
        <f t="shared" si="9"/>
        <v>Art</v>
      </c>
      <c r="AO4" t="str">
        <f t="shared" si="10"/>
        <v>First Class</v>
      </c>
      <c r="AP4" t="str">
        <f t="shared" si="11"/>
        <v>Paid</v>
      </c>
      <c r="AQ4" t="str">
        <f t="shared" si="11"/>
        <v>Completed</v>
      </c>
    </row>
    <row r="5" spans="1:43">
      <c r="A5" t="s">
        <v>136</v>
      </c>
      <c r="B5" s="3" t="s">
        <v>137</v>
      </c>
      <c r="C5" s="3">
        <v>45625</v>
      </c>
      <c r="D5" t="s">
        <v>138</v>
      </c>
      <c r="E5" t="s">
        <v>139</v>
      </c>
      <c r="F5" t="s">
        <v>122</v>
      </c>
      <c r="G5" t="s">
        <v>140</v>
      </c>
      <c r="H5" t="s">
        <v>141</v>
      </c>
      <c r="I5" t="s">
        <v>142</v>
      </c>
      <c r="J5" t="s">
        <v>126</v>
      </c>
      <c r="K5" t="s">
        <v>143</v>
      </c>
      <c r="L5" t="s">
        <v>144</v>
      </c>
      <c r="M5" t="s">
        <v>145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117</v>
      </c>
      <c r="U5" t="s">
        <v>118</v>
      </c>
      <c r="V5" s="2">
        <f t="shared" si="0"/>
        <v>0.25</v>
      </c>
      <c r="W5" s="2">
        <f t="shared" si="1"/>
        <v>8317.9349999999995</v>
      </c>
      <c r="X5" s="2">
        <f>W5-R5</f>
        <v>1521.1649999999991</v>
      </c>
      <c r="Y5" s="2">
        <f t="shared" si="2"/>
        <v>0.18287772145370204</v>
      </c>
      <c r="Z5" s="2" t="str">
        <f t="shared" si="3"/>
        <v/>
      </c>
      <c r="AA5" s="2" t="e">
        <f t="shared" si="4"/>
        <v>#VALUE!</v>
      </c>
      <c r="AB5" s="2" t="e">
        <f t="shared" si="5"/>
        <v>#VALUE!</v>
      </c>
      <c r="AC5" s="2" t="str">
        <f t="shared" si="6"/>
        <v>Text Value Not Recognized as Date</v>
      </c>
      <c r="AD5" s="2">
        <f t="shared" si="7"/>
        <v>0</v>
      </c>
      <c r="AE5" s="2">
        <f t="shared" si="8"/>
        <v>0</v>
      </c>
      <c r="AH5" t="str">
        <f t="shared" si="9"/>
        <v>Arjun Bose</v>
      </c>
      <c r="AI5" t="str">
        <f t="shared" si="9"/>
        <v>Small Business</v>
      </c>
      <c r="AJ5" t="str">
        <f t="shared" si="9"/>
        <v>South</v>
      </c>
      <c r="AK5" t="str">
        <f t="shared" si="9"/>
        <v>Telangana</v>
      </c>
      <c r="AL5" t="str">
        <f t="shared" si="9"/>
        <v>Hyderabad</v>
      </c>
      <c r="AM5" t="str">
        <f t="shared" si="9"/>
        <v>Furniture</v>
      </c>
      <c r="AN5" t="str">
        <f t="shared" si="9"/>
        <v>Furnishings</v>
      </c>
      <c r="AO5" t="str">
        <f t="shared" si="10"/>
        <v>Standard Class</v>
      </c>
      <c r="AP5" t="str">
        <f t="shared" si="11"/>
        <v>Paid</v>
      </c>
      <c r="AQ5" t="str">
        <f t="shared" si="11"/>
        <v>Completed</v>
      </c>
    </row>
    <row r="6" spans="1:43">
      <c r="A6" t="s">
        <v>146</v>
      </c>
      <c r="B6" s="3">
        <v>45898</v>
      </c>
      <c r="C6" s="3">
        <v>45901</v>
      </c>
      <c r="D6" t="s">
        <v>147</v>
      </c>
      <c r="E6" t="s">
        <v>148</v>
      </c>
      <c r="F6" t="s">
        <v>122</v>
      </c>
      <c r="G6" t="s">
        <v>149</v>
      </c>
      <c r="H6" t="s">
        <v>150</v>
      </c>
      <c r="I6" t="s">
        <v>151</v>
      </c>
      <c r="J6" t="s">
        <v>126</v>
      </c>
      <c r="K6" t="s">
        <v>152</v>
      </c>
      <c r="L6" t="s">
        <v>153</v>
      </c>
      <c r="M6" t="s">
        <v>135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117</v>
      </c>
      <c r="U6" t="s">
        <v>44</v>
      </c>
      <c r="V6" s="2">
        <f t="shared" si="0"/>
        <v>0</v>
      </c>
      <c r="W6" s="2">
        <f t="shared" si="1"/>
        <v>20816.32</v>
      </c>
      <c r="X6" s="2">
        <f>W6-R6</f>
        <v>3110.9500000000007</v>
      </c>
      <c r="Y6" s="2">
        <f t="shared" si="2"/>
        <v>0.14944764492475138</v>
      </c>
      <c r="Z6" s="2">
        <f t="shared" si="3"/>
        <v>3</v>
      </c>
      <c r="AA6" s="2">
        <f t="shared" si="4"/>
        <v>8</v>
      </c>
      <c r="AB6" s="2">
        <f t="shared" si="5"/>
        <v>2025</v>
      </c>
      <c r="AC6" s="2" t="str">
        <f t="shared" si="6"/>
        <v>Valid</v>
      </c>
      <c r="AD6" s="2">
        <f t="shared" si="7"/>
        <v>0</v>
      </c>
      <c r="AE6" s="2">
        <f t="shared" si="8"/>
        <v>0</v>
      </c>
      <c r="AH6" t="str">
        <f t="shared" si="9"/>
        <v>Ananya Rao</v>
      </c>
      <c r="AI6" t="str">
        <f t="shared" si="9"/>
        <v>Small Business</v>
      </c>
      <c r="AJ6" t="str">
        <f t="shared" si="9"/>
        <v>West</v>
      </c>
      <c r="AK6" t="str">
        <f t="shared" si="9"/>
        <v>Maharashtra</v>
      </c>
      <c r="AL6" t="str">
        <f t="shared" si="9"/>
        <v>Mumbai</v>
      </c>
      <c r="AM6" t="str">
        <f t="shared" si="9"/>
        <v>Furniture</v>
      </c>
      <c r="AN6" t="str">
        <f t="shared" si="9"/>
        <v>Chairs</v>
      </c>
      <c r="AO6" t="str">
        <f t="shared" si="10"/>
        <v>First Class</v>
      </c>
      <c r="AP6" t="str">
        <f t="shared" si="11"/>
        <v>Paid</v>
      </c>
      <c r="AQ6" t="str">
        <f t="shared" si="11"/>
        <v>Cancelled</v>
      </c>
    </row>
    <row r="7" spans="1:43">
      <c r="A7" t="s">
        <v>154</v>
      </c>
      <c r="B7" s="3">
        <v>45436</v>
      </c>
      <c r="C7" s="3" t="s">
        <v>155</v>
      </c>
      <c r="D7" t="s">
        <v>156</v>
      </c>
      <c r="E7" t="s">
        <v>157</v>
      </c>
      <c r="F7" t="s">
        <v>122</v>
      </c>
      <c r="G7" t="s">
        <v>149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  <c r="M7" t="s">
        <v>129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117</v>
      </c>
      <c r="U7" t="s">
        <v>118</v>
      </c>
      <c r="V7" s="2">
        <f t="shared" si="0"/>
        <v>0.2</v>
      </c>
      <c r="W7" s="2">
        <f t="shared" si="1"/>
        <v>2527.4639999999999</v>
      </c>
      <c r="X7" s="2">
        <f>W7-R7</f>
        <v>993.88400000000001</v>
      </c>
      <c r="Y7" s="2">
        <f t="shared" si="2"/>
        <v>0.39323369195367375</v>
      </c>
      <c r="Z7" s="2" t="str">
        <f t="shared" si="3"/>
        <v/>
      </c>
      <c r="AA7" s="2">
        <f t="shared" si="4"/>
        <v>5</v>
      </c>
      <c r="AB7" s="2">
        <f t="shared" si="5"/>
        <v>2024</v>
      </c>
      <c r="AC7" s="2" t="str">
        <f t="shared" si="6"/>
        <v>Text Value Not Recognized as Date</v>
      </c>
      <c r="AD7" s="2">
        <f t="shared" si="7"/>
        <v>0</v>
      </c>
      <c r="AE7" s="2">
        <f t="shared" si="8"/>
        <v>0</v>
      </c>
      <c r="AH7" t="str">
        <f>PROPER(TRIM(E7))</f>
        <v>Vikram Iyer</v>
      </c>
      <c r="AI7" t="str">
        <f t="shared" si="9"/>
        <v>Small Business</v>
      </c>
      <c r="AJ7" t="str">
        <f t="shared" si="9"/>
        <v>West</v>
      </c>
      <c r="AK7" t="str">
        <f t="shared" si="9"/>
        <v>Madhya Pradesh</v>
      </c>
      <c r="AL7" t="str">
        <f t="shared" si="9"/>
        <v>Indore</v>
      </c>
      <c r="AM7" t="str">
        <f t="shared" si="9"/>
        <v>Technology</v>
      </c>
      <c r="AN7" t="str">
        <f t="shared" si="9"/>
        <v>Accessories</v>
      </c>
      <c r="AO7" t="str">
        <f t="shared" si="10"/>
        <v>Same Day</v>
      </c>
      <c r="AP7" t="str">
        <f t="shared" si="11"/>
        <v>Paid</v>
      </c>
      <c r="AQ7" t="str">
        <f t="shared" si="11"/>
        <v>Completed</v>
      </c>
    </row>
    <row r="8" spans="1:43">
      <c r="A8" t="s">
        <v>163</v>
      </c>
      <c r="B8" s="3">
        <v>45757</v>
      </c>
      <c r="C8" s="3">
        <v>45763</v>
      </c>
      <c r="D8" t="s">
        <v>164</v>
      </c>
      <c r="E8" t="s">
        <v>165</v>
      </c>
      <c r="F8" t="s">
        <v>109</v>
      </c>
      <c r="G8" t="s">
        <v>123</v>
      </c>
      <c r="H8" t="s">
        <v>124</v>
      </c>
      <c r="I8" t="s">
        <v>125</v>
      </c>
      <c r="J8" t="s">
        <v>160</v>
      </c>
      <c r="K8" t="s">
        <v>166</v>
      </c>
      <c r="L8" t="s">
        <v>167</v>
      </c>
      <c r="M8" t="s">
        <v>145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117</v>
      </c>
      <c r="U8" t="s">
        <v>118</v>
      </c>
      <c r="V8" s="2">
        <f t="shared" si="0"/>
        <v>0.15</v>
      </c>
      <c r="W8" s="2">
        <f t="shared" si="1"/>
        <v>5847.5579999999991</v>
      </c>
      <c r="X8" s="2">
        <f>W8-R8</f>
        <v>1120.3079999999991</v>
      </c>
      <c r="Y8" s="2">
        <f t="shared" si="2"/>
        <v>0.19158561573908275</v>
      </c>
      <c r="Z8" s="2">
        <f t="shared" si="3"/>
        <v>6</v>
      </c>
      <c r="AA8" s="2">
        <f t="shared" si="4"/>
        <v>4</v>
      </c>
      <c r="AB8" s="2">
        <f t="shared" si="5"/>
        <v>2025</v>
      </c>
      <c r="AC8" s="2" t="str">
        <f t="shared" si="6"/>
        <v>Conflicting Duplicate Order ID</v>
      </c>
      <c r="AD8" s="2">
        <f t="shared" si="7"/>
        <v>0</v>
      </c>
      <c r="AE8" s="2">
        <f t="shared" si="8"/>
        <v>0</v>
      </c>
      <c r="AH8" t="str">
        <f t="shared" si="9"/>
        <v>Neha Gupta</v>
      </c>
      <c r="AI8" t="str">
        <f t="shared" si="9"/>
        <v>Consumer</v>
      </c>
      <c r="AJ8" t="str">
        <f t="shared" si="9"/>
        <v>East</v>
      </c>
      <c r="AK8" t="str">
        <f t="shared" si="9"/>
        <v>Odisha</v>
      </c>
      <c r="AL8" t="str">
        <f t="shared" si="9"/>
        <v>Bhubaneswar</v>
      </c>
      <c r="AM8" t="str">
        <f t="shared" si="9"/>
        <v>Technology</v>
      </c>
      <c r="AN8" t="str">
        <f t="shared" si="9"/>
        <v>Copiers</v>
      </c>
      <c r="AO8" t="str">
        <f t="shared" si="10"/>
        <v>Standard Class</v>
      </c>
      <c r="AP8" t="str">
        <f t="shared" si="11"/>
        <v>Paid</v>
      </c>
      <c r="AQ8" t="str">
        <f t="shared" si="11"/>
        <v>Completed</v>
      </c>
    </row>
    <row r="9" spans="1:43">
      <c r="A9" t="s">
        <v>168</v>
      </c>
      <c r="B9" s="3">
        <v>45711</v>
      </c>
      <c r="C9" s="3" t="s">
        <v>169</v>
      </c>
      <c r="D9" t="s">
        <v>170</v>
      </c>
      <c r="E9" t="s">
        <v>132</v>
      </c>
      <c r="F9" t="s">
        <v>122</v>
      </c>
      <c r="G9" t="s">
        <v>140</v>
      </c>
      <c r="H9" t="s">
        <v>171</v>
      </c>
      <c r="I9" t="s">
        <v>172</v>
      </c>
      <c r="J9" t="s">
        <v>113</v>
      </c>
      <c r="K9" t="s">
        <v>133</v>
      </c>
      <c r="L9" t="s">
        <v>173</v>
      </c>
      <c r="M9" t="s">
        <v>135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117</v>
      </c>
      <c r="U9" t="s">
        <v>118</v>
      </c>
      <c r="V9" s="2">
        <f t="shared" si="0"/>
        <v>0</v>
      </c>
      <c r="W9" s="2">
        <f t="shared" si="1"/>
        <v>2980.71</v>
      </c>
      <c r="X9" s="2">
        <f>W9-R9</f>
        <v>623.49000000000024</v>
      </c>
      <c r="Y9" s="2">
        <f t="shared" si="2"/>
        <v>0.20917499521925992</v>
      </c>
      <c r="Z9" s="2" t="str">
        <f t="shared" si="3"/>
        <v/>
      </c>
      <c r="AA9" s="2">
        <f t="shared" si="4"/>
        <v>2</v>
      </c>
      <c r="AB9" s="2">
        <f t="shared" si="5"/>
        <v>2025</v>
      </c>
      <c r="AC9" s="2" t="str">
        <f t="shared" si="6"/>
        <v>Text Value Not Recognized as Date</v>
      </c>
      <c r="AD9" s="2">
        <f t="shared" si="7"/>
        <v>0</v>
      </c>
      <c r="AE9" s="2">
        <f t="shared" si="8"/>
        <v>0</v>
      </c>
      <c r="AH9" t="str">
        <f t="shared" si="9"/>
        <v>Isha Nair</v>
      </c>
      <c r="AI9" t="str">
        <f t="shared" si="9"/>
        <v>Small Business</v>
      </c>
      <c r="AJ9" t="str">
        <f t="shared" si="9"/>
        <v>South</v>
      </c>
      <c r="AK9" t="str">
        <f t="shared" si="9"/>
        <v>Andhra Pradesh</v>
      </c>
      <c r="AL9" t="str">
        <f t="shared" si="9"/>
        <v>Vijayawada</v>
      </c>
      <c r="AM9" t="str">
        <f t="shared" si="9"/>
        <v>Office Supplies</v>
      </c>
      <c r="AN9" t="str">
        <f t="shared" si="9"/>
        <v>Art</v>
      </c>
      <c r="AO9" t="str">
        <f t="shared" si="10"/>
        <v>First Class</v>
      </c>
      <c r="AP9" t="str">
        <f t="shared" si="11"/>
        <v>Paid</v>
      </c>
      <c r="AQ9" t="str">
        <f t="shared" si="11"/>
        <v>Completed</v>
      </c>
    </row>
    <row r="10" spans="1:43">
      <c r="A10" t="s">
        <v>174</v>
      </c>
      <c r="B10" s="3">
        <v>45601</v>
      </c>
      <c r="C10" s="3">
        <v>45606</v>
      </c>
      <c r="D10" t="s">
        <v>175</v>
      </c>
      <c r="E10" t="s">
        <v>176</v>
      </c>
      <c r="F10" t="s">
        <v>177</v>
      </c>
      <c r="G10" t="s">
        <v>140</v>
      </c>
      <c r="H10" t="s">
        <v>141</v>
      </c>
      <c r="I10" t="s">
        <v>142</v>
      </c>
      <c r="J10" t="s">
        <v>113</v>
      </c>
      <c r="K10" t="s">
        <v>178</v>
      </c>
      <c r="L10" t="s">
        <v>179</v>
      </c>
      <c r="M10" t="s">
        <v>135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117</v>
      </c>
      <c r="U10" t="s">
        <v>118</v>
      </c>
      <c r="V10" s="2">
        <f t="shared" si="0"/>
        <v>0</v>
      </c>
      <c r="W10" s="2">
        <f t="shared" si="1"/>
        <v>25073.599999999999</v>
      </c>
      <c r="X10" s="2">
        <f>W10-R10</f>
        <v>7726.369999999999</v>
      </c>
      <c r="Y10" s="2">
        <f t="shared" si="2"/>
        <v>0.30814761342607361</v>
      </c>
      <c r="Z10" s="2">
        <f t="shared" si="3"/>
        <v>5</v>
      </c>
      <c r="AA10" s="2">
        <f t="shared" si="4"/>
        <v>11</v>
      </c>
      <c r="AB10" s="2">
        <f t="shared" si="5"/>
        <v>2024</v>
      </c>
      <c r="AC10" s="2" t="str">
        <f t="shared" si="6"/>
        <v>Valid</v>
      </c>
      <c r="AD10" s="2">
        <f t="shared" si="7"/>
        <v>0</v>
      </c>
      <c r="AE10" s="2">
        <f t="shared" si="8"/>
        <v>0</v>
      </c>
      <c r="AH10" t="str">
        <f t="shared" si="9"/>
        <v>Aditi Sen</v>
      </c>
      <c r="AI10" t="str">
        <f t="shared" si="9"/>
        <v>Corporate</v>
      </c>
      <c r="AJ10" t="str">
        <f t="shared" si="9"/>
        <v>South</v>
      </c>
      <c r="AK10" t="str">
        <f t="shared" si="9"/>
        <v>Telangana</v>
      </c>
      <c r="AL10" t="str">
        <f t="shared" si="9"/>
        <v>Hyderabad</v>
      </c>
      <c r="AM10" t="str">
        <f t="shared" si="9"/>
        <v>Office Supplies</v>
      </c>
      <c r="AN10" t="str">
        <f t="shared" si="9"/>
        <v>Labels</v>
      </c>
      <c r="AO10" t="str">
        <f t="shared" si="10"/>
        <v>First Class</v>
      </c>
      <c r="AP10" t="str">
        <f t="shared" si="11"/>
        <v>Paid</v>
      </c>
      <c r="AQ10" t="str">
        <f t="shared" si="11"/>
        <v>Completed</v>
      </c>
    </row>
    <row r="11" spans="1:43">
      <c r="A11" t="s">
        <v>180</v>
      </c>
      <c r="B11" s="3">
        <v>45847</v>
      </c>
      <c r="C11" s="3">
        <v>45912</v>
      </c>
      <c r="D11" t="s">
        <v>181</v>
      </c>
      <c r="E11" t="s">
        <v>121</v>
      </c>
      <c r="F11" t="s">
        <v>182</v>
      </c>
      <c r="G11" t="s">
        <v>140</v>
      </c>
      <c r="H11" t="s">
        <v>141</v>
      </c>
      <c r="I11" t="s">
        <v>142</v>
      </c>
      <c r="J11" t="s">
        <v>113</v>
      </c>
      <c r="K11" t="s">
        <v>114</v>
      </c>
      <c r="L11" t="s">
        <v>183</v>
      </c>
      <c r="M11" t="s">
        <v>116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117</v>
      </c>
      <c r="U11" t="s">
        <v>118</v>
      </c>
      <c r="V11" s="2">
        <f t="shared" si="0"/>
        <v>0.2</v>
      </c>
      <c r="W11" s="2">
        <f t="shared" si="1"/>
        <v>6134.6880000000001</v>
      </c>
      <c r="X11" s="2">
        <f>W11-R11</f>
        <v>2334.498</v>
      </c>
      <c r="Y11" s="2">
        <f t="shared" si="2"/>
        <v>0.38054062407085737</v>
      </c>
      <c r="Z11" s="2">
        <f t="shared" si="3"/>
        <v>65</v>
      </c>
      <c r="AA11" s="2">
        <f t="shared" si="4"/>
        <v>7</v>
      </c>
      <c r="AB11" s="2">
        <f t="shared" si="5"/>
        <v>2025</v>
      </c>
      <c r="AC11" s="2" t="str">
        <f t="shared" si="6"/>
        <v>Valid</v>
      </c>
      <c r="AD11" s="2">
        <f t="shared" si="7"/>
        <v>0</v>
      </c>
      <c r="AE11" s="2">
        <f t="shared" si="8"/>
        <v>0</v>
      </c>
      <c r="AH11" t="str">
        <f t="shared" si="9"/>
        <v>Mira Das</v>
      </c>
      <c r="AI11" t="str">
        <f t="shared" si="9"/>
        <v>Home Office</v>
      </c>
      <c r="AJ11" t="str">
        <f t="shared" si="9"/>
        <v>South</v>
      </c>
      <c r="AK11" t="str">
        <f t="shared" si="9"/>
        <v>Telangana</v>
      </c>
      <c r="AL11" t="str">
        <f t="shared" si="9"/>
        <v>Hyderabad</v>
      </c>
      <c r="AM11" t="str">
        <f t="shared" si="9"/>
        <v>Office Supplies</v>
      </c>
      <c r="AN11" t="str">
        <f t="shared" si="9"/>
        <v>Paper</v>
      </c>
      <c r="AO11" t="str">
        <f t="shared" si="10"/>
        <v>Second Class</v>
      </c>
      <c r="AP11" t="str">
        <f t="shared" si="11"/>
        <v>Paid</v>
      </c>
      <c r="AQ11" t="str">
        <f t="shared" si="11"/>
        <v>Completed</v>
      </c>
    </row>
    <row r="12" spans="1:43">
      <c r="A12" t="s">
        <v>184</v>
      </c>
      <c r="B12" s="3">
        <v>45797</v>
      </c>
      <c r="C12" s="3">
        <v>45797</v>
      </c>
      <c r="D12" t="s">
        <v>185</v>
      </c>
      <c r="E12" t="s">
        <v>148</v>
      </c>
      <c r="F12" t="s">
        <v>177</v>
      </c>
      <c r="G12" t="s">
        <v>123</v>
      </c>
      <c r="H12" t="s">
        <v>186</v>
      </c>
      <c r="I12" t="s">
        <v>187</v>
      </c>
      <c r="J12" t="s">
        <v>113</v>
      </c>
      <c r="K12" t="s">
        <v>178</v>
      </c>
      <c r="L12" t="s">
        <v>188</v>
      </c>
      <c r="M12" t="s">
        <v>116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189</v>
      </c>
      <c r="U12" t="s">
        <v>190</v>
      </c>
      <c r="V12" s="2">
        <f t="shared" si="0"/>
        <v>0.05</v>
      </c>
      <c r="W12" s="2">
        <f t="shared" si="1"/>
        <v>10074.2655</v>
      </c>
      <c r="X12" s="2">
        <f>W12-R12</f>
        <v>4025.9954999999991</v>
      </c>
      <c r="Y12" s="2">
        <f t="shared" si="2"/>
        <v>0.39963166545491574</v>
      </c>
      <c r="Z12" s="2">
        <f t="shared" si="3"/>
        <v>0</v>
      </c>
      <c r="AA12" s="2">
        <f t="shared" si="4"/>
        <v>5</v>
      </c>
      <c r="AB12" s="2">
        <f t="shared" si="5"/>
        <v>2025</v>
      </c>
      <c r="AC12" s="2" t="str">
        <f t="shared" si="6"/>
        <v>Valid</v>
      </c>
      <c r="AD12" s="2">
        <f t="shared" si="7"/>
        <v>0</v>
      </c>
      <c r="AE12" s="2">
        <f t="shared" si="8"/>
        <v>0</v>
      </c>
      <c r="AH12" t="str">
        <f t="shared" si="9"/>
        <v>Ananya Rao</v>
      </c>
      <c r="AI12" t="str">
        <f t="shared" si="9"/>
        <v>Corporate</v>
      </c>
      <c r="AJ12" t="str">
        <f t="shared" si="9"/>
        <v>East</v>
      </c>
      <c r="AK12" t="str">
        <f t="shared" si="9"/>
        <v>West Bengal</v>
      </c>
      <c r="AL12" t="str">
        <f t="shared" si="9"/>
        <v>Kolkata</v>
      </c>
      <c r="AM12" t="str">
        <f t="shared" si="9"/>
        <v>Office Supplies</v>
      </c>
      <c r="AN12" t="str">
        <f t="shared" si="9"/>
        <v>Labels</v>
      </c>
      <c r="AO12" t="str">
        <f t="shared" si="10"/>
        <v>Second Class</v>
      </c>
      <c r="AP12" t="str">
        <f t="shared" si="11"/>
        <v>Refunded</v>
      </c>
      <c r="AQ12" t="str">
        <f t="shared" si="11"/>
        <v>Returned</v>
      </c>
    </row>
    <row r="13" spans="1:43">
      <c r="A13" t="s">
        <v>191</v>
      </c>
      <c r="B13" s="3">
        <v>45495</v>
      </c>
      <c r="C13" s="3" t="s">
        <v>192</v>
      </c>
      <c r="D13" t="s">
        <v>193</v>
      </c>
      <c r="E13" t="s">
        <v>157</v>
      </c>
      <c r="F13" t="s">
        <v>122</v>
      </c>
      <c r="G13" t="s">
        <v>123</v>
      </c>
      <c r="H13" t="s">
        <v>124</v>
      </c>
      <c r="I13" t="s">
        <v>125</v>
      </c>
      <c r="J13" t="s">
        <v>160</v>
      </c>
      <c r="K13" t="s">
        <v>161</v>
      </c>
      <c r="L13" t="s">
        <v>194</v>
      </c>
      <c r="M13" t="s">
        <v>129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117</v>
      </c>
      <c r="U13" t="s">
        <v>118</v>
      </c>
      <c r="V13" s="2">
        <f t="shared" si="0"/>
        <v>0.2</v>
      </c>
      <c r="W13" s="2">
        <f t="shared" si="1"/>
        <v>9628.5600000000013</v>
      </c>
      <c r="X13" s="2">
        <f>W13-R13</f>
        <v>1589.9700000000012</v>
      </c>
      <c r="Y13" s="2">
        <f t="shared" si="2"/>
        <v>0.16513061143099289</v>
      </c>
      <c r="Z13" s="2" t="str">
        <f t="shared" si="3"/>
        <v/>
      </c>
      <c r="AA13" s="2">
        <f t="shared" si="4"/>
        <v>7</v>
      </c>
      <c r="AB13" s="2">
        <f t="shared" si="5"/>
        <v>2024</v>
      </c>
      <c r="AC13" s="2" t="str">
        <f t="shared" si="6"/>
        <v>Text Value Not Recognized as Date</v>
      </c>
      <c r="AD13" s="2">
        <f t="shared" si="7"/>
        <v>0</v>
      </c>
      <c r="AE13" s="2">
        <f t="shared" si="8"/>
        <v>0</v>
      </c>
      <c r="AH13" t="str">
        <f t="shared" si="9"/>
        <v>Vikram Iyer</v>
      </c>
      <c r="AI13" t="str">
        <f t="shared" si="9"/>
        <v>Small Business</v>
      </c>
      <c r="AJ13" t="str">
        <f t="shared" si="9"/>
        <v>East</v>
      </c>
      <c r="AK13" t="str">
        <f t="shared" si="9"/>
        <v>Odisha</v>
      </c>
      <c r="AL13" t="str">
        <f t="shared" si="9"/>
        <v>Bhubaneswar</v>
      </c>
      <c r="AM13" t="str">
        <f t="shared" si="9"/>
        <v>Technology</v>
      </c>
      <c r="AN13" t="str">
        <f t="shared" si="9"/>
        <v>Accessories</v>
      </c>
      <c r="AO13" t="str">
        <f t="shared" si="10"/>
        <v>Same Day</v>
      </c>
      <c r="AP13" t="str">
        <f t="shared" si="11"/>
        <v>Paid</v>
      </c>
      <c r="AQ13" t="str">
        <f t="shared" si="11"/>
        <v>Completed</v>
      </c>
    </row>
    <row r="14" spans="1:43">
      <c r="A14" t="s">
        <v>195</v>
      </c>
      <c r="B14" s="3">
        <v>45646</v>
      </c>
      <c r="C14" s="3">
        <v>45647</v>
      </c>
      <c r="D14" t="s">
        <v>196</v>
      </c>
      <c r="E14" t="s">
        <v>148</v>
      </c>
      <c r="F14" t="s">
        <v>177</v>
      </c>
      <c r="G14" t="s">
        <v>149</v>
      </c>
      <c r="H14" t="s">
        <v>111</v>
      </c>
      <c r="I14" t="s">
        <v>197</v>
      </c>
      <c r="J14" t="s">
        <v>113</v>
      </c>
      <c r="K14" t="s">
        <v>114</v>
      </c>
      <c r="L14" t="s">
        <v>198</v>
      </c>
      <c r="M14" t="s">
        <v>135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199</v>
      </c>
      <c r="U14" t="s">
        <v>190</v>
      </c>
      <c r="V14" s="2">
        <f t="shared" si="0"/>
        <v>0.15</v>
      </c>
      <c r="W14" s="2">
        <f t="shared" si="1"/>
        <v>596.81899999999996</v>
      </c>
      <c r="X14" s="2">
        <f>W14-R14</f>
        <v>216.56899999999996</v>
      </c>
      <c r="Y14" s="2">
        <f t="shared" si="2"/>
        <v>0.36287216057129545</v>
      </c>
      <c r="Z14" s="2">
        <f t="shared" si="3"/>
        <v>1</v>
      </c>
      <c r="AA14" s="2">
        <f t="shared" si="4"/>
        <v>12</v>
      </c>
      <c r="AB14" s="2">
        <f t="shared" si="5"/>
        <v>2024</v>
      </c>
      <c r="AC14" s="2" t="str">
        <f t="shared" si="6"/>
        <v>Valid</v>
      </c>
      <c r="AD14" s="2">
        <f t="shared" si="7"/>
        <v>0</v>
      </c>
      <c r="AE14" s="2">
        <f t="shared" si="8"/>
        <v>0</v>
      </c>
      <c r="AH14" t="str">
        <f t="shared" si="9"/>
        <v>Ananya Rao</v>
      </c>
      <c r="AI14" t="str">
        <f t="shared" si="9"/>
        <v>Corporate</v>
      </c>
      <c r="AJ14" t="str">
        <f t="shared" si="9"/>
        <v>West</v>
      </c>
      <c r="AK14" t="str">
        <f t="shared" si="9"/>
        <v>Rajasthan</v>
      </c>
      <c r="AL14" t="str">
        <f t="shared" si="9"/>
        <v>Udaipur</v>
      </c>
      <c r="AM14" t="str">
        <f t="shared" si="9"/>
        <v>Office Supplies</v>
      </c>
      <c r="AN14" t="str">
        <f t="shared" si="9"/>
        <v>Paper</v>
      </c>
      <c r="AO14" t="str">
        <f t="shared" si="10"/>
        <v>First Class</v>
      </c>
      <c r="AP14" t="str">
        <f t="shared" si="11"/>
        <v>Pending</v>
      </c>
      <c r="AQ14" t="str">
        <f t="shared" si="11"/>
        <v>Returned</v>
      </c>
    </row>
    <row r="15" spans="1:43">
      <c r="A15" t="s">
        <v>200</v>
      </c>
      <c r="B15" s="3">
        <v>45942</v>
      </c>
      <c r="C15" s="3" t="s">
        <v>201</v>
      </c>
      <c r="D15" t="s">
        <v>202</v>
      </c>
      <c r="E15" t="s">
        <v>203</v>
      </c>
      <c r="F15" t="s">
        <v>122</v>
      </c>
      <c r="G15" t="s">
        <v>149</v>
      </c>
      <c r="H15" t="s">
        <v>150</v>
      </c>
      <c r="I15" t="s">
        <v>151</v>
      </c>
      <c r="J15" t="s">
        <v>113</v>
      </c>
      <c r="K15" t="s">
        <v>133</v>
      </c>
      <c r="L15" t="s">
        <v>204</v>
      </c>
      <c r="M15" t="s">
        <v>116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117</v>
      </c>
      <c r="U15" t="s">
        <v>118</v>
      </c>
      <c r="V15" s="2">
        <f t="shared" si="0"/>
        <v>0.05</v>
      </c>
      <c r="W15" s="2">
        <f t="shared" si="1"/>
        <v>26365.387999999995</v>
      </c>
      <c r="X15" s="2">
        <f>W15-R15</f>
        <v>4059.1479999999938</v>
      </c>
      <c r="Y15" s="2">
        <f t="shared" si="2"/>
        <v>0.15395745361304733</v>
      </c>
      <c r="Z15" s="2" t="str">
        <f t="shared" si="3"/>
        <v/>
      </c>
      <c r="AA15" s="2">
        <f t="shared" si="4"/>
        <v>10</v>
      </c>
      <c r="AB15" s="2">
        <f t="shared" si="5"/>
        <v>2025</v>
      </c>
      <c r="AC15" s="2" t="str">
        <f t="shared" si="6"/>
        <v>Text Value Not Recognized as Date</v>
      </c>
      <c r="AD15" s="2">
        <f t="shared" si="7"/>
        <v>0</v>
      </c>
      <c r="AE15" s="2">
        <f t="shared" si="8"/>
        <v>0</v>
      </c>
      <c r="AH15" t="str">
        <f t="shared" si="9"/>
        <v>Priya Menon</v>
      </c>
      <c r="AI15" t="str">
        <f t="shared" si="9"/>
        <v>Small Business</v>
      </c>
      <c r="AJ15" t="str">
        <f t="shared" si="9"/>
        <v>West</v>
      </c>
      <c r="AK15" t="str">
        <f t="shared" si="9"/>
        <v>Maharashtra</v>
      </c>
      <c r="AL15" t="str">
        <f t="shared" si="9"/>
        <v>Mumbai</v>
      </c>
      <c r="AM15" t="str">
        <f t="shared" si="9"/>
        <v>Office Supplies</v>
      </c>
      <c r="AN15" t="str">
        <f t="shared" si="9"/>
        <v>Art</v>
      </c>
      <c r="AO15" t="str">
        <f t="shared" si="10"/>
        <v>Second Class</v>
      </c>
      <c r="AP15" t="str">
        <f t="shared" si="11"/>
        <v>Paid</v>
      </c>
      <c r="AQ15" t="str">
        <f t="shared" si="11"/>
        <v>Completed</v>
      </c>
    </row>
    <row r="16" spans="1:43">
      <c r="A16" t="s">
        <v>205</v>
      </c>
      <c r="B16" s="3">
        <v>45653</v>
      </c>
      <c r="C16" s="3">
        <v>45654</v>
      </c>
      <c r="D16" t="s">
        <v>206</v>
      </c>
      <c r="E16" t="s">
        <v>207</v>
      </c>
      <c r="F16" t="s">
        <v>109</v>
      </c>
      <c r="G16" t="s">
        <v>149</v>
      </c>
      <c r="H16" t="s">
        <v>111</v>
      </c>
      <c r="I16" t="s">
        <v>197</v>
      </c>
      <c r="J16" t="s">
        <v>160</v>
      </c>
      <c r="K16" t="s">
        <v>166</v>
      </c>
      <c r="L16" t="s">
        <v>208</v>
      </c>
      <c r="M16" t="s">
        <v>145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117</v>
      </c>
      <c r="U16" t="s">
        <v>118</v>
      </c>
      <c r="V16" s="2">
        <f t="shared" si="0"/>
        <v>0.25</v>
      </c>
      <c r="W16" s="2">
        <f t="shared" si="1"/>
        <v>4106.7449999999999</v>
      </c>
      <c r="X16" s="2">
        <f>W16-R16</f>
        <v>1440.4449999999997</v>
      </c>
      <c r="Y16" s="2">
        <f t="shared" si="2"/>
        <v>0.35075102057712365</v>
      </c>
      <c r="Z16" s="2">
        <f t="shared" si="3"/>
        <v>1</v>
      </c>
      <c r="AA16" s="2">
        <f t="shared" si="4"/>
        <v>12</v>
      </c>
      <c r="AB16" s="2">
        <f t="shared" si="5"/>
        <v>2024</v>
      </c>
      <c r="AC16" s="2" t="str">
        <f t="shared" si="6"/>
        <v>Valid</v>
      </c>
      <c r="AD16" s="2">
        <f t="shared" si="7"/>
        <v>0</v>
      </c>
      <c r="AE16" s="2">
        <f t="shared" si="8"/>
        <v>0</v>
      </c>
      <c r="AH16" t="str">
        <f t="shared" si="9"/>
        <v>Rahul Verma</v>
      </c>
      <c r="AI16" t="str">
        <f t="shared" si="9"/>
        <v>Consumer</v>
      </c>
      <c r="AJ16" t="str">
        <f t="shared" si="9"/>
        <v>West</v>
      </c>
      <c r="AK16" t="str">
        <f t="shared" si="9"/>
        <v>Rajasthan</v>
      </c>
      <c r="AL16" t="str">
        <f t="shared" si="9"/>
        <v>Udaipur</v>
      </c>
      <c r="AM16" t="str">
        <f t="shared" si="9"/>
        <v>Technology</v>
      </c>
      <c r="AN16" t="str">
        <f t="shared" si="9"/>
        <v>Copiers</v>
      </c>
      <c r="AO16" t="str">
        <f t="shared" si="10"/>
        <v>Standard Class</v>
      </c>
      <c r="AP16" t="str">
        <f t="shared" si="11"/>
        <v>Paid</v>
      </c>
      <c r="AQ16" t="str">
        <f t="shared" si="11"/>
        <v>Completed</v>
      </c>
    </row>
    <row r="17" spans="1:43">
      <c r="A17" t="s">
        <v>209</v>
      </c>
      <c r="B17" s="3">
        <v>45482</v>
      </c>
      <c r="C17" s="3">
        <v>45482</v>
      </c>
      <c r="D17" t="s">
        <v>210</v>
      </c>
      <c r="E17" t="s">
        <v>108</v>
      </c>
      <c r="F17" t="s">
        <v>122</v>
      </c>
      <c r="G17" t="s">
        <v>110</v>
      </c>
      <c r="H17" t="s">
        <v>211</v>
      </c>
      <c r="I17" t="s">
        <v>212</v>
      </c>
      <c r="J17" t="s">
        <v>113</v>
      </c>
      <c r="K17" t="s">
        <v>213</v>
      </c>
      <c r="L17" t="s">
        <v>214</v>
      </c>
      <c r="M17" t="s">
        <v>116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117</v>
      </c>
      <c r="U17" t="s">
        <v>118</v>
      </c>
      <c r="V17" s="2">
        <f t="shared" si="0"/>
        <v>0</v>
      </c>
      <c r="W17" s="2">
        <f t="shared" si="1"/>
        <v>23794.560000000001</v>
      </c>
      <c r="X17" s="2">
        <f>W17-R17</f>
        <v>8096.090000000002</v>
      </c>
      <c r="Y17" s="2">
        <f t="shared" si="2"/>
        <v>0.34024962008122872</v>
      </c>
      <c r="Z17" s="2">
        <f t="shared" si="3"/>
        <v>0</v>
      </c>
      <c r="AA17" s="2">
        <f t="shared" si="4"/>
        <v>7</v>
      </c>
      <c r="AB17" s="2">
        <f t="shared" si="5"/>
        <v>2024</v>
      </c>
      <c r="AC17" s="2" t="str">
        <f t="shared" si="6"/>
        <v>Valid</v>
      </c>
      <c r="AD17" s="2">
        <f t="shared" si="7"/>
        <v>0</v>
      </c>
      <c r="AE17" s="2">
        <f t="shared" si="8"/>
        <v>0</v>
      </c>
      <c r="AH17" t="str">
        <f t="shared" si="9"/>
        <v>Karan Malhotra</v>
      </c>
      <c r="AI17" t="str">
        <f t="shared" si="9"/>
        <v>Small Business</v>
      </c>
      <c r="AJ17" t="str">
        <f t="shared" si="9"/>
        <v>North</v>
      </c>
      <c r="AK17" t="str">
        <f t="shared" si="9"/>
        <v>Punjab</v>
      </c>
      <c r="AL17" t="str">
        <f t="shared" si="9"/>
        <v>Ludhiana</v>
      </c>
      <c r="AM17" t="str">
        <f t="shared" si="9"/>
        <v>Office Supplies</v>
      </c>
      <c r="AN17" t="str">
        <f t="shared" si="9"/>
        <v>Storage</v>
      </c>
      <c r="AO17" t="str">
        <f t="shared" si="10"/>
        <v>Second Class</v>
      </c>
      <c r="AP17" t="str">
        <f t="shared" si="11"/>
        <v>Paid</v>
      </c>
      <c r="AQ17" t="str">
        <f t="shared" si="11"/>
        <v>Completed</v>
      </c>
    </row>
    <row r="18" spans="1:43">
      <c r="A18" t="s">
        <v>215</v>
      </c>
      <c r="B18" s="3">
        <v>45420</v>
      </c>
      <c r="C18" s="3" t="s">
        <v>216</v>
      </c>
      <c r="D18" t="s">
        <v>217</v>
      </c>
      <c r="E18" t="s">
        <v>218</v>
      </c>
      <c r="F18" t="s">
        <v>109</v>
      </c>
      <c r="G18" t="s">
        <v>140</v>
      </c>
      <c r="H18" t="s">
        <v>141</v>
      </c>
      <c r="I18" t="s">
        <v>142</v>
      </c>
      <c r="J18" t="s">
        <v>113</v>
      </c>
      <c r="K18" t="s">
        <v>133</v>
      </c>
      <c r="L18" t="s">
        <v>219</v>
      </c>
      <c r="M18" t="s">
        <v>135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117</v>
      </c>
      <c r="U18" t="s">
        <v>118</v>
      </c>
      <c r="V18" s="2">
        <f t="shared" si="0"/>
        <v>0.25</v>
      </c>
      <c r="W18" s="2">
        <f t="shared" si="1"/>
        <v>9970.5300000000007</v>
      </c>
      <c r="X18" s="2">
        <f>W18-R18</f>
        <v>4302.3600000000006</v>
      </c>
      <c r="Y18" s="2">
        <f t="shared" si="2"/>
        <v>0.43150765305354882</v>
      </c>
      <c r="Z18" s="2" t="str">
        <f t="shared" si="3"/>
        <v/>
      </c>
      <c r="AA18" s="2">
        <f t="shared" si="4"/>
        <v>5</v>
      </c>
      <c r="AB18" s="2">
        <f t="shared" si="5"/>
        <v>2024</v>
      </c>
      <c r="AC18" s="2" t="str">
        <f t="shared" si="6"/>
        <v>Text Value Not Recognized as Date</v>
      </c>
      <c r="AD18" s="2">
        <f t="shared" si="7"/>
        <v>0</v>
      </c>
      <c r="AE18" s="2">
        <f t="shared" si="8"/>
        <v>0</v>
      </c>
      <c r="AH18" t="str">
        <f t="shared" si="9"/>
        <v>Aarav Sharma</v>
      </c>
      <c r="AI18" t="str">
        <f t="shared" si="9"/>
        <v>Consumer</v>
      </c>
      <c r="AJ18" t="str">
        <f t="shared" si="9"/>
        <v>South</v>
      </c>
      <c r="AK18" t="str">
        <f t="shared" si="9"/>
        <v>Telangana</v>
      </c>
      <c r="AL18" t="str">
        <f t="shared" si="9"/>
        <v>Hyderabad</v>
      </c>
      <c r="AM18" t="str">
        <f t="shared" si="9"/>
        <v>Office Supplies</v>
      </c>
      <c r="AN18" t="str">
        <f t="shared" si="9"/>
        <v>Art</v>
      </c>
      <c r="AO18" t="str">
        <f t="shared" si="10"/>
        <v>First Class</v>
      </c>
      <c r="AP18" t="str">
        <f t="shared" si="11"/>
        <v>Paid</v>
      </c>
      <c r="AQ18" t="str">
        <f t="shared" si="11"/>
        <v>Completed</v>
      </c>
    </row>
    <row r="19" spans="1:43">
      <c r="A19" t="s">
        <v>220</v>
      </c>
      <c r="B19" s="3">
        <v>45298</v>
      </c>
      <c r="C19" s="3">
        <v>45299</v>
      </c>
      <c r="D19" t="s">
        <v>221</v>
      </c>
      <c r="E19" t="s">
        <v>222</v>
      </c>
      <c r="F19" t="s">
        <v>122</v>
      </c>
      <c r="G19" t="s">
        <v>110</v>
      </c>
      <c r="H19" t="s">
        <v>111</v>
      </c>
      <c r="I19" t="s">
        <v>112</v>
      </c>
      <c r="J19" t="s">
        <v>126</v>
      </c>
      <c r="K19" t="s">
        <v>143</v>
      </c>
      <c r="L19" t="s">
        <v>223</v>
      </c>
      <c r="M19" t="s">
        <v>129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117</v>
      </c>
      <c r="U19" t="s">
        <v>118</v>
      </c>
      <c r="V19" s="2">
        <f t="shared" si="0"/>
        <v>0</v>
      </c>
      <c r="W19" s="2">
        <f t="shared" si="1"/>
        <v>7633.9</v>
      </c>
      <c r="X19" s="2">
        <f>W19-R19</f>
        <v>2926.99</v>
      </c>
      <c r="Y19" s="2">
        <f t="shared" si="2"/>
        <v>0.38342000812166782</v>
      </c>
      <c r="Z19" s="2">
        <f t="shared" si="3"/>
        <v>1</v>
      </c>
      <c r="AA19" s="2">
        <f t="shared" si="4"/>
        <v>1</v>
      </c>
      <c r="AB19" s="2">
        <f t="shared" si="5"/>
        <v>2024</v>
      </c>
      <c r="AC19" s="2" t="str">
        <f t="shared" si="6"/>
        <v>Valid</v>
      </c>
      <c r="AD19" s="2">
        <f t="shared" si="7"/>
        <v>0</v>
      </c>
      <c r="AE19" s="2">
        <f t="shared" si="8"/>
        <v>0</v>
      </c>
      <c r="AH19" t="str">
        <f t="shared" si="9"/>
        <v>Sneha Kapoor</v>
      </c>
      <c r="AI19" t="str">
        <f t="shared" si="9"/>
        <v>Small Business</v>
      </c>
      <c r="AJ19" t="str">
        <f t="shared" si="9"/>
        <v>North</v>
      </c>
      <c r="AK19" t="str">
        <f t="shared" si="9"/>
        <v>Rajasthan</v>
      </c>
      <c r="AL19" t="str">
        <f t="shared" si="9"/>
        <v>Jaipur</v>
      </c>
      <c r="AM19" t="str">
        <f t="shared" si="9"/>
        <v>Furniture</v>
      </c>
      <c r="AN19" t="str">
        <f t="shared" si="9"/>
        <v>Furnishings</v>
      </c>
      <c r="AO19" t="str">
        <f t="shared" si="10"/>
        <v>Same Day</v>
      </c>
      <c r="AP19" t="str">
        <f t="shared" si="11"/>
        <v>Paid</v>
      </c>
      <c r="AQ19" t="str">
        <f t="shared" si="11"/>
        <v>Completed</v>
      </c>
    </row>
    <row r="20" spans="1:43">
      <c r="A20" t="s">
        <v>224</v>
      </c>
      <c r="B20" s="3">
        <v>45853</v>
      </c>
      <c r="C20" s="3" t="s">
        <v>225</v>
      </c>
      <c r="D20" t="s">
        <v>226</v>
      </c>
      <c r="E20" t="s">
        <v>218</v>
      </c>
      <c r="F20" t="s">
        <v>182</v>
      </c>
      <c r="G20" t="s">
        <v>110</v>
      </c>
      <c r="H20" t="s">
        <v>227</v>
      </c>
      <c r="I20" t="s">
        <v>228</v>
      </c>
      <c r="J20" t="s">
        <v>160</v>
      </c>
      <c r="K20" t="s">
        <v>166</v>
      </c>
      <c r="L20" t="s">
        <v>229</v>
      </c>
      <c r="M20" t="s">
        <v>135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189</v>
      </c>
      <c r="U20" t="s">
        <v>44</v>
      </c>
      <c r="V20" s="2">
        <f t="shared" si="0"/>
        <v>0</v>
      </c>
      <c r="W20" s="2">
        <f t="shared" si="1"/>
        <v>3995.98</v>
      </c>
      <c r="X20" s="2">
        <f>W20-R20</f>
        <v>1362.7800000000002</v>
      </c>
      <c r="Y20" s="2">
        <f t="shared" si="2"/>
        <v>0.34103774293164635</v>
      </c>
      <c r="Z20" s="2" t="str">
        <f t="shared" si="3"/>
        <v/>
      </c>
      <c r="AA20" s="2">
        <f t="shared" si="4"/>
        <v>7</v>
      </c>
      <c r="AB20" s="2">
        <f t="shared" si="5"/>
        <v>2025</v>
      </c>
      <c r="AC20" s="2" t="str">
        <f t="shared" si="6"/>
        <v>Text Value Not Recognized as Date</v>
      </c>
      <c r="AD20" s="2">
        <f t="shared" si="7"/>
        <v>0</v>
      </c>
      <c r="AE20" s="2">
        <f t="shared" si="8"/>
        <v>0</v>
      </c>
      <c r="AH20" t="str">
        <f t="shared" si="9"/>
        <v>Aarav Sharma</v>
      </c>
      <c r="AI20" t="str">
        <f t="shared" si="9"/>
        <v>Home Office</v>
      </c>
      <c r="AJ20" t="str">
        <f t="shared" si="9"/>
        <v>North</v>
      </c>
      <c r="AK20" t="str">
        <f t="shared" si="9"/>
        <v>Uttar Pradesh</v>
      </c>
      <c r="AL20" t="str">
        <f t="shared" si="9"/>
        <v>Noida</v>
      </c>
      <c r="AM20" t="str">
        <f t="shared" si="9"/>
        <v>Technology</v>
      </c>
      <c r="AN20" t="str">
        <f t="shared" si="9"/>
        <v>Copiers</v>
      </c>
      <c r="AO20" t="str">
        <f t="shared" si="10"/>
        <v>First Class</v>
      </c>
      <c r="AP20" t="str">
        <f t="shared" si="11"/>
        <v>Refunded</v>
      </c>
      <c r="AQ20" t="str">
        <f t="shared" si="11"/>
        <v>Cancelled</v>
      </c>
    </row>
    <row r="21" spans="1:43">
      <c r="A21" t="s">
        <v>230</v>
      </c>
      <c r="B21" s="3">
        <v>45500</v>
      </c>
      <c r="C21" s="3">
        <v>45504</v>
      </c>
      <c r="D21" t="s">
        <v>231</v>
      </c>
      <c r="E21" t="s">
        <v>232</v>
      </c>
      <c r="F21" t="s">
        <v>182</v>
      </c>
      <c r="G21" t="s">
        <v>149</v>
      </c>
      <c r="H21" t="s">
        <v>158</v>
      </c>
      <c r="I21" t="s">
        <v>159</v>
      </c>
      <c r="J21" t="s">
        <v>113</v>
      </c>
      <c r="K21" t="s">
        <v>213</v>
      </c>
      <c r="L21" t="s">
        <v>233</v>
      </c>
      <c r="M21" t="s">
        <v>116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117</v>
      </c>
      <c r="U21" t="s">
        <v>118</v>
      </c>
      <c r="V21" s="2">
        <f t="shared" si="0"/>
        <v>-0.19</v>
      </c>
      <c r="W21" s="2">
        <f t="shared" si="1"/>
        <v>13879.9458</v>
      </c>
      <c r="X21" s="2">
        <f>W21-R21</f>
        <v>6350.6357999999991</v>
      </c>
      <c r="Y21" s="2">
        <f t="shared" si="2"/>
        <v>0.45754038895454474</v>
      </c>
      <c r="Z21" s="2">
        <f t="shared" si="3"/>
        <v>4</v>
      </c>
      <c r="AA21" s="2">
        <f t="shared" si="4"/>
        <v>7</v>
      </c>
      <c r="AB21" s="2">
        <f t="shared" si="5"/>
        <v>2024</v>
      </c>
      <c r="AC21" s="2" t="str">
        <f t="shared" si="6"/>
        <v>Invalid</v>
      </c>
      <c r="AD21" s="2">
        <f t="shared" si="7"/>
        <v>1</v>
      </c>
      <c r="AE21" s="2">
        <f t="shared" si="8"/>
        <v>1</v>
      </c>
      <c r="AH21" t="str">
        <f t="shared" si="9"/>
        <v>Rohan Mehta</v>
      </c>
      <c r="AI21" t="str">
        <f t="shared" si="9"/>
        <v>Home Office</v>
      </c>
      <c r="AJ21" t="str">
        <f t="shared" si="9"/>
        <v>West</v>
      </c>
      <c r="AK21" t="str">
        <f t="shared" si="9"/>
        <v>Madhya Pradesh</v>
      </c>
      <c r="AL21" t="str">
        <f t="shared" si="9"/>
        <v>Indore</v>
      </c>
      <c r="AM21" t="str">
        <f t="shared" si="9"/>
        <v>Office Supplies</v>
      </c>
      <c r="AN21" t="str">
        <f t="shared" si="9"/>
        <v>Storage</v>
      </c>
      <c r="AO21" t="str">
        <f t="shared" si="10"/>
        <v>Second Class</v>
      </c>
      <c r="AP21" t="str">
        <f t="shared" si="11"/>
        <v>Paid</v>
      </c>
      <c r="AQ21" t="str">
        <f t="shared" si="11"/>
        <v>Completed</v>
      </c>
    </row>
    <row r="22" spans="1:43">
      <c r="A22" t="s">
        <v>234</v>
      </c>
      <c r="B22" s="3" t="s">
        <v>235</v>
      </c>
      <c r="C22" s="3">
        <v>45680</v>
      </c>
      <c r="D22" t="s">
        <v>236</v>
      </c>
      <c r="E22" t="s">
        <v>176</v>
      </c>
      <c r="F22" t="s">
        <v>182</v>
      </c>
      <c r="G22" t="s">
        <v>123</v>
      </c>
      <c r="H22" t="s">
        <v>237</v>
      </c>
      <c r="I22" t="s">
        <v>238</v>
      </c>
      <c r="J22" t="s">
        <v>160</v>
      </c>
      <c r="K22" t="s">
        <v>166</v>
      </c>
      <c r="L22" t="s">
        <v>239</v>
      </c>
      <c r="M22" t="s">
        <v>135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117</v>
      </c>
      <c r="U22" t="s">
        <v>118</v>
      </c>
      <c r="V22" s="2">
        <f t="shared" si="0"/>
        <v>0.25</v>
      </c>
      <c r="W22" s="2">
        <f t="shared" si="1"/>
        <v>16398.975000000002</v>
      </c>
      <c r="X22" s="2">
        <f>W22-R22</f>
        <v>6842.4550000000017</v>
      </c>
      <c r="Y22" s="2">
        <f t="shared" si="2"/>
        <v>0.4172489439126531</v>
      </c>
      <c r="Z22" s="2" t="str">
        <f t="shared" si="3"/>
        <v/>
      </c>
      <c r="AA22" s="2" t="e">
        <f t="shared" si="4"/>
        <v>#VALUE!</v>
      </c>
      <c r="AB22" s="2" t="e">
        <f t="shared" si="5"/>
        <v>#VALUE!</v>
      </c>
      <c r="AC22" s="2" t="str">
        <f t="shared" si="6"/>
        <v>Text Value Not Recognized as Date</v>
      </c>
      <c r="AD22" s="2">
        <f t="shared" si="7"/>
        <v>0</v>
      </c>
      <c r="AE22" s="2">
        <f t="shared" si="8"/>
        <v>0</v>
      </c>
      <c r="AH22" t="str">
        <f t="shared" si="9"/>
        <v>Aditi Sen</v>
      </c>
      <c r="AI22" t="str">
        <f t="shared" si="9"/>
        <v>Home Office</v>
      </c>
      <c r="AJ22" t="str">
        <f t="shared" si="9"/>
        <v>East</v>
      </c>
      <c r="AK22" t="str">
        <f t="shared" si="9"/>
        <v>Bihar</v>
      </c>
      <c r="AL22" t="str">
        <f t="shared" si="9"/>
        <v>Patna</v>
      </c>
      <c r="AM22" t="str">
        <f t="shared" si="9"/>
        <v>Technology</v>
      </c>
      <c r="AN22" t="str">
        <f t="shared" si="9"/>
        <v>Copiers</v>
      </c>
      <c r="AO22" t="str">
        <f t="shared" si="10"/>
        <v>First Class</v>
      </c>
      <c r="AP22" t="str">
        <f t="shared" si="11"/>
        <v>Paid</v>
      </c>
      <c r="AQ22" t="str">
        <f t="shared" si="11"/>
        <v>Completed</v>
      </c>
    </row>
    <row r="23" spans="1:43">
      <c r="A23" t="s">
        <v>240</v>
      </c>
      <c r="B23" s="3" t="s">
        <v>241</v>
      </c>
      <c r="C23" s="3">
        <v>45687</v>
      </c>
      <c r="D23" t="s">
        <v>242</v>
      </c>
      <c r="E23" t="s">
        <v>222</v>
      </c>
      <c r="F23" t="s">
        <v>109</v>
      </c>
      <c r="G23" t="s">
        <v>149</v>
      </c>
      <c r="H23" t="s">
        <v>158</v>
      </c>
      <c r="I23" t="s">
        <v>159</v>
      </c>
      <c r="J23" t="s">
        <v>126</v>
      </c>
      <c r="K23" t="s">
        <v>143</v>
      </c>
      <c r="L23" t="s">
        <v>243</v>
      </c>
      <c r="M23" t="s">
        <v>116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117</v>
      </c>
      <c r="U23" t="s">
        <v>118</v>
      </c>
      <c r="V23" s="2">
        <f t="shared" si="0"/>
        <v>-0.23</v>
      </c>
      <c r="W23" s="2">
        <f t="shared" si="1"/>
        <v>3432.6348000000003</v>
      </c>
      <c r="X23" s="2">
        <f>W23-R23</f>
        <v>1394.9248000000002</v>
      </c>
      <c r="Y23" s="2">
        <f t="shared" si="2"/>
        <v>0.40637145553613807</v>
      </c>
      <c r="Z23" s="2" t="str">
        <f t="shared" si="3"/>
        <v/>
      </c>
      <c r="AA23" s="2" t="e">
        <f t="shared" si="4"/>
        <v>#VALUE!</v>
      </c>
      <c r="AB23" s="2" t="e">
        <f t="shared" si="5"/>
        <v>#VALUE!</v>
      </c>
      <c r="AC23" s="2" t="str">
        <f t="shared" si="6"/>
        <v>Text Value Not Recognized as Date</v>
      </c>
      <c r="AD23" s="2">
        <f t="shared" si="7"/>
        <v>1</v>
      </c>
      <c r="AE23" s="2">
        <f t="shared" si="8"/>
        <v>1</v>
      </c>
      <c r="AH23" t="str">
        <f t="shared" si="9"/>
        <v>Sneha Kapoor</v>
      </c>
      <c r="AI23" t="str">
        <f t="shared" si="9"/>
        <v>Consumer</v>
      </c>
      <c r="AJ23" t="str">
        <f t="shared" si="9"/>
        <v>West</v>
      </c>
      <c r="AK23" t="str">
        <f t="shared" si="9"/>
        <v>Madhya Pradesh</v>
      </c>
      <c r="AL23" t="str">
        <f t="shared" si="9"/>
        <v>Indore</v>
      </c>
      <c r="AM23" t="str">
        <f t="shared" si="9"/>
        <v>Furniture</v>
      </c>
      <c r="AN23" t="str">
        <f t="shared" si="9"/>
        <v>Furnishings</v>
      </c>
      <c r="AO23" t="str">
        <f t="shared" si="10"/>
        <v>Second Class</v>
      </c>
      <c r="AP23" t="str">
        <f t="shared" si="11"/>
        <v>Paid</v>
      </c>
      <c r="AQ23" t="str">
        <f t="shared" si="11"/>
        <v>Completed</v>
      </c>
    </row>
    <row r="24" spans="1:43">
      <c r="A24" t="s">
        <v>244</v>
      </c>
      <c r="B24" s="3">
        <v>45676</v>
      </c>
      <c r="C24" s="3">
        <v>45678</v>
      </c>
      <c r="D24" t="s">
        <v>245</v>
      </c>
      <c r="E24" t="s">
        <v>121</v>
      </c>
      <c r="F24" t="s">
        <v>109</v>
      </c>
      <c r="G24" t="s">
        <v>140</v>
      </c>
      <c r="H24" t="s">
        <v>141</v>
      </c>
      <c r="I24" t="s">
        <v>142</v>
      </c>
      <c r="J24" t="s">
        <v>113</v>
      </c>
      <c r="K24" t="s">
        <v>246</v>
      </c>
      <c r="L24" t="s">
        <v>247</v>
      </c>
      <c r="M24" t="s">
        <v>145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248</v>
      </c>
      <c r="U24" t="s">
        <v>190</v>
      </c>
      <c r="V24" s="2">
        <f t="shared" si="0"/>
        <v>0.15</v>
      </c>
      <c r="W24" s="2">
        <f t="shared" si="1"/>
        <v>8291.5119999999988</v>
      </c>
      <c r="X24" s="2">
        <f>W24-R24</f>
        <v>1606.4819999999991</v>
      </c>
      <c r="Y24" s="2">
        <f t="shared" si="2"/>
        <v>0.19375018693816029</v>
      </c>
      <c r="Z24" s="2">
        <f t="shared" si="3"/>
        <v>2</v>
      </c>
      <c r="AA24" s="2">
        <f t="shared" si="4"/>
        <v>1</v>
      </c>
      <c r="AB24" s="2">
        <f t="shared" si="5"/>
        <v>2025</v>
      </c>
      <c r="AC24" s="2" t="str">
        <f t="shared" si="6"/>
        <v>Valid</v>
      </c>
      <c r="AD24" s="2">
        <f t="shared" si="7"/>
        <v>0</v>
      </c>
      <c r="AE24" s="2">
        <f t="shared" si="8"/>
        <v>0</v>
      </c>
      <c r="AH24" t="str">
        <f t="shared" si="9"/>
        <v>Mira Das</v>
      </c>
      <c r="AI24" t="str">
        <f t="shared" si="9"/>
        <v>Consumer</v>
      </c>
      <c r="AJ24" t="str">
        <f t="shared" si="9"/>
        <v>South</v>
      </c>
      <c r="AK24" t="str">
        <f t="shared" si="9"/>
        <v>Telangana</v>
      </c>
      <c r="AL24" t="str">
        <f t="shared" si="9"/>
        <v>Hyderabad</v>
      </c>
      <c r="AM24" t="str">
        <f t="shared" si="9"/>
        <v>Office Supplies</v>
      </c>
      <c r="AN24" t="str">
        <f t="shared" si="9"/>
        <v>Binders</v>
      </c>
      <c r="AO24" t="str">
        <f t="shared" si="10"/>
        <v>Standard Class</v>
      </c>
      <c r="AP24" t="str">
        <f t="shared" si="11"/>
        <v>Failed</v>
      </c>
      <c r="AQ24" t="str">
        <f t="shared" si="11"/>
        <v>Returned</v>
      </c>
    </row>
    <row r="25" spans="1:43">
      <c r="A25" t="s">
        <v>249</v>
      </c>
      <c r="B25" s="3">
        <v>45898</v>
      </c>
      <c r="C25" s="3" t="s">
        <v>250</v>
      </c>
      <c r="D25" t="s">
        <v>251</v>
      </c>
      <c r="E25" t="s">
        <v>207</v>
      </c>
      <c r="F25" t="s">
        <v>182</v>
      </c>
      <c r="G25" t="s">
        <v>123</v>
      </c>
      <c r="H25" t="s">
        <v>237</v>
      </c>
      <c r="I25" t="s">
        <v>238</v>
      </c>
      <c r="J25" t="s">
        <v>126</v>
      </c>
      <c r="K25" t="s">
        <v>252</v>
      </c>
      <c r="L25" t="s">
        <v>253</v>
      </c>
      <c r="M25" t="s">
        <v>135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117</v>
      </c>
      <c r="U25" t="s">
        <v>118</v>
      </c>
      <c r="V25" s="2">
        <f t="shared" si="0"/>
        <v>0.2</v>
      </c>
      <c r="W25" s="2">
        <f t="shared" si="1"/>
        <v>6265.6320000000005</v>
      </c>
      <c r="X25" s="2">
        <f>W25-R25</f>
        <v>1943.7720000000008</v>
      </c>
      <c r="Y25" s="2">
        <f t="shared" si="2"/>
        <v>0.31022760353624351</v>
      </c>
      <c r="Z25" s="2" t="str">
        <f t="shared" si="3"/>
        <v/>
      </c>
      <c r="AA25" s="2">
        <f t="shared" si="4"/>
        <v>8</v>
      </c>
      <c r="AB25" s="2">
        <f t="shared" si="5"/>
        <v>2025</v>
      </c>
      <c r="AC25" s="2" t="str">
        <f t="shared" si="6"/>
        <v>Text Value Not Recognized as Date</v>
      </c>
      <c r="AD25" s="2">
        <f t="shared" si="7"/>
        <v>0</v>
      </c>
      <c r="AE25" s="2">
        <f t="shared" si="8"/>
        <v>0</v>
      </c>
      <c r="AH25" t="str">
        <f t="shared" si="9"/>
        <v>Rahul Verma</v>
      </c>
      <c r="AI25" t="str">
        <f t="shared" si="9"/>
        <v>Home Office</v>
      </c>
      <c r="AJ25" t="str">
        <f t="shared" si="9"/>
        <v>East</v>
      </c>
      <c r="AK25" t="str">
        <f t="shared" si="9"/>
        <v>Bihar</v>
      </c>
      <c r="AL25" t="str">
        <f t="shared" si="9"/>
        <v>Patna</v>
      </c>
      <c r="AM25" t="str">
        <f t="shared" si="9"/>
        <v>Furniture</v>
      </c>
      <c r="AN25" t="str">
        <f t="shared" si="9"/>
        <v>Bookcases</v>
      </c>
      <c r="AO25" t="str">
        <f t="shared" si="10"/>
        <v>First Class</v>
      </c>
      <c r="AP25" t="str">
        <f t="shared" si="11"/>
        <v>Paid</v>
      </c>
      <c r="AQ25" t="str">
        <f t="shared" si="11"/>
        <v>Completed</v>
      </c>
    </row>
    <row r="26" spans="1:43">
      <c r="A26" t="s">
        <v>254</v>
      </c>
      <c r="B26" s="3">
        <v>45355</v>
      </c>
      <c r="C26" s="3">
        <v>45352</v>
      </c>
      <c r="D26" t="s">
        <v>255</v>
      </c>
      <c r="E26" t="s">
        <v>256</v>
      </c>
      <c r="F26" t="s">
        <v>109</v>
      </c>
      <c r="G26" t="s">
        <v>110</v>
      </c>
      <c r="H26" t="s">
        <v>211</v>
      </c>
      <c r="I26" t="s">
        <v>212</v>
      </c>
      <c r="J26" t="s">
        <v>113</v>
      </c>
      <c r="K26" t="s">
        <v>133</v>
      </c>
      <c r="L26" t="s">
        <v>257</v>
      </c>
      <c r="M26" t="s">
        <v>145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199</v>
      </c>
      <c r="U26" t="s">
        <v>44</v>
      </c>
      <c r="V26" s="2">
        <f t="shared" si="0"/>
        <v>0.25</v>
      </c>
      <c r="W26" s="2">
        <f t="shared" si="1"/>
        <v>13478.82</v>
      </c>
      <c r="X26" s="2">
        <f>W26-R26</f>
        <v>2541.4699999999993</v>
      </c>
      <c r="Y26" s="2">
        <f t="shared" si="2"/>
        <v>0.18855285551702591</v>
      </c>
      <c r="Z26" s="2">
        <f t="shared" si="3"/>
        <v>-3</v>
      </c>
      <c r="AA26" s="2">
        <f t="shared" si="4"/>
        <v>3</v>
      </c>
      <c r="AB26" s="2">
        <f t="shared" si="5"/>
        <v>2024</v>
      </c>
      <c r="AC26" s="2" t="str">
        <f t="shared" si="6"/>
        <v>Invalid shipping record</v>
      </c>
      <c r="AD26" s="2">
        <f t="shared" si="7"/>
        <v>0</v>
      </c>
      <c r="AE26" s="2">
        <f t="shared" si="8"/>
        <v>0</v>
      </c>
      <c r="AH26" t="str">
        <f t="shared" si="9"/>
        <v>Diya Patel</v>
      </c>
      <c r="AI26" t="str">
        <f t="shared" si="9"/>
        <v>Consumer</v>
      </c>
      <c r="AJ26" t="str">
        <f t="shared" si="9"/>
        <v>North</v>
      </c>
      <c r="AK26" t="str">
        <f t="shared" si="9"/>
        <v>Punjab</v>
      </c>
      <c r="AL26" t="str">
        <f t="shared" si="9"/>
        <v>Ludhiana</v>
      </c>
      <c r="AM26" t="str">
        <f t="shared" si="9"/>
        <v>Office Supplies</v>
      </c>
      <c r="AN26" t="str">
        <f t="shared" si="9"/>
        <v>Art</v>
      </c>
      <c r="AO26" t="str">
        <f t="shared" si="10"/>
        <v>Standard Class</v>
      </c>
      <c r="AP26" t="str">
        <f t="shared" si="11"/>
        <v>Pending</v>
      </c>
      <c r="AQ26" t="str">
        <f t="shared" si="11"/>
        <v>Cancelled</v>
      </c>
    </row>
    <row r="27" spans="1:43">
      <c r="A27" t="s">
        <v>258</v>
      </c>
      <c r="B27" s="3">
        <v>45606</v>
      </c>
      <c r="C27" s="3">
        <v>45584</v>
      </c>
      <c r="D27" t="s">
        <v>259</v>
      </c>
      <c r="E27" t="s">
        <v>139</v>
      </c>
      <c r="F27" t="s">
        <v>177</v>
      </c>
      <c r="G27" t="s">
        <v>123</v>
      </c>
      <c r="H27" t="s">
        <v>260</v>
      </c>
      <c r="I27" t="s">
        <v>261</v>
      </c>
      <c r="J27" t="s">
        <v>160</v>
      </c>
      <c r="K27" t="s">
        <v>161</v>
      </c>
      <c r="L27" t="s">
        <v>262</v>
      </c>
      <c r="M27" t="s">
        <v>135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117</v>
      </c>
      <c r="U27" t="s">
        <v>118</v>
      </c>
      <c r="V27" s="2">
        <f t="shared" si="0"/>
        <v>0.15</v>
      </c>
      <c r="W27" s="2">
        <f t="shared" si="1"/>
        <v>7335.8399999999992</v>
      </c>
      <c r="X27" s="2">
        <f>W27-R27</f>
        <v>2367.4299999999994</v>
      </c>
      <c r="Y27" s="2">
        <f t="shared" si="2"/>
        <v>0.32272105171323251</v>
      </c>
      <c r="Z27" s="2">
        <f t="shared" si="3"/>
        <v>-22</v>
      </c>
      <c r="AA27" s="2">
        <f t="shared" si="4"/>
        <v>11</v>
      </c>
      <c r="AB27" s="2">
        <f t="shared" si="5"/>
        <v>2024</v>
      </c>
      <c r="AC27" s="2" t="str">
        <f t="shared" si="6"/>
        <v>Invalid shipping record</v>
      </c>
      <c r="AD27" s="2">
        <f t="shared" si="7"/>
        <v>0</v>
      </c>
      <c r="AE27" s="2">
        <f t="shared" si="8"/>
        <v>0</v>
      </c>
      <c r="AH27" t="str">
        <f t="shared" si="9"/>
        <v>Arjun Bose</v>
      </c>
      <c r="AI27" t="str">
        <f t="shared" si="9"/>
        <v>Corporate</v>
      </c>
      <c r="AJ27" t="str">
        <f t="shared" si="9"/>
        <v>East</v>
      </c>
      <c r="AK27" t="str">
        <f t="shared" si="9"/>
        <v>Assam</v>
      </c>
      <c r="AL27" t="str">
        <f t="shared" si="9"/>
        <v>Guwahati</v>
      </c>
      <c r="AM27" t="str">
        <f t="shared" si="9"/>
        <v>Technology</v>
      </c>
      <c r="AN27" t="str">
        <f t="shared" si="9"/>
        <v>Accessories</v>
      </c>
      <c r="AO27" t="str">
        <f t="shared" si="10"/>
        <v>First Class</v>
      </c>
      <c r="AP27" t="str">
        <f t="shared" si="11"/>
        <v>Paid</v>
      </c>
      <c r="AQ27" t="str">
        <f t="shared" si="11"/>
        <v>Completed</v>
      </c>
    </row>
    <row r="28" spans="1:43">
      <c r="A28" t="s">
        <v>263</v>
      </c>
      <c r="B28" s="3" t="s">
        <v>264</v>
      </c>
      <c r="C28" s="3">
        <v>45619</v>
      </c>
      <c r="D28" t="s">
        <v>265</v>
      </c>
      <c r="E28" t="s">
        <v>256</v>
      </c>
      <c r="F28" t="s">
        <v>177</v>
      </c>
      <c r="G28" t="s">
        <v>110</v>
      </c>
      <c r="H28" t="s">
        <v>227</v>
      </c>
      <c r="I28" t="s">
        <v>228</v>
      </c>
      <c r="J28" t="s">
        <v>160</v>
      </c>
      <c r="K28" t="s">
        <v>266</v>
      </c>
      <c r="L28" t="s">
        <v>267</v>
      </c>
      <c r="M28" t="s">
        <v>145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117</v>
      </c>
      <c r="U28" t="s">
        <v>190</v>
      </c>
      <c r="V28" s="2">
        <f t="shared" si="0"/>
        <v>0.1</v>
      </c>
      <c r="W28" s="2">
        <f t="shared" si="1"/>
        <v>2578.0680000000002</v>
      </c>
      <c r="X28" s="2">
        <f>W28-R28</f>
        <v>1050.5180000000003</v>
      </c>
      <c r="Y28" s="2">
        <f t="shared" si="2"/>
        <v>0.40748265755596835</v>
      </c>
      <c r="Z28" s="2" t="str">
        <f t="shared" si="3"/>
        <v/>
      </c>
      <c r="AA28" s="2" t="e">
        <f t="shared" si="4"/>
        <v>#VALUE!</v>
      </c>
      <c r="AB28" s="2" t="e">
        <f t="shared" si="5"/>
        <v>#VALUE!</v>
      </c>
      <c r="AC28" s="2" t="str">
        <f t="shared" si="6"/>
        <v>Text Value Not Recognized as Date</v>
      </c>
      <c r="AD28" s="2">
        <f t="shared" si="7"/>
        <v>0</v>
      </c>
      <c r="AE28" s="2">
        <f t="shared" si="8"/>
        <v>0</v>
      </c>
      <c r="AH28" t="str">
        <f t="shared" si="9"/>
        <v>Diya Patel</v>
      </c>
      <c r="AI28" t="str">
        <f t="shared" si="9"/>
        <v>Corporate</v>
      </c>
      <c r="AJ28" t="str">
        <f t="shared" si="9"/>
        <v>North</v>
      </c>
      <c r="AK28" t="str">
        <f t="shared" si="9"/>
        <v>Uttar Pradesh</v>
      </c>
      <c r="AL28" t="str">
        <f t="shared" si="9"/>
        <v>Noida</v>
      </c>
      <c r="AM28" t="str">
        <f t="shared" si="9"/>
        <v>Technology</v>
      </c>
      <c r="AN28" t="str">
        <f t="shared" si="9"/>
        <v>Phones</v>
      </c>
      <c r="AO28" t="str">
        <f t="shared" si="10"/>
        <v>Standard Class</v>
      </c>
      <c r="AP28" t="str">
        <f t="shared" si="11"/>
        <v>Paid</v>
      </c>
      <c r="AQ28" t="str">
        <f t="shared" si="11"/>
        <v>Returned</v>
      </c>
    </row>
    <row r="29" spans="1:43">
      <c r="A29" t="s">
        <v>268</v>
      </c>
      <c r="B29" s="3">
        <v>45929</v>
      </c>
      <c r="C29" s="3">
        <v>45787</v>
      </c>
      <c r="D29" t="s">
        <v>269</v>
      </c>
      <c r="E29" t="s">
        <v>139</v>
      </c>
      <c r="F29" t="s">
        <v>122</v>
      </c>
      <c r="G29" t="s">
        <v>140</v>
      </c>
      <c r="H29" t="s">
        <v>270</v>
      </c>
      <c r="I29" t="s">
        <v>271</v>
      </c>
      <c r="J29" t="s">
        <v>113</v>
      </c>
      <c r="K29" t="s">
        <v>114</v>
      </c>
      <c r="L29" t="s">
        <v>272</v>
      </c>
      <c r="M29" t="s">
        <v>116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248</v>
      </c>
      <c r="U29" t="s">
        <v>190</v>
      </c>
      <c r="V29" s="2">
        <f t="shared" si="0"/>
        <v>0.25</v>
      </c>
      <c r="W29" s="2">
        <f t="shared" si="1"/>
        <v>6774.4124999999995</v>
      </c>
      <c r="X29" s="2">
        <f>W29-R29</f>
        <v>2064.0524999999998</v>
      </c>
      <c r="Y29" s="2">
        <f t="shared" si="2"/>
        <v>0.30468361647596748</v>
      </c>
      <c r="Z29" s="2">
        <f t="shared" si="3"/>
        <v>-142</v>
      </c>
      <c r="AA29" s="2">
        <f t="shared" si="4"/>
        <v>9</v>
      </c>
      <c r="AB29" s="2">
        <f t="shared" si="5"/>
        <v>2025</v>
      </c>
      <c r="AC29" s="2" t="str">
        <f t="shared" si="6"/>
        <v>Invalid shipping record</v>
      </c>
      <c r="AD29" s="2">
        <f t="shared" si="7"/>
        <v>0</v>
      </c>
      <c r="AE29" s="2">
        <f t="shared" si="8"/>
        <v>0</v>
      </c>
      <c r="AH29" t="str">
        <f t="shared" si="9"/>
        <v>Arjun Bose</v>
      </c>
      <c r="AI29" t="str">
        <f t="shared" si="9"/>
        <v>Small Business</v>
      </c>
      <c r="AJ29" t="str">
        <f t="shared" si="9"/>
        <v>South</v>
      </c>
      <c r="AK29" t="str">
        <f t="shared" si="9"/>
        <v>Karnataka</v>
      </c>
      <c r="AL29" t="str">
        <f t="shared" si="9"/>
        <v>Bengaluru</v>
      </c>
      <c r="AM29" t="str">
        <f t="shared" si="9"/>
        <v>Office Supplies</v>
      </c>
      <c r="AN29" t="str">
        <f t="shared" si="9"/>
        <v>Paper</v>
      </c>
      <c r="AO29" t="str">
        <f t="shared" si="10"/>
        <v>Second Class</v>
      </c>
      <c r="AP29" t="str">
        <f t="shared" si="11"/>
        <v>Failed</v>
      </c>
      <c r="AQ29" t="str">
        <f t="shared" si="11"/>
        <v>Returned</v>
      </c>
    </row>
    <row r="30" spans="1:43">
      <c r="A30" t="s">
        <v>273</v>
      </c>
      <c r="B30" s="3">
        <v>45606</v>
      </c>
      <c r="C30" s="3" t="s">
        <v>274</v>
      </c>
      <c r="D30" t="s">
        <v>275</v>
      </c>
      <c r="E30" t="s">
        <v>148</v>
      </c>
      <c r="F30" t="s">
        <v>182</v>
      </c>
      <c r="G30" t="s">
        <v>149</v>
      </c>
      <c r="H30" t="s">
        <v>276</v>
      </c>
      <c r="I30" t="s">
        <v>277</v>
      </c>
      <c r="J30" t="s">
        <v>160</v>
      </c>
      <c r="K30" t="s">
        <v>266</v>
      </c>
      <c r="L30" t="s">
        <v>278</v>
      </c>
      <c r="M30" t="s">
        <v>116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189</v>
      </c>
      <c r="U30" t="s">
        <v>44</v>
      </c>
      <c r="V30" s="2">
        <f t="shared" si="0"/>
        <v>0.25</v>
      </c>
      <c r="W30" s="2">
        <f t="shared" si="1"/>
        <v>2913.33</v>
      </c>
      <c r="X30" s="2">
        <f>W30-R30</f>
        <v>791</v>
      </c>
      <c r="Y30" s="2">
        <f t="shared" si="2"/>
        <v>0.27151060813570727</v>
      </c>
      <c r="Z30" s="2" t="str">
        <f t="shared" si="3"/>
        <v/>
      </c>
      <c r="AA30" s="2">
        <f t="shared" si="4"/>
        <v>11</v>
      </c>
      <c r="AB30" s="2">
        <f t="shared" si="5"/>
        <v>2024</v>
      </c>
      <c r="AC30" s="2" t="str">
        <f t="shared" si="6"/>
        <v>Text Value Not Recognized as Date</v>
      </c>
      <c r="AD30" s="2">
        <f t="shared" si="7"/>
        <v>0</v>
      </c>
      <c r="AE30" s="2">
        <f t="shared" si="8"/>
        <v>0</v>
      </c>
      <c r="AH30" t="str">
        <f t="shared" si="9"/>
        <v>Ananya Rao</v>
      </c>
      <c r="AI30" t="str">
        <f t="shared" si="9"/>
        <v>Home Office</v>
      </c>
      <c r="AJ30" t="str">
        <f t="shared" si="9"/>
        <v>West</v>
      </c>
      <c r="AK30" t="str">
        <f t="shared" si="9"/>
        <v>Gujarat</v>
      </c>
      <c r="AL30" t="str">
        <f t="shared" si="9"/>
        <v>Ahmedabad</v>
      </c>
      <c r="AM30" t="str">
        <f t="shared" si="9"/>
        <v>Technology</v>
      </c>
      <c r="AN30" t="str">
        <f t="shared" si="9"/>
        <v>Phones</v>
      </c>
      <c r="AO30" t="str">
        <f t="shared" si="10"/>
        <v>Second Class</v>
      </c>
      <c r="AP30" t="str">
        <f t="shared" si="11"/>
        <v>Refunded</v>
      </c>
      <c r="AQ30" t="str">
        <f t="shared" si="11"/>
        <v>Cancelled</v>
      </c>
    </row>
    <row r="31" spans="1:43">
      <c r="A31" t="s">
        <v>279</v>
      </c>
      <c r="B31" s="3">
        <v>45882</v>
      </c>
      <c r="C31" s="3" t="s">
        <v>280</v>
      </c>
      <c r="D31" t="s">
        <v>281</v>
      </c>
      <c r="E31" t="s">
        <v>232</v>
      </c>
      <c r="F31" t="s">
        <v>182</v>
      </c>
      <c r="G31" t="s">
        <v>140</v>
      </c>
      <c r="H31" t="s">
        <v>282</v>
      </c>
      <c r="I31" t="s">
        <v>283</v>
      </c>
      <c r="J31" t="s">
        <v>160</v>
      </c>
      <c r="K31" t="s">
        <v>266</v>
      </c>
      <c r="L31" t="s">
        <v>284</v>
      </c>
      <c r="M31" t="s">
        <v>145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117</v>
      </c>
      <c r="U31" t="s">
        <v>118</v>
      </c>
      <c r="V31" s="2">
        <f t="shared" si="0"/>
        <v>0.15</v>
      </c>
      <c r="W31" s="2">
        <f t="shared" si="1"/>
        <v>217.60849999999999</v>
      </c>
      <c r="X31" s="2">
        <f>W31-R31</f>
        <v>97.838499999999996</v>
      </c>
      <c r="Y31" s="2">
        <f t="shared" si="2"/>
        <v>0.44960789675035673</v>
      </c>
      <c r="Z31" s="2" t="str">
        <f t="shared" si="3"/>
        <v/>
      </c>
      <c r="AA31" s="2">
        <f t="shared" si="4"/>
        <v>8</v>
      </c>
      <c r="AB31" s="2">
        <f t="shared" si="5"/>
        <v>2025</v>
      </c>
      <c r="AC31" s="2" t="str">
        <f t="shared" si="6"/>
        <v>Text Value Not Recognized as Date</v>
      </c>
      <c r="AD31" s="2">
        <f t="shared" si="7"/>
        <v>0</v>
      </c>
      <c r="AE31" s="2">
        <f t="shared" si="8"/>
        <v>0</v>
      </c>
      <c r="AH31" t="str">
        <f t="shared" si="9"/>
        <v>Rohan Mehta</v>
      </c>
      <c r="AI31" t="str">
        <f t="shared" si="9"/>
        <v>Home Office</v>
      </c>
      <c r="AJ31" t="str">
        <f t="shared" si="9"/>
        <v>South</v>
      </c>
      <c r="AK31" t="str">
        <f t="shared" si="9"/>
        <v>Kerala</v>
      </c>
      <c r="AL31" t="str">
        <f t="shared" si="9"/>
        <v>Kochi</v>
      </c>
      <c r="AM31" t="str">
        <f t="shared" si="9"/>
        <v>Technology</v>
      </c>
      <c r="AN31" t="str">
        <f t="shared" si="9"/>
        <v>Phones</v>
      </c>
      <c r="AO31" t="str">
        <f t="shared" si="10"/>
        <v>Standard Class</v>
      </c>
      <c r="AP31" t="str">
        <f t="shared" si="11"/>
        <v>Paid</v>
      </c>
      <c r="AQ31" t="str">
        <f t="shared" si="11"/>
        <v>Completed</v>
      </c>
    </row>
    <row r="32" spans="1:43">
      <c r="A32" t="s">
        <v>285</v>
      </c>
      <c r="B32" s="3">
        <v>45331</v>
      </c>
      <c r="C32" s="3">
        <v>45334</v>
      </c>
      <c r="D32" t="s">
        <v>286</v>
      </c>
      <c r="E32" t="s">
        <v>148</v>
      </c>
      <c r="F32" t="s">
        <v>177</v>
      </c>
      <c r="G32" t="s">
        <v>149</v>
      </c>
      <c r="H32" t="s">
        <v>287</v>
      </c>
      <c r="I32" t="s">
        <v>288</v>
      </c>
      <c r="J32" t="s">
        <v>113</v>
      </c>
      <c r="K32" t="s">
        <v>178</v>
      </c>
      <c r="L32" t="s">
        <v>289</v>
      </c>
      <c r="M32" t="s">
        <v>135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117</v>
      </c>
      <c r="U32" t="s">
        <v>118</v>
      </c>
      <c r="V32" s="2">
        <f t="shared" si="0"/>
        <v>0.1</v>
      </c>
      <c r="W32" s="2">
        <f t="shared" si="1"/>
        <v>3079.5929999999998</v>
      </c>
      <c r="X32" s="2">
        <f>W32-R32</f>
        <v>1077.7029999999997</v>
      </c>
      <c r="Y32" s="2">
        <f t="shared" si="2"/>
        <v>0.34994981479695525</v>
      </c>
      <c r="Z32" s="2">
        <f t="shared" si="3"/>
        <v>3</v>
      </c>
      <c r="AA32" s="2">
        <f t="shared" si="4"/>
        <v>2</v>
      </c>
      <c r="AB32" s="2">
        <f t="shared" si="5"/>
        <v>2024</v>
      </c>
      <c r="AC32" s="2" t="str">
        <f t="shared" si="6"/>
        <v>Valid</v>
      </c>
      <c r="AD32" s="2">
        <f t="shared" si="7"/>
        <v>0</v>
      </c>
      <c r="AE32" s="2">
        <f t="shared" si="8"/>
        <v>0</v>
      </c>
      <c r="AH32" t="str">
        <f t="shared" si="9"/>
        <v>Ananya Rao</v>
      </c>
      <c r="AI32" t="str">
        <f t="shared" si="9"/>
        <v>Corporate</v>
      </c>
      <c r="AJ32" t="str">
        <f t="shared" si="9"/>
        <v>West</v>
      </c>
      <c r="AK32" t="str">
        <f t="shared" si="9"/>
        <v>Goa</v>
      </c>
      <c r="AL32" t="str">
        <f t="shared" si="9"/>
        <v>Panaji</v>
      </c>
      <c r="AM32" t="str">
        <f t="shared" si="9"/>
        <v>Office Supplies</v>
      </c>
      <c r="AN32" t="str">
        <f t="shared" si="9"/>
        <v>Labels</v>
      </c>
      <c r="AO32" t="str">
        <f t="shared" si="10"/>
        <v>First Class</v>
      </c>
      <c r="AP32" t="str">
        <f t="shared" si="11"/>
        <v>Paid</v>
      </c>
      <c r="AQ32" t="str">
        <f t="shared" si="11"/>
        <v>Completed</v>
      </c>
    </row>
    <row r="33" spans="1:43">
      <c r="A33" t="s">
        <v>290</v>
      </c>
      <c r="B33" s="3" t="s">
        <v>291</v>
      </c>
      <c r="C33" s="3" t="s">
        <v>292</v>
      </c>
      <c r="D33" t="s">
        <v>293</v>
      </c>
      <c r="E33" t="s">
        <v>108</v>
      </c>
      <c r="F33" t="s">
        <v>122</v>
      </c>
      <c r="G33" t="s">
        <v>149</v>
      </c>
      <c r="H33" t="s">
        <v>158</v>
      </c>
      <c r="I33" t="s">
        <v>159</v>
      </c>
      <c r="J33" t="s">
        <v>113</v>
      </c>
      <c r="K33" t="s">
        <v>114</v>
      </c>
      <c r="L33" t="s">
        <v>294</v>
      </c>
      <c r="M33" t="s">
        <v>116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248</v>
      </c>
      <c r="U33" t="s">
        <v>190</v>
      </c>
      <c r="V33" s="2">
        <f t="shared" si="0"/>
        <v>0</v>
      </c>
      <c r="W33" s="2">
        <f t="shared" si="1"/>
        <v>27832.95</v>
      </c>
      <c r="X33" s="2">
        <f>W33-R33</f>
        <v>10063.200000000001</v>
      </c>
      <c r="Y33" s="2">
        <f t="shared" si="2"/>
        <v>0.36155707533696574</v>
      </c>
      <c r="Z33" s="2" t="str">
        <f t="shared" si="3"/>
        <v/>
      </c>
      <c r="AA33" s="2" t="e">
        <f t="shared" si="4"/>
        <v>#VALUE!</v>
      </c>
      <c r="AB33" s="2" t="e">
        <f t="shared" si="5"/>
        <v>#VALUE!</v>
      </c>
      <c r="AC33" s="2" t="str">
        <f t="shared" si="6"/>
        <v>Text Value Not Recognized as Date</v>
      </c>
      <c r="AD33" s="2">
        <f t="shared" si="7"/>
        <v>0</v>
      </c>
      <c r="AE33" s="2">
        <f t="shared" si="8"/>
        <v>0</v>
      </c>
      <c r="AH33" t="str">
        <f t="shared" si="9"/>
        <v>Karan Malhotra</v>
      </c>
      <c r="AI33" t="str">
        <f t="shared" si="9"/>
        <v>Small Business</v>
      </c>
      <c r="AJ33" t="str">
        <f t="shared" si="9"/>
        <v>West</v>
      </c>
      <c r="AK33" t="str">
        <f t="shared" si="9"/>
        <v>Madhya Pradesh</v>
      </c>
      <c r="AL33" t="str">
        <f t="shared" si="9"/>
        <v>Indore</v>
      </c>
      <c r="AM33" t="str">
        <f t="shared" si="9"/>
        <v>Office Supplies</v>
      </c>
      <c r="AN33" t="str">
        <f t="shared" si="9"/>
        <v>Paper</v>
      </c>
      <c r="AO33" t="str">
        <f t="shared" si="10"/>
        <v>Second Class</v>
      </c>
      <c r="AP33" t="str">
        <f t="shared" si="11"/>
        <v>Failed</v>
      </c>
      <c r="AQ33" t="str">
        <f t="shared" si="11"/>
        <v>Returned</v>
      </c>
    </row>
    <row r="34" spans="1:43">
      <c r="A34" t="s">
        <v>295</v>
      </c>
      <c r="B34" s="3" t="s">
        <v>296</v>
      </c>
      <c r="C34" s="3">
        <v>45622</v>
      </c>
      <c r="D34" t="s">
        <v>297</v>
      </c>
      <c r="E34" t="s">
        <v>218</v>
      </c>
      <c r="F34" t="s">
        <v>177</v>
      </c>
      <c r="G34" t="s">
        <v>140</v>
      </c>
      <c r="H34" t="s">
        <v>171</v>
      </c>
      <c r="I34" t="s">
        <v>172</v>
      </c>
      <c r="J34" t="s">
        <v>160</v>
      </c>
      <c r="K34" t="s">
        <v>266</v>
      </c>
      <c r="L34" t="s">
        <v>298</v>
      </c>
      <c r="M34" t="s">
        <v>116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117</v>
      </c>
      <c r="U34" t="s">
        <v>118</v>
      </c>
      <c r="V34" s="2">
        <f t="shared" si="0"/>
        <v>0</v>
      </c>
      <c r="W34" s="2">
        <f t="shared" si="1"/>
        <v>12003.75</v>
      </c>
      <c r="X34" s="2">
        <f>W34-R34</f>
        <v>4473.83</v>
      </c>
      <c r="Y34" s="2">
        <f t="shared" si="2"/>
        <v>0.37270269707383108</v>
      </c>
      <c r="Z34" s="2" t="str">
        <f t="shared" si="3"/>
        <v/>
      </c>
      <c r="AA34" s="2" t="e">
        <f t="shared" si="4"/>
        <v>#VALUE!</v>
      </c>
      <c r="AB34" s="2" t="e">
        <f t="shared" si="5"/>
        <v>#VALUE!</v>
      </c>
      <c r="AC34" s="2" t="str">
        <f t="shared" si="6"/>
        <v>Text Value Not Recognized as Date</v>
      </c>
      <c r="AD34" s="2">
        <f t="shared" si="7"/>
        <v>1</v>
      </c>
      <c r="AE34" s="2">
        <f t="shared" si="8"/>
        <v>1</v>
      </c>
      <c r="AH34" t="str">
        <f t="shared" si="9"/>
        <v>Aarav Sharma</v>
      </c>
      <c r="AI34" t="str">
        <f t="shared" si="9"/>
        <v>Corporate</v>
      </c>
      <c r="AJ34" t="str">
        <f t="shared" si="9"/>
        <v>South</v>
      </c>
      <c r="AK34" t="str">
        <f t="shared" si="9"/>
        <v>Andhra Pradesh</v>
      </c>
      <c r="AL34" t="str">
        <f t="shared" si="9"/>
        <v>Vijayawada</v>
      </c>
      <c r="AM34" t="str">
        <f t="shared" si="9"/>
        <v>Technology</v>
      </c>
      <c r="AN34" t="str">
        <f t="shared" si="9"/>
        <v>Phones</v>
      </c>
      <c r="AO34" t="str">
        <f t="shared" si="10"/>
        <v>Second Class</v>
      </c>
      <c r="AP34" t="str">
        <f t="shared" si="11"/>
        <v>Paid</v>
      </c>
      <c r="AQ34" t="str">
        <f t="shared" si="11"/>
        <v>Completed</v>
      </c>
    </row>
    <row r="35" spans="1:43">
      <c r="A35" t="s">
        <v>299</v>
      </c>
      <c r="B35" s="3">
        <v>45495</v>
      </c>
      <c r="C35" s="3" t="s">
        <v>300</v>
      </c>
      <c r="D35" t="s">
        <v>301</v>
      </c>
      <c r="E35" t="s">
        <v>203</v>
      </c>
      <c r="F35" t="s">
        <v>182</v>
      </c>
      <c r="G35" t="s">
        <v>149</v>
      </c>
      <c r="H35" t="s">
        <v>287</v>
      </c>
      <c r="I35" t="s">
        <v>288</v>
      </c>
      <c r="J35" t="s">
        <v>126</v>
      </c>
      <c r="K35" t="s">
        <v>127</v>
      </c>
      <c r="L35" t="s">
        <v>302</v>
      </c>
      <c r="M35" t="s">
        <v>129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117</v>
      </c>
      <c r="U35" t="s">
        <v>118</v>
      </c>
      <c r="V35" s="2">
        <f t="shared" si="0"/>
        <v>0.25</v>
      </c>
      <c r="W35" s="2">
        <f t="shared" si="1"/>
        <v>2585.1525000000001</v>
      </c>
      <c r="X35" s="2">
        <f>W35-R35</f>
        <v>514.42250000000013</v>
      </c>
      <c r="Y35" s="2">
        <f t="shared" si="2"/>
        <v>0.19899116203009304</v>
      </c>
      <c r="Z35" s="2" t="str">
        <f t="shared" si="3"/>
        <v/>
      </c>
      <c r="AA35" s="2">
        <f t="shared" si="4"/>
        <v>7</v>
      </c>
      <c r="AB35" s="2">
        <f t="shared" si="5"/>
        <v>2024</v>
      </c>
      <c r="AC35" s="2" t="str">
        <f t="shared" si="6"/>
        <v>Text Value Not Recognized as Date</v>
      </c>
      <c r="AD35" s="2">
        <f t="shared" si="7"/>
        <v>0</v>
      </c>
      <c r="AE35" s="2">
        <f t="shared" si="8"/>
        <v>0</v>
      </c>
      <c r="AH35" t="str">
        <f t="shared" si="9"/>
        <v>Priya Menon</v>
      </c>
      <c r="AI35" t="str">
        <f t="shared" si="9"/>
        <v>Home Office</v>
      </c>
      <c r="AJ35" t="str">
        <f t="shared" si="9"/>
        <v>West</v>
      </c>
      <c r="AK35" t="str">
        <f t="shared" si="9"/>
        <v>Goa</v>
      </c>
      <c r="AL35" t="str">
        <f t="shared" si="9"/>
        <v>Panaji</v>
      </c>
      <c r="AM35" t="str">
        <f t="shared" si="9"/>
        <v>Furniture</v>
      </c>
      <c r="AN35" t="str">
        <f t="shared" si="9"/>
        <v>Tables</v>
      </c>
      <c r="AO35" t="str">
        <f t="shared" si="10"/>
        <v>Same Day</v>
      </c>
      <c r="AP35" t="str">
        <f t="shared" si="11"/>
        <v>Paid</v>
      </c>
      <c r="AQ35" t="str">
        <f t="shared" si="11"/>
        <v>Completed</v>
      </c>
    </row>
    <row r="36" spans="1:43">
      <c r="A36" t="s">
        <v>303</v>
      </c>
      <c r="B36" s="3">
        <v>45688</v>
      </c>
      <c r="C36" s="3">
        <v>45693</v>
      </c>
      <c r="D36" t="s">
        <v>304</v>
      </c>
      <c r="E36" t="s">
        <v>203</v>
      </c>
      <c r="F36" t="s">
        <v>182</v>
      </c>
      <c r="G36" t="s">
        <v>123</v>
      </c>
      <c r="H36" t="s">
        <v>186</v>
      </c>
      <c r="I36" t="s">
        <v>187</v>
      </c>
      <c r="J36" t="s">
        <v>126</v>
      </c>
      <c r="K36" t="s">
        <v>152</v>
      </c>
      <c r="L36" t="s">
        <v>305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117</v>
      </c>
      <c r="U36" t="s">
        <v>118</v>
      </c>
      <c r="V36" s="2">
        <f t="shared" si="0"/>
        <v>0.2</v>
      </c>
      <c r="W36" s="2">
        <f t="shared" si="1"/>
        <v>6655.5039999999999</v>
      </c>
      <c r="X36" s="2">
        <f>W36-R36</f>
        <v>2315.2939999999999</v>
      </c>
      <c r="Y36" s="2">
        <f t="shared" si="2"/>
        <v>0.34787658455317583</v>
      </c>
      <c r="Z36" s="2">
        <f t="shared" si="3"/>
        <v>5</v>
      </c>
      <c r="AA36" s="2">
        <f t="shared" si="4"/>
        <v>1</v>
      </c>
      <c r="AB36" s="2">
        <f t="shared" si="5"/>
        <v>2025</v>
      </c>
      <c r="AC36" s="2" t="str">
        <f t="shared" si="6"/>
        <v>Missing ship_mode</v>
      </c>
      <c r="AD36" s="2">
        <f t="shared" si="7"/>
        <v>0</v>
      </c>
      <c r="AE36" s="2">
        <f t="shared" si="8"/>
        <v>1</v>
      </c>
      <c r="AH36" t="str">
        <f t="shared" si="9"/>
        <v>Priya Menon</v>
      </c>
      <c r="AI36" t="str">
        <f t="shared" si="9"/>
        <v>Home Office</v>
      </c>
      <c r="AJ36" t="str">
        <f t="shared" si="9"/>
        <v>East</v>
      </c>
      <c r="AK36" t="str">
        <f t="shared" si="9"/>
        <v>West Bengal</v>
      </c>
      <c r="AL36" t="str">
        <f t="shared" si="9"/>
        <v>Kolkata</v>
      </c>
      <c r="AM36" t="str">
        <f t="shared" si="9"/>
        <v>Furniture</v>
      </c>
      <c r="AN36" t="str">
        <f t="shared" si="9"/>
        <v>Chairs</v>
      </c>
      <c r="AO36" t="s">
        <v>306</v>
      </c>
      <c r="AP36" t="str">
        <f t="shared" si="11"/>
        <v>Paid</v>
      </c>
      <c r="AQ36" t="str">
        <f t="shared" si="11"/>
        <v>Completed</v>
      </c>
    </row>
    <row r="37" spans="1:43">
      <c r="A37" t="s">
        <v>307</v>
      </c>
      <c r="B37" s="3" t="s">
        <v>308</v>
      </c>
      <c r="C37" s="3">
        <v>45441</v>
      </c>
      <c r="D37" t="s">
        <v>309</v>
      </c>
      <c r="E37" t="s">
        <v>222</v>
      </c>
      <c r="F37" t="s">
        <v>122</v>
      </c>
      <c r="G37" t="s">
        <v>149</v>
      </c>
      <c r="H37" t="s">
        <v>276</v>
      </c>
      <c r="I37" t="s">
        <v>277</v>
      </c>
      <c r="J37" t="s">
        <v>126</v>
      </c>
      <c r="K37" t="s">
        <v>252</v>
      </c>
      <c r="L37" t="s">
        <v>310</v>
      </c>
      <c r="M37" t="s">
        <v>116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199</v>
      </c>
      <c r="U37" t="s">
        <v>190</v>
      </c>
      <c r="V37" s="2">
        <f t="shared" si="0"/>
        <v>0.05</v>
      </c>
      <c r="W37" s="2">
        <f t="shared" si="1"/>
        <v>19054.111999999997</v>
      </c>
      <c r="X37" s="2">
        <f>W37-R37</f>
        <v>3740.2819999999974</v>
      </c>
      <c r="Y37" s="2">
        <f t="shared" si="2"/>
        <v>0.19629789097492437</v>
      </c>
      <c r="Z37" s="2" t="str">
        <f t="shared" si="3"/>
        <v/>
      </c>
      <c r="AA37" s="2" t="e">
        <f t="shared" si="4"/>
        <v>#VALUE!</v>
      </c>
      <c r="AB37" s="2" t="e">
        <f t="shared" si="5"/>
        <v>#VALUE!</v>
      </c>
      <c r="AC37" s="2" t="str">
        <f t="shared" si="6"/>
        <v>Text Value Not Recognized as Date</v>
      </c>
      <c r="AD37" s="2">
        <f t="shared" si="7"/>
        <v>0</v>
      </c>
      <c r="AE37" s="2">
        <f t="shared" si="8"/>
        <v>0</v>
      </c>
      <c r="AH37" t="str">
        <f t="shared" si="9"/>
        <v>Sneha Kapoor</v>
      </c>
      <c r="AI37" t="str">
        <f t="shared" si="9"/>
        <v>Small Business</v>
      </c>
      <c r="AJ37" t="str">
        <f t="shared" si="9"/>
        <v>West</v>
      </c>
      <c r="AK37" t="str">
        <f t="shared" si="9"/>
        <v>Gujarat</v>
      </c>
      <c r="AL37" t="str">
        <f t="shared" si="9"/>
        <v>Ahmedabad</v>
      </c>
      <c r="AM37" t="str">
        <f t="shared" si="9"/>
        <v>Furniture</v>
      </c>
      <c r="AN37" t="str">
        <f t="shared" si="9"/>
        <v>Bookcases</v>
      </c>
      <c r="AO37" t="str">
        <f t="shared" si="10"/>
        <v>Second Class</v>
      </c>
      <c r="AP37" t="str">
        <f t="shared" si="11"/>
        <v>Pending</v>
      </c>
      <c r="AQ37" t="str">
        <f t="shared" si="11"/>
        <v>Returned</v>
      </c>
    </row>
    <row r="38" spans="1:43">
      <c r="A38" t="s">
        <v>311</v>
      </c>
      <c r="B38" s="3">
        <v>45590</v>
      </c>
      <c r="C38" s="3">
        <v>45593</v>
      </c>
      <c r="D38" t="s">
        <v>312</v>
      </c>
      <c r="E38" t="s">
        <v>232</v>
      </c>
      <c r="F38" t="s">
        <v>177</v>
      </c>
      <c r="G38" t="s">
        <v>149</v>
      </c>
      <c r="H38" t="s">
        <v>150</v>
      </c>
      <c r="I38" t="s">
        <v>151</v>
      </c>
      <c r="J38" t="s">
        <v>126</v>
      </c>
      <c r="K38" t="s">
        <v>252</v>
      </c>
      <c r="L38" t="s">
        <v>313</v>
      </c>
      <c r="M38" t="s">
        <v>116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117</v>
      </c>
      <c r="U38" t="s">
        <v>190</v>
      </c>
      <c r="V38" s="2">
        <f t="shared" si="0"/>
        <v>0</v>
      </c>
      <c r="W38" s="2">
        <f t="shared" si="1"/>
        <v>9379.41</v>
      </c>
      <c r="X38" s="2">
        <f>W38-R38</f>
        <v>2708.5599999999995</v>
      </c>
      <c r="Y38" s="2">
        <f t="shared" si="2"/>
        <v>0.28877722585962223</v>
      </c>
      <c r="Z38" s="2">
        <f t="shared" si="3"/>
        <v>3</v>
      </c>
      <c r="AA38" s="2">
        <f t="shared" si="4"/>
        <v>10</v>
      </c>
      <c r="AB38" s="2">
        <f t="shared" si="5"/>
        <v>2024</v>
      </c>
      <c r="AC38" s="2" t="str">
        <f t="shared" si="6"/>
        <v>Valid</v>
      </c>
      <c r="AD38" s="2">
        <f t="shared" si="7"/>
        <v>0</v>
      </c>
      <c r="AE38" s="2">
        <f t="shared" si="8"/>
        <v>0</v>
      </c>
      <c r="AH38" t="str">
        <f t="shared" si="9"/>
        <v>Rohan Mehta</v>
      </c>
      <c r="AI38" t="str">
        <f t="shared" si="9"/>
        <v>Corporate</v>
      </c>
      <c r="AJ38" t="str">
        <f t="shared" si="9"/>
        <v>West</v>
      </c>
      <c r="AK38" t="str">
        <f t="shared" si="9"/>
        <v>Maharashtra</v>
      </c>
      <c r="AL38" t="str">
        <f t="shared" si="9"/>
        <v>Mumbai</v>
      </c>
      <c r="AM38" t="str">
        <f t="shared" si="9"/>
        <v>Furniture</v>
      </c>
      <c r="AN38" t="str">
        <f t="shared" si="9"/>
        <v>Bookcases</v>
      </c>
      <c r="AO38" t="str">
        <f t="shared" si="10"/>
        <v>Second Class</v>
      </c>
      <c r="AP38" t="str">
        <f t="shared" si="11"/>
        <v>Paid</v>
      </c>
      <c r="AQ38" t="str">
        <f t="shared" si="11"/>
        <v>Returned</v>
      </c>
    </row>
    <row r="39" spans="1:43">
      <c r="A39" t="s">
        <v>314</v>
      </c>
      <c r="B39" s="3" t="s">
        <v>315</v>
      </c>
      <c r="C39" s="3" t="s">
        <v>315</v>
      </c>
      <c r="D39" t="s">
        <v>316</v>
      </c>
      <c r="E39" t="s">
        <v>256</v>
      </c>
      <c r="F39" t="s">
        <v>109</v>
      </c>
      <c r="G39" t="s">
        <v>149</v>
      </c>
      <c r="H39" t="s">
        <v>150</v>
      </c>
      <c r="I39" t="s">
        <v>151</v>
      </c>
      <c r="J39" t="s">
        <v>160</v>
      </c>
      <c r="K39" t="s">
        <v>166</v>
      </c>
      <c r="L39" t="s">
        <v>317</v>
      </c>
      <c r="M39" t="s">
        <v>318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117</v>
      </c>
      <c r="U39" t="s">
        <v>118</v>
      </c>
      <c r="V39" s="2">
        <f t="shared" si="0"/>
        <v>0.2</v>
      </c>
      <c r="W39" s="2">
        <f t="shared" si="1"/>
        <v>4248.1279999999997</v>
      </c>
      <c r="X39" s="2">
        <f>W39-R39</f>
        <v>927.03799999999956</v>
      </c>
      <c r="Y39" s="2">
        <f t="shared" si="2"/>
        <v>0.21822270892025844</v>
      </c>
      <c r="Z39" s="2" t="str">
        <f t="shared" si="3"/>
        <v/>
      </c>
      <c r="AA39" s="2" t="e">
        <f t="shared" si="4"/>
        <v>#VALUE!</v>
      </c>
      <c r="AB39" s="2" t="e">
        <f t="shared" si="5"/>
        <v>#VALUE!</v>
      </c>
      <c r="AC39" s="2" t="str">
        <f t="shared" si="6"/>
        <v>Text Value Not Recognized as Date</v>
      </c>
      <c r="AD39" s="2">
        <f t="shared" si="7"/>
        <v>0</v>
      </c>
      <c r="AE39" s="2">
        <f t="shared" si="8"/>
        <v>0</v>
      </c>
      <c r="AH39" t="str">
        <f t="shared" si="9"/>
        <v>Diya Patel</v>
      </c>
      <c r="AI39" t="str">
        <f t="shared" si="9"/>
        <v>Consumer</v>
      </c>
      <c r="AJ39" t="str">
        <f t="shared" si="9"/>
        <v>West</v>
      </c>
      <c r="AK39" t="str">
        <f t="shared" si="9"/>
        <v>Maharashtra</v>
      </c>
      <c r="AL39" t="str">
        <f t="shared" ref="AL39:AN102" si="12">PROPER(TRIM(I39))</f>
        <v>Mumbai</v>
      </c>
      <c r="AM39" t="str">
        <f t="shared" si="12"/>
        <v>Technology</v>
      </c>
      <c r="AN39" t="str">
        <f t="shared" si="12"/>
        <v>Copiers</v>
      </c>
      <c r="AO39" t="str">
        <f t="shared" si="10"/>
        <v>Standard Class</v>
      </c>
      <c r="AP39" t="str">
        <f t="shared" si="11"/>
        <v>Paid</v>
      </c>
      <c r="AQ39" t="str">
        <f t="shared" si="11"/>
        <v>Completed</v>
      </c>
    </row>
    <row r="40" spans="1:43">
      <c r="A40" t="s">
        <v>319</v>
      </c>
      <c r="B40" s="3">
        <v>45460</v>
      </c>
      <c r="C40" s="3" t="s">
        <v>320</v>
      </c>
      <c r="D40" t="s">
        <v>321</v>
      </c>
      <c r="E40" t="s">
        <v>218</v>
      </c>
      <c r="F40" t="s">
        <v>177</v>
      </c>
      <c r="G40" t="s">
        <v>149</v>
      </c>
      <c r="H40" t="s">
        <v>276</v>
      </c>
      <c r="I40" t="s">
        <v>277</v>
      </c>
      <c r="J40" t="s">
        <v>160</v>
      </c>
      <c r="K40" t="s">
        <v>266</v>
      </c>
      <c r="L40" t="s">
        <v>322</v>
      </c>
      <c r="M40" t="s">
        <v>135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117</v>
      </c>
      <c r="U40" t="s">
        <v>118</v>
      </c>
      <c r="V40" s="2">
        <f t="shared" si="0"/>
        <v>0.1</v>
      </c>
      <c r="W40" s="2">
        <f t="shared" si="1"/>
        <v>13927.284</v>
      </c>
      <c r="X40" s="2">
        <f>W40-R40</f>
        <v>3422.4139999999989</v>
      </c>
      <c r="Y40" s="2">
        <f t="shared" si="2"/>
        <v>0.24573448778670692</v>
      </c>
      <c r="Z40" s="2" t="str">
        <f t="shared" si="3"/>
        <v/>
      </c>
      <c r="AA40" s="2">
        <f t="shared" si="4"/>
        <v>6</v>
      </c>
      <c r="AB40" s="2">
        <f t="shared" si="5"/>
        <v>2024</v>
      </c>
      <c r="AC40" s="2" t="str">
        <f t="shared" si="6"/>
        <v>Text Value Not Recognized as Date</v>
      </c>
      <c r="AD40" s="2">
        <f t="shared" si="7"/>
        <v>0</v>
      </c>
      <c r="AE40" s="2">
        <f t="shared" si="8"/>
        <v>0</v>
      </c>
      <c r="AH40" t="str">
        <f t="shared" ref="AH40:AK103" si="13">PROPER(TRIM(E40))</f>
        <v>Aarav Sharma</v>
      </c>
      <c r="AI40" t="str">
        <f t="shared" si="13"/>
        <v>Corporate</v>
      </c>
      <c r="AJ40" t="str">
        <f t="shared" si="13"/>
        <v>West</v>
      </c>
      <c r="AK40" t="str">
        <f t="shared" si="13"/>
        <v>Gujarat</v>
      </c>
      <c r="AL40" t="str">
        <f t="shared" si="12"/>
        <v>Ahmedabad</v>
      </c>
      <c r="AM40" t="str">
        <f t="shared" si="12"/>
        <v>Technology</v>
      </c>
      <c r="AN40" t="str">
        <f t="shared" si="12"/>
        <v>Phones</v>
      </c>
      <c r="AO40" t="str">
        <f t="shared" si="10"/>
        <v>First Class</v>
      </c>
      <c r="AP40" t="str">
        <f t="shared" si="11"/>
        <v>Paid</v>
      </c>
      <c r="AQ40" t="str">
        <f t="shared" si="11"/>
        <v>Completed</v>
      </c>
    </row>
    <row r="41" spans="1:43">
      <c r="A41" t="s">
        <v>323</v>
      </c>
      <c r="B41" s="3">
        <v>45637</v>
      </c>
      <c r="C41" s="3">
        <v>45637</v>
      </c>
      <c r="D41" t="s">
        <v>324</v>
      </c>
      <c r="E41" t="s">
        <v>121</v>
      </c>
      <c r="F41" t="s">
        <v>122</v>
      </c>
      <c r="G41" t="s">
        <v>149</v>
      </c>
      <c r="H41" t="s">
        <v>158</v>
      </c>
      <c r="I41" t="s">
        <v>159</v>
      </c>
      <c r="J41" t="s">
        <v>160</v>
      </c>
      <c r="K41" t="s">
        <v>166</v>
      </c>
      <c r="L41" t="s">
        <v>325</v>
      </c>
      <c r="M41" t="s">
        <v>135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199</v>
      </c>
      <c r="U41" t="s">
        <v>190</v>
      </c>
      <c r="V41" s="2">
        <f t="shared" si="0"/>
        <v>0.1</v>
      </c>
      <c r="W41" s="2">
        <f t="shared" si="1"/>
        <v>4935.3120000000008</v>
      </c>
      <c r="X41" s="2">
        <f>W41-R41</f>
        <v>1560.5420000000008</v>
      </c>
      <c r="Y41" s="2">
        <f t="shared" si="2"/>
        <v>0.31619925954022776</v>
      </c>
      <c r="Z41" s="2">
        <f t="shared" si="3"/>
        <v>0</v>
      </c>
      <c r="AA41" s="2">
        <f t="shared" si="4"/>
        <v>12</v>
      </c>
      <c r="AB41" s="2">
        <f t="shared" si="5"/>
        <v>2024</v>
      </c>
      <c r="AC41" s="2" t="str">
        <f t="shared" si="6"/>
        <v>Valid</v>
      </c>
      <c r="AD41" s="2">
        <f t="shared" si="7"/>
        <v>0</v>
      </c>
      <c r="AE41" s="2">
        <f t="shared" si="8"/>
        <v>0</v>
      </c>
      <c r="AH41" t="str">
        <f t="shared" si="13"/>
        <v>Mira Das</v>
      </c>
      <c r="AI41" t="str">
        <f t="shared" si="13"/>
        <v>Small Business</v>
      </c>
      <c r="AJ41" t="str">
        <f t="shared" si="13"/>
        <v>West</v>
      </c>
      <c r="AK41" t="str">
        <f t="shared" si="13"/>
        <v>Madhya Pradesh</v>
      </c>
      <c r="AL41" t="str">
        <f t="shared" si="12"/>
        <v>Indore</v>
      </c>
      <c r="AM41" t="str">
        <f t="shared" si="12"/>
        <v>Technology</v>
      </c>
      <c r="AN41" t="str">
        <f t="shared" si="12"/>
        <v>Copiers</v>
      </c>
      <c r="AO41" t="str">
        <f t="shared" si="10"/>
        <v>First Class</v>
      </c>
      <c r="AP41" t="str">
        <f t="shared" si="11"/>
        <v>Pending</v>
      </c>
      <c r="AQ41" t="str">
        <f t="shared" si="11"/>
        <v>Returned</v>
      </c>
    </row>
    <row r="42" spans="1:43">
      <c r="A42" t="s">
        <v>326</v>
      </c>
      <c r="B42" s="3">
        <v>45575</v>
      </c>
      <c r="C42" s="3">
        <v>45581</v>
      </c>
      <c r="D42" t="s">
        <v>327</v>
      </c>
      <c r="E42" t="s">
        <v>132</v>
      </c>
      <c r="F42" t="s">
        <v>182</v>
      </c>
      <c r="G42" t="s">
        <v>149</v>
      </c>
      <c r="H42" t="s">
        <v>111</v>
      </c>
      <c r="I42" t="s">
        <v>197</v>
      </c>
      <c r="J42" t="s">
        <v>160</v>
      </c>
      <c r="K42" t="s">
        <v>166</v>
      </c>
      <c r="L42" t="s">
        <v>328</v>
      </c>
      <c r="M42" t="s">
        <v>145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117</v>
      </c>
      <c r="U42" t="s">
        <v>118</v>
      </c>
      <c r="V42" s="2">
        <f t="shared" si="0"/>
        <v>0.2</v>
      </c>
      <c r="W42" s="2">
        <f t="shared" si="1"/>
        <v>14051.912</v>
      </c>
      <c r="X42" s="2">
        <f>W42-R42</f>
        <v>2061.5419999999995</v>
      </c>
      <c r="Y42" s="2">
        <f t="shared" si="2"/>
        <v>0.14670900301681361</v>
      </c>
      <c r="Z42" s="2">
        <f t="shared" si="3"/>
        <v>6</v>
      </c>
      <c r="AA42" s="2">
        <f t="shared" si="4"/>
        <v>10</v>
      </c>
      <c r="AB42" s="2">
        <f t="shared" si="5"/>
        <v>2024</v>
      </c>
      <c r="AC42" s="2" t="str">
        <f t="shared" si="6"/>
        <v>Valid</v>
      </c>
      <c r="AD42" s="2">
        <f t="shared" si="7"/>
        <v>0</v>
      </c>
      <c r="AE42" s="2">
        <f t="shared" si="8"/>
        <v>0</v>
      </c>
      <c r="AH42" t="str">
        <f t="shared" si="13"/>
        <v>Isha Nair</v>
      </c>
      <c r="AI42" t="str">
        <f t="shared" si="13"/>
        <v>Home Office</v>
      </c>
      <c r="AJ42" t="str">
        <f t="shared" si="13"/>
        <v>West</v>
      </c>
      <c r="AK42" t="str">
        <f t="shared" si="13"/>
        <v>Rajasthan</v>
      </c>
      <c r="AL42" t="str">
        <f t="shared" si="12"/>
        <v>Udaipur</v>
      </c>
      <c r="AM42" t="str">
        <f t="shared" si="12"/>
        <v>Technology</v>
      </c>
      <c r="AN42" t="str">
        <f t="shared" si="12"/>
        <v>Copiers</v>
      </c>
      <c r="AO42" t="str">
        <f t="shared" si="10"/>
        <v>Standard Class</v>
      </c>
      <c r="AP42" t="str">
        <f t="shared" si="11"/>
        <v>Paid</v>
      </c>
      <c r="AQ42" t="str">
        <f t="shared" si="11"/>
        <v>Completed</v>
      </c>
    </row>
    <row r="43" spans="1:43">
      <c r="A43" t="s">
        <v>329</v>
      </c>
      <c r="B43" s="3">
        <v>45363</v>
      </c>
      <c r="C43" s="3" t="s">
        <v>330</v>
      </c>
      <c r="D43" t="s">
        <v>331</v>
      </c>
      <c r="E43" t="s">
        <v>218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252</v>
      </c>
      <c r="L43" t="s">
        <v>332</v>
      </c>
      <c r="M43" t="s">
        <v>129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199</v>
      </c>
      <c r="U43" t="s">
        <v>44</v>
      </c>
      <c r="V43" s="2">
        <f t="shared" si="0"/>
        <v>0</v>
      </c>
      <c r="W43" s="2">
        <f t="shared" si="1"/>
        <v>6846.48</v>
      </c>
      <c r="X43" s="2">
        <f>W43-R43</f>
        <v>2606.5899999999992</v>
      </c>
      <c r="Y43" s="2">
        <f t="shared" si="2"/>
        <v>0.38071972750961069</v>
      </c>
      <c r="Z43" s="2" t="str">
        <f t="shared" si="3"/>
        <v/>
      </c>
      <c r="AA43" s="2">
        <f t="shared" si="4"/>
        <v>3</v>
      </c>
      <c r="AB43" s="2">
        <f t="shared" si="5"/>
        <v>2024</v>
      </c>
      <c r="AC43" s="2" t="str">
        <f t="shared" si="6"/>
        <v>Text Value Not Recognized as Date</v>
      </c>
      <c r="AD43" s="2">
        <f t="shared" si="7"/>
        <v>0</v>
      </c>
      <c r="AE43" s="2">
        <f t="shared" si="8"/>
        <v>0</v>
      </c>
      <c r="AH43" t="str">
        <f t="shared" si="13"/>
        <v>Aarav Sharma</v>
      </c>
      <c r="AI43" t="str">
        <f t="shared" si="13"/>
        <v>Small Business</v>
      </c>
      <c r="AJ43" t="str">
        <f t="shared" si="13"/>
        <v>East</v>
      </c>
      <c r="AK43" t="str">
        <f t="shared" si="13"/>
        <v>Odisha</v>
      </c>
      <c r="AL43" t="str">
        <f t="shared" si="12"/>
        <v>Bhubaneswar</v>
      </c>
      <c r="AM43" t="str">
        <f t="shared" si="12"/>
        <v>Furniture</v>
      </c>
      <c r="AN43" t="str">
        <f t="shared" si="12"/>
        <v>Bookcases</v>
      </c>
      <c r="AO43" t="str">
        <f t="shared" si="10"/>
        <v>Same Day</v>
      </c>
      <c r="AP43" t="str">
        <f t="shared" si="11"/>
        <v>Pending</v>
      </c>
      <c r="AQ43" t="str">
        <f t="shared" si="11"/>
        <v>Cancelled</v>
      </c>
    </row>
    <row r="44" spans="1:43">
      <c r="A44" t="s">
        <v>333</v>
      </c>
      <c r="B44" s="3">
        <v>45940</v>
      </c>
      <c r="C44" s="3">
        <v>45945</v>
      </c>
      <c r="D44" t="s">
        <v>334</v>
      </c>
      <c r="E44" t="s">
        <v>139</v>
      </c>
      <c r="F44" t="s">
        <v>177</v>
      </c>
      <c r="G44" t="s">
        <v>123</v>
      </c>
      <c r="H44" t="s">
        <v>335</v>
      </c>
      <c r="I44" t="s">
        <v>336</v>
      </c>
      <c r="J44" t="s">
        <v>160</v>
      </c>
      <c r="K44" t="s">
        <v>266</v>
      </c>
      <c r="L44" t="s">
        <v>337</v>
      </c>
      <c r="M44" t="s">
        <v>145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117</v>
      </c>
      <c r="U44" t="s">
        <v>118</v>
      </c>
      <c r="V44" s="2">
        <f t="shared" si="0"/>
        <v>0.05</v>
      </c>
      <c r="W44" s="2">
        <f t="shared" si="1"/>
        <v>7447.0119999999997</v>
      </c>
      <c r="X44" s="2">
        <f>W44-R44</f>
        <v>2950.7919999999995</v>
      </c>
      <c r="Y44" s="2">
        <f t="shared" si="2"/>
        <v>0.39623838393170302</v>
      </c>
      <c r="Z44" s="2">
        <f t="shared" si="3"/>
        <v>5</v>
      </c>
      <c r="AA44" s="2">
        <f t="shared" si="4"/>
        <v>10</v>
      </c>
      <c r="AB44" s="2">
        <f t="shared" si="5"/>
        <v>2025</v>
      </c>
      <c r="AC44" s="2" t="str">
        <f t="shared" si="6"/>
        <v>Valid</v>
      </c>
      <c r="AD44" s="2">
        <f t="shared" si="7"/>
        <v>0</v>
      </c>
      <c r="AE44" s="2">
        <f t="shared" si="8"/>
        <v>0</v>
      </c>
      <c r="AH44" t="str">
        <f t="shared" si="13"/>
        <v>Arjun Bose</v>
      </c>
      <c r="AI44" t="str">
        <f t="shared" si="13"/>
        <v>Corporate</v>
      </c>
      <c r="AJ44" t="str">
        <f t="shared" si="13"/>
        <v>East</v>
      </c>
      <c r="AK44" t="str">
        <f t="shared" si="13"/>
        <v>Jharkhand</v>
      </c>
      <c r="AL44" t="str">
        <f t="shared" si="12"/>
        <v>Ranchi</v>
      </c>
      <c r="AM44" t="str">
        <f t="shared" si="12"/>
        <v>Technology</v>
      </c>
      <c r="AN44" t="str">
        <f t="shared" si="12"/>
        <v>Phones</v>
      </c>
      <c r="AO44" t="str">
        <f t="shared" si="10"/>
        <v>Standard Class</v>
      </c>
      <c r="AP44" t="str">
        <f t="shared" si="11"/>
        <v>Paid</v>
      </c>
      <c r="AQ44" t="str">
        <f t="shared" si="11"/>
        <v>Completed</v>
      </c>
    </row>
    <row r="45" spans="1:43">
      <c r="A45" t="s">
        <v>338</v>
      </c>
      <c r="B45" s="3">
        <v>45481</v>
      </c>
      <c r="C45" s="3">
        <v>45487</v>
      </c>
      <c r="D45" t="s">
        <v>339</v>
      </c>
      <c r="E45" t="s">
        <v>203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143</v>
      </c>
      <c r="L45" t="s">
        <v>340</v>
      </c>
      <c r="M45" t="s">
        <v>129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117</v>
      </c>
      <c r="U45" t="s">
        <v>118</v>
      </c>
      <c r="V45" s="2">
        <f t="shared" si="0"/>
        <v>0</v>
      </c>
      <c r="W45" s="2">
        <f t="shared" si="1"/>
        <v>3030.69</v>
      </c>
      <c r="X45" s="2">
        <f>W45-R45</f>
        <v>1309.6100000000001</v>
      </c>
      <c r="Y45" s="2">
        <f t="shared" si="2"/>
        <v>0.43211611877163292</v>
      </c>
      <c r="Z45" s="2">
        <f t="shared" si="3"/>
        <v>6</v>
      </c>
      <c r="AA45" s="2">
        <f t="shared" si="4"/>
        <v>7</v>
      </c>
      <c r="AB45" s="2">
        <f t="shared" si="5"/>
        <v>2024</v>
      </c>
      <c r="AC45" s="2" t="str">
        <f t="shared" si="6"/>
        <v>Valid</v>
      </c>
      <c r="AD45" s="2">
        <f t="shared" si="7"/>
        <v>0</v>
      </c>
      <c r="AE45" s="2">
        <f t="shared" si="8"/>
        <v>0</v>
      </c>
      <c r="AH45" t="str">
        <f t="shared" si="13"/>
        <v>Priya Menon</v>
      </c>
      <c r="AI45" t="str">
        <f t="shared" si="13"/>
        <v>Small Business</v>
      </c>
      <c r="AJ45" t="str">
        <f t="shared" si="13"/>
        <v>East</v>
      </c>
      <c r="AK45" t="str">
        <f t="shared" si="13"/>
        <v>Odisha</v>
      </c>
      <c r="AL45" t="str">
        <f t="shared" si="12"/>
        <v>Bhubaneswar</v>
      </c>
      <c r="AM45" t="str">
        <f t="shared" si="12"/>
        <v>Furniture</v>
      </c>
      <c r="AN45" t="str">
        <f t="shared" si="12"/>
        <v>Furnishings</v>
      </c>
      <c r="AO45" t="str">
        <f t="shared" si="10"/>
        <v>Same Day</v>
      </c>
      <c r="AP45" t="str">
        <f t="shared" si="11"/>
        <v>Paid</v>
      </c>
      <c r="AQ45" t="str">
        <f t="shared" si="11"/>
        <v>Completed</v>
      </c>
    </row>
    <row r="46" spans="1:43">
      <c r="A46" t="s">
        <v>341</v>
      </c>
      <c r="B46" s="3">
        <v>45465</v>
      </c>
      <c r="C46" s="3" t="s">
        <v>342</v>
      </c>
      <c r="D46" t="s">
        <v>343</v>
      </c>
      <c r="E46" t="s">
        <v>232</v>
      </c>
      <c r="F46" t="s">
        <v>122</v>
      </c>
      <c r="G46" t="s">
        <v>110</v>
      </c>
      <c r="H46" t="s">
        <v>344</v>
      </c>
      <c r="I46" t="s">
        <v>345</v>
      </c>
      <c r="J46" t="s">
        <v>126</v>
      </c>
      <c r="K46" t="s">
        <v>152</v>
      </c>
      <c r="L46" t="s">
        <v>346</v>
      </c>
      <c r="M46" t="s">
        <v>145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117</v>
      </c>
      <c r="U46" t="s">
        <v>118</v>
      </c>
      <c r="V46" s="2">
        <f t="shared" si="0"/>
        <v>0.1</v>
      </c>
      <c r="W46" s="2">
        <f t="shared" si="1"/>
        <v>26971.137000000002</v>
      </c>
      <c r="X46" s="2">
        <f>W46-R46</f>
        <v>9594.9370000000017</v>
      </c>
      <c r="Y46" s="2">
        <f t="shared" si="2"/>
        <v>0.35574833200394929</v>
      </c>
      <c r="Z46" s="2" t="str">
        <f t="shared" si="3"/>
        <v/>
      </c>
      <c r="AA46" s="2">
        <f t="shared" si="4"/>
        <v>6</v>
      </c>
      <c r="AB46" s="2">
        <f t="shared" si="5"/>
        <v>2024</v>
      </c>
      <c r="AC46" s="2" t="str">
        <f t="shared" si="6"/>
        <v>Text Value Not Recognized as Date</v>
      </c>
      <c r="AD46" s="2">
        <f t="shared" si="7"/>
        <v>0</v>
      </c>
      <c r="AE46" s="2">
        <f t="shared" si="8"/>
        <v>0</v>
      </c>
      <c r="AH46" t="str">
        <f t="shared" si="13"/>
        <v>Rohan Mehta</v>
      </c>
      <c r="AI46" t="str">
        <f t="shared" si="13"/>
        <v>Small Business</v>
      </c>
      <c r="AJ46" t="str">
        <f t="shared" si="13"/>
        <v>North</v>
      </c>
      <c r="AK46" t="str">
        <f t="shared" si="13"/>
        <v>Haryana</v>
      </c>
      <c r="AL46" t="str">
        <f t="shared" si="12"/>
        <v>Gurugram</v>
      </c>
      <c r="AM46" t="str">
        <f t="shared" si="12"/>
        <v>Furniture</v>
      </c>
      <c r="AN46" t="str">
        <f t="shared" si="12"/>
        <v>Chairs</v>
      </c>
      <c r="AO46" t="str">
        <f t="shared" si="10"/>
        <v>Standard Class</v>
      </c>
      <c r="AP46" t="str">
        <f t="shared" si="11"/>
        <v>Paid</v>
      </c>
      <c r="AQ46" t="str">
        <f t="shared" si="11"/>
        <v>Completed</v>
      </c>
    </row>
    <row r="47" spans="1:43">
      <c r="A47" t="s">
        <v>347</v>
      </c>
      <c r="B47" s="3">
        <v>45309</v>
      </c>
      <c r="C47" s="3" t="s">
        <v>348</v>
      </c>
      <c r="D47" t="s">
        <v>349</v>
      </c>
      <c r="E47" t="s">
        <v>132</v>
      </c>
      <c r="F47" t="s">
        <v>182</v>
      </c>
      <c r="G47" t="s">
        <v>123</v>
      </c>
      <c r="H47" t="s">
        <v>237</v>
      </c>
      <c r="I47" t="s">
        <v>238</v>
      </c>
      <c r="J47" t="s">
        <v>113</v>
      </c>
      <c r="K47" t="s">
        <v>133</v>
      </c>
      <c r="L47" t="s">
        <v>350</v>
      </c>
      <c r="M47" t="s">
        <v>116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199</v>
      </c>
      <c r="U47" t="s">
        <v>190</v>
      </c>
      <c r="V47" s="2">
        <f t="shared" si="0"/>
        <v>0.05</v>
      </c>
      <c r="W47" s="2">
        <f t="shared" si="1"/>
        <v>29851.432000000001</v>
      </c>
      <c r="X47" s="2">
        <f>W47-R47</f>
        <v>12363.952000000001</v>
      </c>
      <c r="Y47" s="2">
        <f t="shared" si="2"/>
        <v>0.41418287739094062</v>
      </c>
      <c r="Z47" s="2" t="str">
        <f t="shared" si="3"/>
        <v/>
      </c>
      <c r="AA47" s="2">
        <f t="shared" si="4"/>
        <v>1</v>
      </c>
      <c r="AB47" s="2">
        <f t="shared" si="5"/>
        <v>2024</v>
      </c>
      <c r="AC47" s="2" t="str">
        <f t="shared" si="6"/>
        <v>Text Value Not Recognized as Date</v>
      </c>
      <c r="AD47" s="2">
        <f t="shared" si="7"/>
        <v>0</v>
      </c>
      <c r="AE47" s="2">
        <f t="shared" si="8"/>
        <v>0</v>
      </c>
      <c r="AH47" t="str">
        <f t="shared" si="13"/>
        <v>Isha Nair</v>
      </c>
      <c r="AI47" t="str">
        <f t="shared" si="13"/>
        <v>Home Office</v>
      </c>
      <c r="AJ47" t="str">
        <f t="shared" si="13"/>
        <v>East</v>
      </c>
      <c r="AK47" t="str">
        <f t="shared" si="13"/>
        <v>Bihar</v>
      </c>
      <c r="AL47" t="str">
        <f t="shared" si="12"/>
        <v>Patna</v>
      </c>
      <c r="AM47" t="str">
        <f t="shared" si="12"/>
        <v>Office Supplies</v>
      </c>
      <c r="AN47" t="str">
        <f t="shared" si="12"/>
        <v>Art</v>
      </c>
      <c r="AO47" t="str">
        <f t="shared" si="10"/>
        <v>Second Class</v>
      </c>
      <c r="AP47" t="str">
        <f t="shared" si="11"/>
        <v>Pending</v>
      </c>
      <c r="AQ47" t="str">
        <f t="shared" si="11"/>
        <v>Returned</v>
      </c>
    </row>
    <row r="48" spans="1:43">
      <c r="A48" t="s">
        <v>351</v>
      </c>
      <c r="B48" s="3" t="s">
        <v>352</v>
      </c>
      <c r="C48" s="3" t="s">
        <v>352</v>
      </c>
      <c r="D48" t="s">
        <v>353</v>
      </c>
      <c r="E48" t="s">
        <v>148</v>
      </c>
      <c r="F48" t="s">
        <v>122</v>
      </c>
      <c r="G48" t="s">
        <v>140</v>
      </c>
      <c r="H48" t="s">
        <v>282</v>
      </c>
      <c r="I48" t="s">
        <v>283</v>
      </c>
      <c r="J48" t="s">
        <v>126</v>
      </c>
      <c r="K48" t="s">
        <v>252</v>
      </c>
      <c r="L48" t="s">
        <v>354</v>
      </c>
      <c r="M48" t="s">
        <v>145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189</v>
      </c>
      <c r="U48" t="s">
        <v>190</v>
      </c>
      <c r="V48" s="2">
        <f t="shared" si="0"/>
        <v>0.25</v>
      </c>
      <c r="W48" s="2">
        <f t="shared" si="1"/>
        <v>16110.8325</v>
      </c>
      <c r="X48" s="2">
        <f>W48-R48</f>
        <v>5430.8024999999998</v>
      </c>
      <c r="Y48" s="2">
        <f t="shared" si="2"/>
        <v>0.33709012243780695</v>
      </c>
      <c r="Z48" s="2" t="str">
        <f t="shared" si="3"/>
        <v/>
      </c>
      <c r="AA48" s="2" t="e">
        <f t="shared" si="4"/>
        <v>#VALUE!</v>
      </c>
      <c r="AB48" s="2" t="e">
        <f t="shared" si="5"/>
        <v>#VALUE!</v>
      </c>
      <c r="AC48" s="2" t="str">
        <f t="shared" si="6"/>
        <v>Text Value Not Recognized as Date</v>
      </c>
      <c r="AD48" s="2">
        <f t="shared" si="7"/>
        <v>0</v>
      </c>
      <c r="AE48" s="2">
        <f t="shared" si="8"/>
        <v>0</v>
      </c>
      <c r="AH48" t="str">
        <f t="shared" si="13"/>
        <v>Ananya Rao</v>
      </c>
      <c r="AI48" t="str">
        <f t="shared" si="13"/>
        <v>Small Business</v>
      </c>
      <c r="AJ48" t="str">
        <f t="shared" si="13"/>
        <v>South</v>
      </c>
      <c r="AK48" t="str">
        <f t="shared" si="13"/>
        <v>Kerala</v>
      </c>
      <c r="AL48" t="str">
        <f t="shared" si="12"/>
        <v>Kochi</v>
      </c>
      <c r="AM48" t="str">
        <f t="shared" si="12"/>
        <v>Furniture</v>
      </c>
      <c r="AN48" t="str">
        <f t="shared" si="12"/>
        <v>Bookcases</v>
      </c>
      <c r="AO48" t="str">
        <f t="shared" si="10"/>
        <v>Standard Class</v>
      </c>
      <c r="AP48" t="str">
        <f t="shared" si="11"/>
        <v>Refunded</v>
      </c>
      <c r="AQ48" t="str">
        <f t="shared" si="11"/>
        <v>Returned</v>
      </c>
    </row>
    <row r="49" spans="1:43">
      <c r="A49" t="s">
        <v>355</v>
      </c>
      <c r="B49" s="3">
        <v>45634</v>
      </c>
      <c r="C49" s="3">
        <v>45516</v>
      </c>
      <c r="D49" t="s">
        <v>356</v>
      </c>
      <c r="E49" t="s">
        <v>207</v>
      </c>
      <c r="F49" t="s">
        <v>177</v>
      </c>
      <c r="G49" t="s">
        <v>140</v>
      </c>
      <c r="H49" t="s">
        <v>357</v>
      </c>
      <c r="I49" t="s">
        <v>358</v>
      </c>
      <c r="J49" t="s">
        <v>113</v>
      </c>
      <c r="K49" t="s">
        <v>213</v>
      </c>
      <c r="L49" t="s">
        <v>359</v>
      </c>
      <c r="M49" t="s">
        <v>145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117</v>
      </c>
      <c r="U49" t="s">
        <v>118</v>
      </c>
      <c r="V49" s="2">
        <f t="shared" si="0"/>
        <v>0.1</v>
      </c>
      <c r="W49" s="2">
        <f t="shared" si="1"/>
        <v>17606.232</v>
      </c>
      <c r="X49" s="2">
        <f>W49-R49</f>
        <v>5167.2720000000008</v>
      </c>
      <c r="Y49" s="2">
        <f t="shared" si="2"/>
        <v>0.29349107747756592</v>
      </c>
      <c r="Z49" s="2">
        <f t="shared" si="3"/>
        <v>-118</v>
      </c>
      <c r="AA49" s="2">
        <f t="shared" si="4"/>
        <v>12</v>
      </c>
      <c r="AB49" s="2">
        <f t="shared" si="5"/>
        <v>2024</v>
      </c>
      <c r="AC49" s="2" t="str">
        <f t="shared" si="6"/>
        <v>Invalid shipping record</v>
      </c>
      <c r="AD49" s="2">
        <f t="shared" si="7"/>
        <v>0</v>
      </c>
      <c r="AE49" s="2">
        <f t="shared" si="8"/>
        <v>0</v>
      </c>
      <c r="AH49" t="str">
        <f t="shared" si="13"/>
        <v>Rahul Verma</v>
      </c>
      <c r="AI49" t="str">
        <f t="shared" si="13"/>
        <v>Corporate</v>
      </c>
      <c r="AJ49" t="str">
        <f t="shared" si="13"/>
        <v>South</v>
      </c>
      <c r="AK49" t="str">
        <f t="shared" si="13"/>
        <v>Tamil Nadu</v>
      </c>
      <c r="AL49" t="str">
        <f t="shared" si="12"/>
        <v>Chennai</v>
      </c>
      <c r="AM49" t="str">
        <f t="shared" si="12"/>
        <v>Office Supplies</v>
      </c>
      <c r="AN49" t="str">
        <f t="shared" si="12"/>
        <v>Storage</v>
      </c>
      <c r="AO49" t="str">
        <f t="shared" si="10"/>
        <v>Standard Class</v>
      </c>
      <c r="AP49" t="str">
        <f t="shared" si="11"/>
        <v>Paid</v>
      </c>
      <c r="AQ49" t="str">
        <f t="shared" si="11"/>
        <v>Completed</v>
      </c>
    </row>
    <row r="50" spans="1:43">
      <c r="A50" t="s">
        <v>360</v>
      </c>
      <c r="B50" s="3">
        <v>45687</v>
      </c>
      <c r="C50" s="3">
        <v>45693</v>
      </c>
      <c r="D50" t="s">
        <v>361</v>
      </c>
      <c r="E50" t="s">
        <v>165</v>
      </c>
      <c r="F50" t="s">
        <v>177</v>
      </c>
      <c r="G50" t="s">
        <v>149</v>
      </c>
      <c r="H50" t="s">
        <v>150</v>
      </c>
      <c r="I50" t="s">
        <v>151</v>
      </c>
      <c r="J50" t="s">
        <v>126</v>
      </c>
      <c r="K50" t="s">
        <v>152</v>
      </c>
      <c r="L50" t="s">
        <v>362</v>
      </c>
      <c r="M50" t="s">
        <v>116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117</v>
      </c>
      <c r="U50" t="s">
        <v>118</v>
      </c>
      <c r="V50" s="2">
        <f t="shared" si="0"/>
        <v>0</v>
      </c>
      <c r="W50" s="2">
        <f t="shared" si="1"/>
        <v>28445.62</v>
      </c>
      <c r="X50" s="2">
        <f>W50-R50</f>
        <v>7507.0299999999988</v>
      </c>
      <c r="Y50" s="2">
        <f t="shared" si="2"/>
        <v>0.26390811660986818</v>
      </c>
      <c r="Z50" s="2">
        <f t="shared" si="3"/>
        <v>6</v>
      </c>
      <c r="AA50" s="2">
        <f t="shared" si="4"/>
        <v>1</v>
      </c>
      <c r="AB50" s="2">
        <f t="shared" si="5"/>
        <v>2025</v>
      </c>
      <c r="AC50" s="2" t="str">
        <f t="shared" si="6"/>
        <v>Valid</v>
      </c>
      <c r="AD50" s="2">
        <f t="shared" si="7"/>
        <v>0</v>
      </c>
      <c r="AE50" s="2">
        <f t="shared" si="8"/>
        <v>0</v>
      </c>
      <c r="AH50" t="str">
        <f t="shared" si="13"/>
        <v>Neha Gupta</v>
      </c>
      <c r="AI50" t="str">
        <f t="shared" si="13"/>
        <v>Corporate</v>
      </c>
      <c r="AJ50" t="str">
        <f t="shared" si="13"/>
        <v>West</v>
      </c>
      <c r="AK50" t="str">
        <f t="shared" si="13"/>
        <v>Maharashtra</v>
      </c>
      <c r="AL50" t="str">
        <f t="shared" si="12"/>
        <v>Mumbai</v>
      </c>
      <c r="AM50" t="str">
        <f t="shared" si="12"/>
        <v>Furniture</v>
      </c>
      <c r="AN50" t="str">
        <f t="shared" si="12"/>
        <v>Chairs</v>
      </c>
      <c r="AO50" t="str">
        <f t="shared" si="10"/>
        <v>Second Class</v>
      </c>
      <c r="AP50" t="str">
        <f t="shared" si="11"/>
        <v>Paid</v>
      </c>
      <c r="AQ50" t="str">
        <f t="shared" si="11"/>
        <v>Completed</v>
      </c>
    </row>
    <row r="51" spans="1:43">
      <c r="A51" t="s">
        <v>363</v>
      </c>
      <c r="B51" s="3">
        <v>45388</v>
      </c>
      <c r="C51" s="3">
        <v>45395</v>
      </c>
      <c r="D51" t="s">
        <v>364</v>
      </c>
      <c r="E51" t="s">
        <v>218</v>
      </c>
      <c r="F51" t="s">
        <v>182</v>
      </c>
      <c r="G51" t="s">
        <v>110</v>
      </c>
      <c r="H51" t="s">
        <v>227</v>
      </c>
      <c r="I51" t="s">
        <v>228</v>
      </c>
      <c r="J51" t="s">
        <v>160</v>
      </c>
      <c r="K51" t="s">
        <v>166</v>
      </c>
      <c r="L51" t="s">
        <v>365</v>
      </c>
      <c r="M51" t="s">
        <v>116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117</v>
      </c>
      <c r="U51" t="s">
        <v>118</v>
      </c>
      <c r="V51" s="2">
        <f t="shared" si="0"/>
        <v>0.05</v>
      </c>
      <c r="W51" s="2">
        <f t="shared" si="1"/>
        <v>6772.5404999999992</v>
      </c>
      <c r="X51" s="2">
        <f>W51-R51</f>
        <v>1017.0804999999991</v>
      </c>
      <c r="Y51" s="2">
        <f t="shared" si="2"/>
        <v>0.15017710119267641</v>
      </c>
      <c r="Z51" s="2">
        <f t="shared" si="3"/>
        <v>7</v>
      </c>
      <c r="AA51" s="2">
        <f t="shared" si="4"/>
        <v>4</v>
      </c>
      <c r="AB51" s="2">
        <f t="shared" si="5"/>
        <v>2024</v>
      </c>
      <c r="AC51" s="2" t="str">
        <f t="shared" si="6"/>
        <v>Valid</v>
      </c>
      <c r="AD51" s="2">
        <f t="shared" si="7"/>
        <v>0</v>
      </c>
      <c r="AE51" s="2">
        <f t="shared" si="8"/>
        <v>0</v>
      </c>
      <c r="AH51" t="str">
        <f t="shared" si="13"/>
        <v>Aarav Sharma</v>
      </c>
      <c r="AI51" t="str">
        <f t="shared" si="13"/>
        <v>Home Office</v>
      </c>
      <c r="AJ51" t="str">
        <f t="shared" si="13"/>
        <v>North</v>
      </c>
      <c r="AK51" t="str">
        <f t="shared" si="13"/>
        <v>Uttar Pradesh</v>
      </c>
      <c r="AL51" t="str">
        <f t="shared" si="12"/>
        <v>Noida</v>
      </c>
      <c r="AM51" t="str">
        <f t="shared" si="12"/>
        <v>Technology</v>
      </c>
      <c r="AN51" t="str">
        <f t="shared" si="12"/>
        <v>Copiers</v>
      </c>
      <c r="AO51" t="str">
        <f t="shared" si="10"/>
        <v>Second Class</v>
      </c>
      <c r="AP51" t="str">
        <f t="shared" si="11"/>
        <v>Paid</v>
      </c>
      <c r="AQ51" t="str">
        <f t="shared" si="11"/>
        <v>Completed</v>
      </c>
    </row>
    <row r="52" spans="1:43">
      <c r="A52" t="s">
        <v>366</v>
      </c>
      <c r="B52" s="3">
        <v>45788</v>
      </c>
      <c r="C52" s="3">
        <v>45796</v>
      </c>
      <c r="D52" t="s">
        <v>367</v>
      </c>
      <c r="E52" t="s">
        <v>222</v>
      </c>
      <c r="F52" t="s">
        <v>109</v>
      </c>
      <c r="G52" t="s">
        <v>123</v>
      </c>
      <c r="H52" t="s">
        <v>186</v>
      </c>
      <c r="I52" t="s">
        <v>187</v>
      </c>
      <c r="J52" t="s">
        <v>160</v>
      </c>
      <c r="K52" t="s">
        <v>166</v>
      </c>
      <c r="L52" t="s">
        <v>368</v>
      </c>
      <c r="M52" t="s">
        <v>145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117</v>
      </c>
      <c r="U52" t="s">
        <v>118</v>
      </c>
      <c r="V52" s="2">
        <f t="shared" si="0"/>
        <v>0.15</v>
      </c>
      <c r="W52" s="2">
        <f t="shared" si="1"/>
        <v>2025.38</v>
      </c>
      <c r="X52" s="2">
        <f>W52-R52</f>
        <v>884.73</v>
      </c>
      <c r="Y52" s="2">
        <f t="shared" si="2"/>
        <v>0.43682173221815163</v>
      </c>
      <c r="Z52" s="2">
        <f t="shared" si="3"/>
        <v>8</v>
      </c>
      <c r="AA52" s="2">
        <f t="shared" si="4"/>
        <v>5</v>
      </c>
      <c r="AB52" s="2">
        <f t="shared" si="5"/>
        <v>2025</v>
      </c>
      <c r="AC52" s="2" t="str">
        <f t="shared" si="6"/>
        <v>Valid</v>
      </c>
      <c r="AD52" s="2">
        <f t="shared" si="7"/>
        <v>0</v>
      </c>
      <c r="AE52" s="2">
        <f t="shared" si="8"/>
        <v>0</v>
      </c>
      <c r="AH52" t="str">
        <f t="shared" si="13"/>
        <v>Sneha Kapoor</v>
      </c>
      <c r="AI52" t="str">
        <f t="shared" si="13"/>
        <v>Consumer</v>
      </c>
      <c r="AJ52" t="str">
        <f t="shared" si="13"/>
        <v>East</v>
      </c>
      <c r="AK52" t="str">
        <f t="shared" si="13"/>
        <v>West Bengal</v>
      </c>
      <c r="AL52" t="str">
        <f t="shared" si="12"/>
        <v>Kolkata</v>
      </c>
      <c r="AM52" t="str">
        <f t="shared" si="12"/>
        <v>Technology</v>
      </c>
      <c r="AN52" t="str">
        <f t="shared" si="12"/>
        <v>Copiers</v>
      </c>
      <c r="AO52" t="str">
        <f t="shared" si="10"/>
        <v>Standard Class</v>
      </c>
      <c r="AP52" t="str">
        <f t="shared" si="11"/>
        <v>Paid</v>
      </c>
      <c r="AQ52" t="str">
        <f t="shared" si="11"/>
        <v>Completed</v>
      </c>
    </row>
    <row r="53" spans="1:43">
      <c r="A53" t="s">
        <v>369</v>
      </c>
      <c r="B53" s="3">
        <v>45406</v>
      </c>
      <c r="C53" s="3">
        <v>45411</v>
      </c>
      <c r="D53" t="s">
        <v>370</v>
      </c>
      <c r="E53" t="s">
        <v>148</v>
      </c>
      <c r="F53" t="s">
        <v>177</v>
      </c>
      <c r="G53" t="s">
        <v>140</v>
      </c>
      <c r="H53" t="s">
        <v>141</v>
      </c>
      <c r="I53" t="s">
        <v>142</v>
      </c>
      <c r="J53" t="s">
        <v>113</v>
      </c>
      <c r="K53" t="s">
        <v>133</v>
      </c>
      <c r="L53" t="s">
        <v>371</v>
      </c>
      <c r="M53" t="s">
        <v>145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117</v>
      </c>
      <c r="U53" t="s">
        <v>118</v>
      </c>
      <c r="V53" s="2">
        <f t="shared" si="0"/>
        <v>0</v>
      </c>
      <c r="W53" s="2">
        <f t="shared" si="1"/>
        <v>9168.48</v>
      </c>
      <c r="X53" s="2">
        <f>W53-R53</f>
        <v>1728.7099999999991</v>
      </c>
      <c r="Y53" s="2">
        <f t="shared" si="2"/>
        <v>0.18854924698532355</v>
      </c>
      <c r="Z53" s="2">
        <f t="shared" si="3"/>
        <v>5</v>
      </c>
      <c r="AA53" s="2">
        <f t="shared" si="4"/>
        <v>4</v>
      </c>
      <c r="AB53" s="2">
        <f t="shared" si="5"/>
        <v>2024</v>
      </c>
      <c r="AC53" s="2" t="str">
        <f t="shared" si="6"/>
        <v>Valid</v>
      </c>
      <c r="AD53" s="2">
        <f t="shared" si="7"/>
        <v>0</v>
      </c>
      <c r="AE53" s="2">
        <f t="shared" si="8"/>
        <v>0</v>
      </c>
      <c r="AH53" t="str">
        <f t="shared" si="13"/>
        <v>Ananya Rao</v>
      </c>
      <c r="AI53" t="str">
        <f t="shared" si="13"/>
        <v>Corporate</v>
      </c>
      <c r="AJ53" t="str">
        <f t="shared" si="13"/>
        <v>South</v>
      </c>
      <c r="AK53" t="str">
        <f t="shared" si="13"/>
        <v>Telangana</v>
      </c>
      <c r="AL53" t="str">
        <f t="shared" si="12"/>
        <v>Hyderabad</v>
      </c>
      <c r="AM53" t="str">
        <f t="shared" si="12"/>
        <v>Office Supplies</v>
      </c>
      <c r="AN53" t="str">
        <f t="shared" si="12"/>
        <v>Art</v>
      </c>
      <c r="AO53" t="str">
        <f t="shared" si="10"/>
        <v>Standard Class</v>
      </c>
      <c r="AP53" t="str">
        <f t="shared" si="11"/>
        <v>Paid</v>
      </c>
      <c r="AQ53" t="str">
        <f t="shared" si="11"/>
        <v>Completed</v>
      </c>
    </row>
    <row r="54" spans="1:43">
      <c r="A54" t="s">
        <v>372</v>
      </c>
      <c r="B54" s="3" t="s">
        <v>373</v>
      </c>
      <c r="C54" s="3">
        <v>45593</v>
      </c>
      <c r="D54" t="s">
        <v>374</v>
      </c>
      <c r="E54" t="s">
        <v>375</v>
      </c>
      <c r="F54" t="s">
        <v>122</v>
      </c>
      <c r="G54" t="s">
        <v>110</v>
      </c>
      <c r="H54" t="s">
        <v>111</v>
      </c>
      <c r="I54" t="s">
        <v>112</v>
      </c>
      <c r="J54" t="s">
        <v>126</v>
      </c>
      <c r="K54" t="s">
        <v>152</v>
      </c>
      <c r="L54" t="s">
        <v>376</v>
      </c>
      <c r="M54" t="s">
        <v>135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248</v>
      </c>
      <c r="U54" t="s">
        <v>44</v>
      </c>
      <c r="V54" s="2">
        <f t="shared" si="0"/>
        <v>0</v>
      </c>
      <c r="W54" s="2">
        <f t="shared" si="1"/>
        <v>12596.670000000002</v>
      </c>
      <c r="X54" s="2">
        <f>W54-R54</f>
        <v>1993.380000000001</v>
      </c>
      <c r="Y54" s="2">
        <f t="shared" si="2"/>
        <v>0.15824658421630483</v>
      </c>
      <c r="Z54" s="2" t="str">
        <f t="shared" si="3"/>
        <v/>
      </c>
      <c r="AA54" s="2" t="e">
        <f t="shared" si="4"/>
        <v>#VALUE!</v>
      </c>
      <c r="AB54" s="2" t="e">
        <f t="shared" si="5"/>
        <v>#VALUE!</v>
      </c>
      <c r="AC54" s="2" t="str">
        <f t="shared" si="6"/>
        <v>Text Value Not Recognized as Date</v>
      </c>
      <c r="AD54" s="2">
        <f t="shared" si="7"/>
        <v>0</v>
      </c>
      <c r="AE54" s="2">
        <f t="shared" si="8"/>
        <v>0</v>
      </c>
      <c r="AH54" t="str">
        <f t="shared" si="13"/>
        <v>Kabir Singh</v>
      </c>
      <c r="AI54" t="str">
        <f t="shared" si="13"/>
        <v>Small Business</v>
      </c>
      <c r="AJ54" t="str">
        <f t="shared" si="13"/>
        <v>North</v>
      </c>
      <c r="AK54" t="str">
        <f t="shared" si="13"/>
        <v>Rajasthan</v>
      </c>
      <c r="AL54" t="str">
        <f t="shared" si="12"/>
        <v>Jaipur</v>
      </c>
      <c r="AM54" t="str">
        <f t="shared" si="12"/>
        <v>Furniture</v>
      </c>
      <c r="AN54" t="str">
        <f t="shared" si="12"/>
        <v>Chairs</v>
      </c>
      <c r="AO54" t="str">
        <f t="shared" si="10"/>
        <v>First Class</v>
      </c>
      <c r="AP54" t="str">
        <f t="shared" si="11"/>
        <v>Failed</v>
      </c>
      <c r="AQ54" t="str">
        <f t="shared" si="11"/>
        <v>Cancelled</v>
      </c>
    </row>
    <row r="55" spans="1:43">
      <c r="A55" t="s">
        <v>377</v>
      </c>
      <c r="B55" s="3">
        <v>45747</v>
      </c>
      <c r="C55" s="3">
        <v>45747</v>
      </c>
      <c r="D55" t="s">
        <v>378</v>
      </c>
      <c r="E55" t="s">
        <v>375</v>
      </c>
      <c r="F55" t="s">
        <v>182</v>
      </c>
      <c r="G55" t="s">
        <v>149</v>
      </c>
      <c r="H55" t="s">
        <v>276</v>
      </c>
      <c r="I55" t="s">
        <v>277</v>
      </c>
      <c r="J55" t="s">
        <v>113</v>
      </c>
      <c r="K55" t="s">
        <v>213</v>
      </c>
      <c r="L55" t="s">
        <v>379</v>
      </c>
      <c r="M55" t="s">
        <v>135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117</v>
      </c>
      <c r="U55" t="s">
        <v>118</v>
      </c>
      <c r="V55" s="2">
        <f t="shared" si="0"/>
        <v>0.15</v>
      </c>
      <c r="W55" s="2">
        <f t="shared" si="1"/>
        <v>5131.7475000000004</v>
      </c>
      <c r="X55" s="2">
        <f>W55-R55</f>
        <v>2293.0675000000006</v>
      </c>
      <c r="Y55" s="2">
        <f t="shared" si="2"/>
        <v>0.44683950252813498</v>
      </c>
      <c r="Z55" s="2">
        <f t="shared" si="3"/>
        <v>0</v>
      </c>
      <c r="AA55" s="2">
        <f t="shared" si="4"/>
        <v>3</v>
      </c>
      <c r="AB55" s="2">
        <f t="shared" si="5"/>
        <v>2025</v>
      </c>
      <c r="AC55" s="2" t="str">
        <f t="shared" si="6"/>
        <v>Valid</v>
      </c>
      <c r="AD55" s="2">
        <f t="shared" si="7"/>
        <v>0</v>
      </c>
      <c r="AE55" s="2">
        <f t="shared" si="8"/>
        <v>0</v>
      </c>
      <c r="AH55" t="str">
        <f t="shared" si="13"/>
        <v>Kabir Singh</v>
      </c>
      <c r="AI55" t="str">
        <f t="shared" si="13"/>
        <v>Home Office</v>
      </c>
      <c r="AJ55" t="str">
        <f t="shared" si="13"/>
        <v>West</v>
      </c>
      <c r="AK55" t="str">
        <f t="shared" si="13"/>
        <v>Gujarat</v>
      </c>
      <c r="AL55" t="str">
        <f t="shared" si="12"/>
        <v>Ahmedabad</v>
      </c>
      <c r="AM55" t="str">
        <f t="shared" si="12"/>
        <v>Office Supplies</v>
      </c>
      <c r="AN55" t="str">
        <f t="shared" si="12"/>
        <v>Storage</v>
      </c>
      <c r="AO55" t="str">
        <f t="shared" si="10"/>
        <v>First Class</v>
      </c>
      <c r="AP55" t="str">
        <f t="shared" si="11"/>
        <v>Paid</v>
      </c>
      <c r="AQ55" t="str">
        <f t="shared" si="11"/>
        <v>Completed</v>
      </c>
    </row>
    <row r="56" spans="1:43">
      <c r="A56" t="s">
        <v>380</v>
      </c>
      <c r="B56" s="3">
        <v>45807</v>
      </c>
      <c r="C56" s="3">
        <v>45810</v>
      </c>
      <c r="D56" t="s">
        <v>381</v>
      </c>
      <c r="E56" t="s">
        <v>139</v>
      </c>
      <c r="F56" t="s">
        <v>177</v>
      </c>
      <c r="G56" t="s">
        <v>140</v>
      </c>
      <c r="H56" t="s">
        <v>357</v>
      </c>
      <c r="I56" t="s">
        <v>358</v>
      </c>
      <c r="J56" t="s">
        <v>113</v>
      </c>
      <c r="K56" t="s">
        <v>178</v>
      </c>
      <c r="L56" t="s">
        <v>382</v>
      </c>
      <c r="M56" t="s">
        <v>129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248</v>
      </c>
      <c r="U56" t="s">
        <v>44</v>
      </c>
      <c r="V56" s="2">
        <f t="shared" si="0"/>
        <v>0.1</v>
      </c>
      <c r="W56" s="2">
        <f t="shared" si="1"/>
        <v>3415.4639999999999</v>
      </c>
      <c r="X56" s="2">
        <f>W56-R56</f>
        <v>1422.2339999999999</v>
      </c>
      <c r="Y56" s="2">
        <f t="shared" si="2"/>
        <v>0.4164101861416194</v>
      </c>
      <c r="Z56" s="2">
        <f t="shared" si="3"/>
        <v>3</v>
      </c>
      <c r="AA56" s="2">
        <f t="shared" si="4"/>
        <v>5</v>
      </c>
      <c r="AB56" s="2">
        <f t="shared" si="5"/>
        <v>2025</v>
      </c>
      <c r="AC56" s="2" t="str">
        <f t="shared" si="6"/>
        <v>Valid</v>
      </c>
      <c r="AD56" s="2">
        <f t="shared" si="7"/>
        <v>0</v>
      </c>
      <c r="AE56" s="2">
        <f t="shared" si="8"/>
        <v>0</v>
      </c>
      <c r="AH56" t="str">
        <f t="shared" si="13"/>
        <v>Arjun Bose</v>
      </c>
      <c r="AI56" t="str">
        <f t="shared" si="13"/>
        <v>Corporate</v>
      </c>
      <c r="AJ56" t="str">
        <f t="shared" si="13"/>
        <v>South</v>
      </c>
      <c r="AK56" t="str">
        <f t="shared" si="13"/>
        <v>Tamil Nadu</v>
      </c>
      <c r="AL56" t="str">
        <f t="shared" si="12"/>
        <v>Chennai</v>
      </c>
      <c r="AM56" t="str">
        <f t="shared" si="12"/>
        <v>Office Supplies</v>
      </c>
      <c r="AN56" t="str">
        <f t="shared" si="12"/>
        <v>Labels</v>
      </c>
      <c r="AO56" t="str">
        <f t="shared" si="10"/>
        <v>Same Day</v>
      </c>
      <c r="AP56" t="str">
        <f t="shared" si="11"/>
        <v>Failed</v>
      </c>
      <c r="AQ56" t="str">
        <f t="shared" si="11"/>
        <v>Cancelled</v>
      </c>
    </row>
    <row r="57" spans="1:43">
      <c r="A57" t="s">
        <v>383</v>
      </c>
      <c r="B57" s="3">
        <v>45664</v>
      </c>
      <c r="C57" s="3">
        <v>45723</v>
      </c>
      <c r="D57" t="s">
        <v>384</v>
      </c>
      <c r="E57" t="s">
        <v>121</v>
      </c>
      <c r="F57" t="s">
        <v>122</v>
      </c>
      <c r="G57" t="s">
        <v>140</v>
      </c>
      <c r="H57" t="s">
        <v>171</v>
      </c>
      <c r="I57" t="s">
        <v>172</v>
      </c>
      <c r="J57" t="s">
        <v>160</v>
      </c>
      <c r="K57" t="s">
        <v>385</v>
      </c>
      <c r="L57" t="s">
        <v>386</v>
      </c>
      <c r="M57" t="s">
        <v>129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117</v>
      </c>
      <c r="U57" t="s">
        <v>118</v>
      </c>
      <c r="V57" s="2">
        <f t="shared" si="0"/>
        <v>0.25</v>
      </c>
      <c r="W57" s="2">
        <f t="shared" si="1"/>
        <v>3411.54</v>
      </c>
      <c r="X57" s="2">
        <f>W57-R57</f>
        <v>608.40999999999985</v>
      </c>
      <c r="Y57" s="2">
        <f t="shared" si="2"/>
        <v>0.17833881472883209</v>
      </c>
      <c r="Z57" s="2">
        <f t="shared" si="3"/>
        <v>59</v>
      </c>
      <c r="AA57" s="2">
        <f t="shared" si="4"/>
        <v>1</v>
      </c>
      <c r="AB57" s="2">
        <f t="shared" si="5"/>
        <v>2025</v>
      </c>
      <c r="AC57" s="2" t="str">
        <f t="shared" si="6"/>
        <v>Valid</v>
      </c>
      <c r="AD57" s="2">
        <f t="shared" si="7"/>
        <v>0</v>
      </c>
      <c r="AE57" s="2">
        <f t="shared" si="8"/>
        <v>0</v>
      </c>
      <c r="AH57" t="str">
        <f t="shared" si="13"/>
        <v>Mira Das</v>
      </c>
      <c r="AI57" t="str">
        <f t="shared" si="13"/>
        <v>Small Business</v>
      </c>
      <c r="AJ57" t="str">
        <f t="shared" si="13"/>
        <v>South</v>
      </c>
      <c r="AK57" t="str">
        <f t="shared" si="13"/>
        <v>Andhra Pradesh</v>
      </c>
      <c r="AL57" t="str">
        <f t="shared" si="12"/>
        <v>Vijayawada</v>
      </c>
      <c r="AM57" t="str">
        <f t="shared" si="12"/>
        <v>Technology</v>
      </c>
      <c r="AN57" t="str">
        <f t="shared" si="12"/>
        <v>Machines</v>
      </c>
      <c r="AO57" t="str">
        <f t="shared" si="10"/>
        <v>Same Day</v>
      </c>
      <c r="AP57" t="str">
        <f t="shared" si="11"/>
        <v>Paid</v>
      </c>
      <c r="AQ57" t="str">
        <f t="shared" si="11"/>
        <v>Completed</v>
      </c>
    </row>
    <row r="58" spans="1:43">
      <c r="A58" t="s">
        <v>387</v>
      </c>
      <c r="B58" s="3">
        <v>45662</v>
      </c>
      <c r="C58" s="3">
        <v>45809</v>
      </c>
      <c r="D58" t="s">
        <v>388</v>
      </c>
      <c r="E58" t="s">
        <v>108</v>
      </c>
      <c r="F58" t="s">
        <v>109</v>
      </c>
      <c r="G58" t="s">
        <v>140</v>
      </c>
      <c r="H58" t="s">
        <v>270</v>
      </c>
      <c r="I58" t="s">
        <v>271</v>
      </c>
      <c r="J58" t="s">
        <v>113</v>
      </c>
      <c r="K58" t="s">
        <v>246</v>
      </c>
      <c r="L58" t="s">
        <v>389</v>
      </c>
      <c r="M58" t="s">
        <v>116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189</v>
      </c>
      <c r="U58" t="s">
        <v>44</v>
      </c>
      <c r="V58" s="2">
        <f t="shared" si="0"/>
        <v>0</v>
      </c>
      <c r="W58" s="2">
        <f t="shared" si="1"/>
        <v>9466.83</v>
      </c>
      <c r="X58" s="2">
        <f>W58-R58</f>
        <v>2909</v>
      </c>
      <c r="Y58" s="2">
        <f t="shared" si="2"/>
        <v>0.30728343067320318</v>
      </c>
      <c r="Z58" s="2">
        <f t="shared" si="3"/>
        <v>147</v>
      </c>
      <c r="AA58" s="2">
        <f t="shared" si="4"/>
        <v>1</v>
      </c>
      <c r="AB58" s="2">
        <f t="shared" si="5"/>
        <v>2025</v>
      </c>
      <c r="AC58" s="2" t="str">
        <f t="shared" si="6"/>
        <v>Valid</v>
      </c>
      <c r="AD58" s="2">
        <f t="shared" si="7"/>
        <v>0</v>
      </c>
      <c r="AE58" s="2">
        <f t="shared" si="8"/>
        <v>0</v>
      </c>
      <c r="AH58" t="str">
        <f t="shared" si="13"/>
        <v>Karan Malhotra</v>
      </c>
      <c r="AI58" t="str">
        <f t="shared" si="13"/>
        <v>Consumer</v>
      </c>
      <c r="AJ58" t="str">
        <f t="shared" si="13"/>
        <v>South</v>
      </c>
      <c r="AK58" t="str">
        <f t="shared" si="13"/>
        <v>Karnataka</v>
      </c>
      <c r="AL58" t="str">
        <f t="shared" si="12"/>
        <v>Bengaluru</v>
      </c>
      <c r="AM58" t="str">
        <f t="shared" si="12"/>
        <v>Office Supplies</v>
      </c>
      <c r="AN58" t="str">
        <f t="shared" si="12"/>
        <v>Binders</v>
      </c>
      <c r="AO58" t="str">
        <f t="shared" si="10"/>
        <v>Second Class</v>
      </c>
      <c r="AP58" t="str">
        <f t="shared" si="11"/>
        <v>Refunded</v>
      </c>
      <c r="AQ58" t="str">
        <f t="shared" si="11"/>
        <v>Cancelled</v>
      </c>
    </row>
    <row r="59" spans="1:43">
      <c r="A59" t="s">
        <v>390</v>
      </c>
      <c r="B59" s="3">
        <v>45329</v>
      </c>
      <c r="C59" s="3">
        <v>45337</v>
      </c>
      <c r="D59" t="s">
        <v>391</v>
      </c>
      <c r="E59" t="s">
        <v>203</v>
      </c>
      <c r="F59" t="s">
        <v>109</v>
      </c>
      <c r="G59" t="s">
        <v>149</v>
      </c>
      <c r="H59" t="s">
        <v>287</v>
      </c>
      <c r="I59" t="s">
        <v>288</v>
      </c>
      <c r="J59" t="s">
        <v>126</v>
      </c>
      <c r="K59" t="s">
        <v>152</v>
      </c>
      <c r="L59" t="s">
        <v>392</v>
      </c>
      <c r="M59" t="s">
        <v>129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117</v>
      </c>
      <c r="U59" t="s">
        <v>118</v>
      </c>
      <c r="V59" s="2">
        <f t="shared" si="0"/>
        <v>0</v>
      </c>
      <c r="W59" s="2">
        <f t="shared" si="1"/>
        <v>1279.3499999999999</v>
      </c>
      <c r="X59" s="2">
        <f>W59-R59</f>
        <v>187.80999999999995</v>
      </c>
      <c r="Y59" s="2">
        <f t="shared" si="2"/>
        <v>0.14680110993864068</v>
      </c>
      <c r="Z59" s="2">
        <f t="shared" si="3"/>
        <v>8</v>
      </c>
      <c r="AA59" s="2">
        <f t="shared" si="4"/>
        <v>2</v>
      </c>
      <c r="AB59" s="2">
        <f t="shared" si="5"/>
        <v>2024</v>
      </c>
      <c r="AC59" s="2" t="str">
        <f t="shared" si="6"/>
        <v>Valid</v>
      </c>
      <c r="AD59" s="2">
        <f t="shared" si="7"/>
        <v>0</v>
      </c>
      <c r="AE59" s="2">
        <f t="shared" si="8"/>
        <v>0</v>
      </c>
      <c r="AH59" t="str">
        <f t="shared" si="13"/>
        <v>Priya Menon</v>
      </c>
      <c r="AI59" t="str">
        <f t="shared" si="13"/>
        <v>Consumer</v>
      </c>
      <c r="AJ59" t="str">
        <f t="shared" si="13"/>
        <v>West</v>
      </c>
      <c r="AK59" t="str">
        <f t="shared" si="13"/>
        <v>Goa</v>
      </c>
      <c r="AL59" t="str">
        <f t="shared" si="12"/>
        <v>Panaji</v>
      </c>
      <c r="AM59" t="str">
        <f t="shared" si="12"/>
        <v>Furniture</v>
      </c>
      <c r="AN59" t="str">
        <f t="shared" si="12"/>
        <v>Chairs</v>
      </c>
      <c r="AO59" t="str">
        <f t="shared" si="10"/>
        <v>Same Day</v>
      </c>
      <c r="AP59" t="str">
        <f t="shared" si="11"/>
        <v>Paid</v>
      </c>
      <c r="AQ59" t="str">
        <f t="shared" si="11"/>
        <v>Completed</v>
      </c>
    </row>
    <row r="60" spans="1:43">
      <c r="A60" t="s">
        <v>393</v>
      </c>
      <c r="B60" s="3">
        <v>45536</v>
      </c>
      <c r="C60" s="3">
        <v>45542</v>
      </c>
      <c r="D60" t="s">
        <v>394</v>
      </c>
      <c r="E60" t="s">
        <v>132</v>
      </c>
      <c r="F60" t="s">
        <v>182</v>
      </c>
      <c r="G60" t="s">
        <v>110</v>
      </c>
      <c r="H60" t="s">
        <v>111</v>
      </c>
      <c r="I60" t="s">
        <v>112</v>
      </c>
      <c r="J60" t="s">
        <v>113</v>
      </c>
      <c r="K60" t="s">
        <v>213</v>
      </c>
      <c r="L60" t="s">
        <v>395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199</v>
      </c>
      <c r="U60" t="s">
        <v>190</v>
      </c>
      <c r="V60" s="2">
        <f t="shared" si="0"/>
        <v>0.1</v>
      </c>
      <c r="W60" s="2">
        <f t="shared" si="1"/>
        <v>11254.788</v>
      </c>
      <c r="X60" s="2">
        <f>W60-R60</f>
        <v>4676.7280000000001</v>
      </c>
      <c r="Y60" s="2">
        <f t="shared" si="2"/>
        <v>0.41553230500654476</v>
      </c>
      <c r="Z60" s="2">
        <f t="shared" si="3"/>
        <v>6</v>
      </c>
      <c r="AA60" s="2">
        <f t="shared" si="4"/>
        <v>9</v>
      </c>
      <c r="AB60" s="2">
        <f t="shared" si="5"/>
        <v>2024</v>
      </c>
      <c r="AC60" s="2" t="str">
        <f t="shared" si="6"/>
        <v>Missing ship_mode</v>
      </c>
      <c r="AD60" s="2">
        <f t="shared" si="7"/>
        <v>0</v>
      </c>
      <c r="AE60" s="2">
        <f t="shared" si="8"/>
        <v>0</v>
      </c>
      <c r="AH60" t="str">
        <f t="shared" si="13"/>
        <v>Isha Nair</v>
      </c>
      <c r="AI60" t="str">
        <f t="shared" si="13"/>
        <v>Home Office</v>
      </c>
      <c r="AJ60" t="str">
        <f t="shared" si="13"/>
        <v>North</v>
      </c>
      <c r="AK60" t="str">
        <f t="shared" si="13"/>
        <v>Rajasthan</v>
      </c>
      <c r="AL60" t="str">
        <f t="shared" si="12"/>
        <v>Jaipur</v>
      </c>
      <c r="AM60" t="str">
        <f t="shared" si="12"/>
        <v>Office Supplies</v>
      </c>
      <c r="AN60" t="str">
        <f t="shared" si="12"/>
        <v>Storage</v>
      </c>
      <c r="AO60" t="s">
        <v>306</v>
      </c>
      <c r="AP60" t="str">
        <f t="shared" si="11"/>
        <v>Pending</v>
      </c>
      <c r="AQ60" t="str">
        <f t="shared" si="11"/>
        <v>Returned</v>
      </c>
    </row>
    <row r="61" spans="1:43">
      <c r="A61" t="s">
        <v>396</v>
      </c>
      <c r="B61" s="3" t="s">
        <v>397</v>
      </c>
      <c r="C61" s="3">
        <v>45498</v>
      </c>
      <c r="D61" t="s">
        <v>398</v>
      </c>
      <c r="E61" t="s">
        <v>203</v>
      </c>
      <c r="F61" t="s">
        <v>177</v>
      </c>
      <c r="G61" t="s">
        <v>123</v>
      </c>
      <c r="H61" t="s">
        <v>260</v>
      </c>
      <c r="I61" t="s">
        <v>261</v>
      </c>
      <c r="J61" t="s">
        <v>113</v>
      </c>
      <c r="K61" t="s">
        <v>178</v>
      </c>
      <c r="L61" t="s">
        <v>399</v>
      </c>
      <c r="M61" t="s">
        <v>129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117</v>
      </c>
      <c r="U61" t="s">
        <v>44</v>
      </c>
      <c r="V61" s="2">
        <f t="shared" si="0"/>
        <v>0.2</v>
      </c>
      <c r="W61" s="2">
        <f t="shared" si="1"/>
        <v>16535.400000000001</v>
      </c>
      <c r="X61" s="2">
        <f>W61-R61</f>
        <v>3545.1900000000023</v>
      </c>
      <c r="Y61" s="2">
        <f t="shared" si="2"/>
        <v>0.21440001451431487</v>
      </c>
      <c r="Z61" s="2" t="str">
        <f t="shared" si="3"/>
        <v/>
      </c>
      <c r="AA61" s="2" t="e">
        <f t="shared" si="4"/>
        <v>#VALUE!</v>
      </c>
      <c r="AB61" s="2" t="e">
        <f t="shared" si="5"/>
        <v>#VALUE!</v>
      </c>
      <c r="AC61" s="2" t="str">
        <f t="shared" si="6"/>
        <v>Text Value Not Recognized as Date</v>
      </c>
      <c r="AD61" s="2">
        <f t="shared" si="7"/>
        <v>0</v>
      </c>
      <c r="AE61" s="2">
        <f t="shared" si="8"/>
        <v>0</v>
      </c>
      <c r="AH61" t="str">
        <f t="shared" si="13"/>
        <v>Priya Menon</v>
      </c>
      <c r="AI61" t="str">
        <f t="shared" si="13"/>
        <v>Corporate</v>
      </c>
      <c r="AJ61" t="str">
        <f t="shared" si="13"/>
        <v>East</v>
      </c>
      <c r="AK61" t="str">
        <f t="shared" si="13"/>
        <v>Assam</v>
      </c>
      <c r="AL61" t="str">
        <f t="shared" si="12"/>
        <v>Guwahati</v>
      </c>
      <c r="AM61" t="str">
        <f t="shared" si="12"/>
        <v>Office Supplies</v>
      </c>
      <c r="AN61" t="str">
        <f t="shared" si="12"/>
        <v>Labels</v>
      </c>
      <c r="AO61" t="str">
        <f t="shared" si="10"/>
        <v>Same Day</v>
      </c>
      <c r="AP61" t="str">
        <f t="shared" si="11"/>
        <v>Paid</v>
      </c>
      <c r="AQ61" t="str">
        <f t="shared" si="11"/>
        <v>Cancelled</v>
      </c>
    </row>
    <row r="62" spans="1:43">
      <c r="A62" t="s">
        <v>400</v>
      </c>
      <c r="B62" s="3">
        <v>45486</v>
      </c>
      <c r="C62" s="3">
        <v>45492</v>
      </c>
      <c r="D62" t="s">
        <v>401</v>
      </c>
      <c r="E62" t="s">
        <v>148</v>
      </c>
      <c r="F62" t="s">
        <v>177</v>
      </c>
      <c r="G62" t="s">
        <v>123</v>
      </c>
      <c r="H62" t="s">
        <v>260</v>
      </c>
      <c r="I62" t="s">
        <v>261</v>
      </c>
      <c r="J62" t="s">
        <v>113</v>
      </c>
      <c r="K62" t="s">
        <v>178</v>
      </c>
      <c r="L62" t="s">
        <v>402</v>
      </c>
      <c r="M62" t="s">
        <v>129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189</v>
      </c>
      <c r="U62" t="s">
        <v>44</v>
      </c>
      <c r="V62" s="2">
        <f t="shared" si="0"/>
        <v>0.2</v>
      </c>
      <c r="W62" s="2">
        <f t="shared" si="1"/>
        <v>661.82400000000007</v>
      </c>
      <c r="X62" s="2">
        <f>W62-R62</f>
        <v>180.35400000000004</v>
      </c>
      <c r="Y62" s="2">
        <f t="shared" si="2"/>
        <v>0.27251051639106472</v>
      </c>
      <c r="Z62" s="2">
        <f t="shared" si="3"/>
        <v>6</v>
      </c>
      <c r="AA62" s="2">
        <f t="shared" si="4"/>
        <v>7</v>
      </c>
      <c r="AB62" s="2">
        <f t="shared" si="5"/>
        <v>2024</v>
      </c>
      <c r="AC62" s="2" t="str">
        <f t="shared" si="6"/>
        <v>Valid</v>
      </c>
      <c r="AD62" s="2">
        <f t="shared" si="7"/>
        <v>0</v>
      </c>
      <c r="AE62" s="2">
        <f t="shared" si="8"/>
        <v>0</v>
      </c>
      <c r="AH62" t="str">
        <f t="shared" si="13"/>
        <v>Ananya Rao</v>
      </c>
      <c r="AI62" t="str">
        <f t="shared" si="13"/>
        <v>Corporate</v>
      </c>
      <c r="AJ62" t="str">
        <f t="shared" si="13"/>
        <v>East</v>
      </c>
      <c r="AK62" t="str">
        <f t="shared" si="13"/>
        <v>Assam</v>
      </c>
      <c r="AL62" t="str">
        <f t="shared" si="12"/>
        <v>Guwahati</v>
      </c>
      <c r="AM62" t="str">
        <f t="shared" si="12"/>
        <v>Office Supplies</v>
      </c>
      <c r="AN62" t="str">
        <f t="shared" si="12"/>
        <v>Labels</v>
      </c>
      <c r="AO62" t="str">
        <f t="shared" si="10"/>
        <v>Same Day</v>
      </c>
      <c r="AP62" t="str">
        <f t="shared" si="11"/>
        <v>Refunded</v>
      </c>
      <c r="AQ62" t="str">
        <f t="shared" si="11"/>
        <v>Cancelled</v>
      </c>
    </row>
    <row r="63" spans="1:43">
      <c r="A63" t="s">
        <v>403</v>
      </c>
      <c r="B63" s="3">
        <v>45398</v>
      </c>
      <c r="C63" s="3">
        <v>45398</v>
      </c>
      <c r="D63" t="s">
        <v>404</v>
      </c>
      <c r="E63" t="s">
        <v>157</v>
      </c>
      <c r="F63" t="s">
        <v>182</v>
      </c>
      <c r="G63" t="s">
        <v>123</v>
      </c>
      <c r="H63" t="s">
        <v>237</v>
      </c>
      <c r="I63" t="s">
        <v>238</v>
      </c>
      <c r="J63" t="s">
        <v>126</v>
      </c>
      <c r="K63" t="s">
        <v>252</v>
      </c>
      <c r="L63" t="s">
        <v>405</v>
      </c>
      <c r="M63" t="s">
        <v>145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117</v>
      </c>
      <c r="U63" t="s">
        <v>118</v>
      </c>
      <c r="V63" s="2">
        <f t="shared" si="0"/>
        <v>0</v>
      </c>
      <c r="W63" s="2">
        <f t="shared" si="1"/>
        <v>949.59</v>
      </c>
      <c r="X63" s="2">
        <f>W63-R63</f>
        <v>198.34000000000003</v>
      </c>
      <c r="Y63" s="2">
        <f t="shared" si="2"/>
        <v>0.20886909087079689</v>
      </c>
      <c r="Z63" s="2">
        <f t="shared" si="3"/>
        <v>0</v>
      </c>
      <c r="AA63" s="2">
        <f t="shared" si="4"/>
        <v>4</v>
      </c>
      <c r="AB63" s="2">
        <f t="shared" si="5"/>
        <v>2024</v>
      </c>
      <c r="AC63" s="2" t="str">
        <f t="shared" si="6"/>
        <v>Valid</v>
      </c>
      <c r="AD63" s="2">
        <f t="shared" si="7"/>
        <v>0</v>
      </c>
      <c r="AE63" s="2">
        <f t="shared" si="8"/>
        <v>0</v>
      </c>
      <c r="AH63" t="str">
        <f t="shared" si="13"/>
        <v>Vikram Iyer</v>
      </c>
      <c r="AI63" t="str">
        <f t="shared" si="13"/>
        <v>Home Office</v>
      </c>
      <c r="AJ63" t="str">
        <f t="shared" si="13"/>
        <v>East</v>
      </c>
      <c r="AK63" t="str">
        <f t="shared" si="13"/>
        <v>Bihar</v>
      </c>
      <c r="AL63" t="str">
        <f t="shared" si="12"/>
        <v>Patna</v>
      </c>
      <c r="AM63" t="str">
        <f t="shared" si="12"/>
        <v>Furniture</v>
      </c>
      <c r="AN63" t="str">
        <f t="shared" si="12"/>
        <v>Bookcases</v>
      </c>
      <c r="AO63" t="str">
        <f t="shared" si="10"/>
        <v>Standard Class</v>
      </c>
      <c r="AP63" t="str">
        <f t="shared" si="11"/>
        <v>Paid</v>
      </c>
      <c r="AQ63" t="str">
        <f t="shared" si="11"/>
        <v>Completed</v>
      </c>
    </row>
    <row r="64" spans="1:43">
      <c r="A64" t="s">
        <v>406</v>
      </c>
      <c r="B64" s="3">
        <v>45595</v>
      </c>
      <c r="C64" s="3">
        <v>45333</v>
      </c>
      <c r="D64" t="s">
        <v>407</v>
      </c>
      <c r="E64" t="s">
        <v>222</v>
      </c>
      <c r="F64" t="s">
        <v>182</v>
      </c>
      <c r="G64" t="s">
        <v>110</v>
      </c>
      <c r="H64" t="s">
        <v>111</v>
      </c>
      <c r="I64" t="s">
        <v>112</v>
      </c>
      <c r="J64" t="s">
        <v>160</v>
      </c>
      <c r="K64" t="s">
        <v>266</v>
      </c>
      <c r="L64" t="s">
        <v>408</v>
      </c>
      <c r="M64" t="s">
        <v>145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117</v>
      </c>
      <c r="U64" t="s">
        <v>118</v>
      </c>
      <c r="V64" s="2">
        <f t="shared" si="0"/>
        <v>0.2</v>
      </c>
      <c r="W64" s="2">
        <f t="shared" si="1"/>
        <v>21904.488000000001</v>
      </c>
      <c r="X64" s="2">
        <f>W64-R64</f>
        <v>8333.9380000000019</v>
      </c>
      <c r="Y64" s="2">
        <f t="shared" si="2"/>
        <v>0.38046714445003244</v>
      </c>
      <c r="Z64" s="2">
        <f t="shared" si="3"/>
        <v>-262</v>
      </c>
      <c r="AA64" s="2">
        <f t="shared" si="4"/>
        <v>10</v>
      </c>
      <c r="AB64" s="2">
        <f t="shared" si="5"/>
        <v>2024</v>
      </c>
      <c r="AC64" s="2" t="str">
        <f t="shared" si="6"/>
        <v>Invalid shipping record</v>
      </c>
      <c r="AD64" s="2">
        <f t="shared" si="7"/>
        <v>0</v>
      </c>
      <c r="AE64" s="2">
        <f t="shared" si="8"/>
        <v>0</v>
      </c>
      <c r="AH64" t="str">
        <f t="shared" si="13"/>
        <v>Sneha Kapoor</v>
      </c>
      <c r="AI64" t="str">
        <f t="shared" si="13"/>
        <v>Home Office</v>
      </c>
      <c r="AJ64" t="str">
        <f t="shared" si="13"/>
        <v>North</v>
      </c>
      <c r="AK64" t="str">
        <f t="shared" si="13"/>
        <v>Rajasthan</v>
      </c>
      <c r="AL64" t="str">
        <f t="shared" si="12"/>
        <v>Jaipur</v>
      </c>
      <c r="AM64" t="str">
        <f t="shared" si="12"/>
        <v>Technology</v>
      </c>
      <c r="AN64" t="str">
        <f t="shared" si="12"/>
        <v>Phones</v>
      </c>
      <c r="AO64" t="str">
        <f t="shared" si="10"/>
        <v>Standard Class</v>
      </c>
      <c r="AP64" t="str">
        <f t="shared" si="11"/>
        <v>Paid</v>
      </c>
      <c r="AQ64" t="str">
        <f t="shared" si="11"/>
        <v>Completed</v>
      </c>
    </row>
    <row r="65" spans="1:43">
      <c r="A65" t="s">
        <v>409</v>
      </c>
      <c r="B65" s="3">
        <v>45316</v>
      </c>
      <c r="C65" s="3">
        <v>45293</v>
      </c>
      <c r="D65" t="s">
        <v>410</v>
      </c>
      <c r="E65" t="s">
        <v>222</v>
      </c>
      <c r="F65" t="s">
        <v>182</v>
      </c>
      <c r="G65" t="s">
        <v>110</v>
      </c>
      <c r="H65" t="s">
        <v>344</v>
      </c>
      <c r="I65" t="s">
        <v>345</v>
      </c>
      <c r="J65" t="s">
        <v>113</v>
      </c>
      <c r="K65" t="s">
        <v>246</v>
      </c>
      <c r="L65" t="s">
        <v>411</v>
      </c>
      <c r="M65" t="s">
        <v>129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117</v>
      </c>
      <c r="U65" t="s">
        <v>118</v>
      </c>
      <c r="V65" s="2">
        <f t="shared" si="0"/>
        <v>0.15</v>
      </c>
      <c r="W65" s="2">
        <f t="shared" si="1"/>
        <v>4815.7089999999998</v>
      </c>
      <c r="X65" s="2">
        <f>W65-R65</f>
        <v>1787.9589999999998</v>
      </c>
      <c r="Y65" s="2">
        <f t="shared" si="2"/>
        <v>0.37127637903369992</v>
      </c>
      <c r="Z65" s="2">
        <f t="shared" si="3"/>
        <v>-23</v>
      </c>
      <c r="AA65" s="2">
        <f t="shared" si="4"/>
        <v>1</v>
      </c>
      <c r="AB65" s="2">
        <f t="shared" si="5"/>
        <v>2024</v>
      </c>
      <c r="AC65" s="2" t="str">
        <f t="shared" si="6"/>
        <v>Invalid shipping record</v>
      </c>
      <c r="AD65" s="2">
        <f t="shared" si="7"/>
        <v>0</v>
      </c>
      <c r="AE65" s="2">
        <f t="shared" si="8"/>
        <v>1</v>
      </c>
      <c r="AH65" t="str">
        <f t="shared" si="13"/>
        <v>Sneha Kapoor</v>
      </c>
      <c r="AI65" t="str">
        <f t="shared" si="13"/>
        <v>Home Office</v>
      </c>
      <c r="AJ65" t="str">
        <f t="shared" si="13"/>
        <v>North</v>
      </c>
      <c r="AK65" t="str">
        <f t="shared" si="13"/>
        <v>Haryana</v>
      </c>
      <c r="AL65" t="str">
        <f t="shared" si="12"/>
        <v>Gurugram</v>
      </c>
      <c r="AM65" t="str">
        <f t="shared" si="12"/>
        <v>Office Supplies</v>
      </c>
      <c r="AN65" t="str">
        <f t="shared" si="12"/>
        <v>Binders</v>
      </c>
      <c r="AO65" t="str">
        <f t="shared" si="10"/>
        <v>Same Day</v>
      </c>
      <c r="AP65" t="str">
        <f t="shared" si="11"/>
        <v>Paid</v>
      </c>
      <c r="AQ65" t="str">
        <f t="shared" si="11"/>
        <v>Completed</v>
      </c>
    </row>
    <row r="66" spans="1:43">
      <c r="A66" t="s">
        <v>412</v>
      </c>
      <c r="B66" s="3">
        <v>45649</v>
      </c>
      <c r="C66" s="3">
        <v>45655</v>
      </c>
      <c r="D66" t="s">
        <v>413</v>
      </c>
      <c r="E66" t="s">
        <v>218</v>
      </c>
      <c r="F66" t="s">
        <v>177</v>
      </c>
      <c r="G66" t="s">
        <v>123</v>
      </c>
      <c r="H66" t="s">
        <v>335</v>
      </c>
      <c r="I66" t="s">
        <v>336</v>
      </c>
      <c r="J66" t="s">
        <v>113</v>
      </c>
      <c r="K66" t="s">
        <v>114</v>
      </c>
      <c r="L66" t="s">
        <v>414</v>
      </c>
      <c r="M66" t="s">
        <v>135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189</v>
      </c>
      <c r="U66" t="s">
        <v>190</v>
      </c>
      <c r="V66" s="2">
        <f t="shared" si="0"/>
        <v>0</v>
      </c>
      <c r="W66" s="2">
        <f t="shared" si="1"/>
        <v>3134.8799999999997</v>
      </c>
      <c r="X66" s="2">
        <f>W66-R66</f>
        <v>767.24999999999955</v>
      </c>
      <c r="Y66" s="2">
        <f t="shared" si="2"/>
        <v>0.24474621038125849</v>
      </c>
      <c r="Z66" s="2">
        <f t="shared" si="3"/>
        <v>6</v>
      </c>
      <c r="AA66" s="2">
        <f t="shared" si="4"/>
        <v>12</v>
      </c>
      <c r="AB66" s="2">
        <f t="shared" si="5"/>
        <v>2024</v>
      </c>
      <c r="AC66" s="2" t="str">
        <f t="shared" si="6"/>
        <v>Valid</v>
      </c>
      <c r="AD66" s="2">
        <f t="shared" si="7"/>
        <v>0</v>
      </c>
      <c r="AE66" s="2">
        <f t="shared" si="8"/>
        <v>0</v>
      </c>
      <c r="AH66" t="str">
        <f t="shared" si="13"/>
        <v>Aarav Sharma</v>
      </c>
      <c r="AI66" t="str">
        <f t="shared" si="13"/>
        <v>Corporate</v>
      </c>
      <c r="AJ66" t="str">
        <f t="shared" si="13"/>
        <v>East</v>
      </c>
      <c r="AK66" t="str">
        <f t="shared" si="13"/>
        <v>Jharkhand</v>
      </c>
      <c r="AL66" t="str">
        <f t="shared" si="12"/>
        <v>Ranchi</v>
      </c>
      <c r="AM66" t="str">
        <f t="shared" si="12"/>
        <v>Office Supplies</v>
      </c>
      <c r="AN66" t="str">
        <f t="shared" si="12"/>
        <v>Paper</v>
      </c>
      <c r="AO66" t="str">
        <f t="shared" si="10"/>
        <v>First Class</v>
      </c>
      <c r="AP66" t="str">
        <f t="shared" si="11"/>
        <v>Refunded</v>
      </c>
      <c r="AQ66" t="str">
        <f t="shared" si="11"/>
        <v>Returned</v>
      </c>
    </row>
    <row r="67" spans="1:43">
      <c r="A67" t="s">
        <v>415</v>
      </c>
      <c r="B67" s="3">
        <v>45404</v>
      </c>
      <c r="C67" s="3">
        <v>45409</v>
      </c>
      <c r="D67" t="s">
        <v>416</v>
      </c>
      <c r="E67" t="s">
        <v>121</v>
      </c>
      <c r="F67" t="s">
        <v>182</v>
      </c>
      <c r="G67" t="s">
        <v>149</v>
      </c>
      <c r="H67" t="s">
        <v>150</v>
      </c>
      <c r="I67" t="s">
        <v>151</v>
      </c>
      <c r="J67" t="s">
        <v>113</v>
      </c>
      <c r="K67" t="s">
        <v>114</v>
      </c>
      <c r="L67" t="s">
        <v>417</v>
      </c>
      <c r="M67" t="s">
        <v>116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117</v>
      </c>
      <c r="U67" t="s">
        <v>118</v>
      </c>
      <c r="V67" s="2">
        <f t="shared" ref="V67:V130" si="14">IF(ISBLANK(P67), 0, P67)</f>
        <v>0.05</v>
      </c>
      <c r="W67" s="2">
        <f t="shared" ref="W67:W130" si="15">N67 * O67 * (1 - P67)</f>
        <v>4066.1804999999995</v>
      </c>
      <c r="X67" s="2">
        <f>W67-R67</f>
        <v>1437.2604999999994</v>
      </c>
      <c r="Y67" s="2">
        <f t="shared" ref="Y67:Y130" si="16">IFERROR(X67 / W67, 0)</f>
        <v>0.35346696980126674</v>
      </c>
      <c r="Z67" s="2">
        <f t="shared" ref="Z67:Z130" si="17">IF(OR(ISBLANK(B67), ISBLANK(C67), ISTEXT(B67), ISTEXT(C67)), "", C67 - B67)</f>
        <v>5</v>
      </c>
      <c r="AA67" s="2">
        <f t="shared" ref="AA67:AA130" si="18">MONTH(B67)</f>
        <v>4</v>
      </c>
      <c r="AB67" s="2">
        <f t="shared" ref="AB67:AB130" si="19">YEAR(B67)</f>
        <v>2024</v>
      </c>
      <c r="AC67" s="2" t="str">
        <f t="shared" ref="AC67:AC130" si="20">IF(COUNTIF(A:A, A67) &gt; 1, "Conflicting Duplicate Order ID",
 IF(OR(G67="Unknown", ISBLANK(G67)), "Missing region",
 IF(OR(M67="Unknown", ISBLANK(M67)), "Missing ship_mode",
 IF(OR(ISBLANK(B67), ISBLANK(C67)), "Missing Date",
 IF(OR(ISTEXT(B67), ISTEXT(C67)), "Text Value Not Recognized as Date",
 IF(C67 &lt; B67, "Invalid shipping record",
 IF(P67 &lt; 0, "Invalid",
 IF(P67 &gt; 0.7, "Invalid",
 "Valid"))))))))</f>
        <v>Valid</v>
      </c>
      <c r="AD67" s="2">
        <f t="shared" ref="AD67:AD130" si="21">IF(ABS(Q67 - W67) &gt; 0.01, 1, 0)</f>
        <v>0</v>
      </c>
      <c r="AE67" s="2">
        <f t="shared" ref="AE67:AE130" si="22">IF(ABS(S67 - X67) &gt; 0.01, 1, 0)</f>
        <v>0</v>
      </c>
      <c r="AH67" t="str">
        <f t="shared" si="13"/>
        <v>Mira Das</v>
      </c>
      <c r="AI67" t="str">
        <f t="shared" si="13"/>
        <v>Home Office</v>
      </c>
      <c r="AJ67" t="str">
        <f t="shared" si="13"/>
        <v>West</v>
      </c>
      <c r="AK67" t="str">
        <f t="shared" si="13"/>
        <v>Maharashtra</v>
      </c>
      <c r="AL67" t="str">
        <f t="shared" si="12"/>
        <v>Mumbai</v>
      </c>
      <c r="AM67" t="str">
        <f t="shared" si="12"/>
        <v>Office Supplies</v>
      </c>
      <c r="AN67" t="str">
        <f t="shared" si="12"/>
        <v>Paper</v>
      </c>
      <c r="AO67" t="str">
        <f t="shared" ref="AO67:AO130" si="23">PROPER(TRIM(M67))</f>
        <v>Second Class</v>
      </c>
      <c r="AP67" t="str">
        <f t="shared" ref="AP67:AQ130" si="24">PROPER(TRIM(T67))</f>
        <v>Paid</v>
      </c>
      <c r="AQ67" t="str">
        <f t="shared" si="24"/>
        <v>Completed</v>
      </c>
    </row>
    <row r="68" spans="1:43">
      <c r="A68" t="s">
        <v>418</v>
      </c>
      <c r="B68" s="3">
        <v>45897</v>
      </c>
      <c r="C68" s="3">
        <v>45901</v>
      </c>
      <c r="D68" t="s">
        <v>419</v>
      </c>
      <c r="E68" t="s">
        <v>108</v>
      </c>
      <c r="F68" t="s">
        <v>122</v>
      </c>
      <c r="G68" t="s">
        <v>140</v>
      </c>
      <c r="H68" t="s">
        <v>357</v>
      </c>
      <c r="I68" t="s">
        <v>358</v>
      </c>
      <c r="J68" t="s">
        <v>160</v>
      </c>
      <c r="K68" t="s">
        <v>161</v>
      </c>
      <c r="L68" t="s">
        <v>420</v>
      </c>
      <c r="M68" t="s">
        <v>129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117</v>
      </c>
      <c r="U68" t="s">
        <v>118</v>
      </c>
      <c r="V68" s="2">
        <f t="shared" si="14"/>
        <v>0.05</v>
      </c>
      <c r="W68" s="2">
        <f t="shared" si="15"/>
        <v>7032.1089999999995</v>
      </c>
      <c r="X68" s="2">
        <f>W68-R68</f>
        <v>2421.7689999999993</v>
      </c>
      <c r="Y68" s="2">
        <f t="shared" si="16"/>
        <v>0.34438729547565311</v>
      </c>
      <c r="Z68" s="2">
        <f t="shared" si="17"/>
        <v>4</v>
      </c>
      <c r="AA68" s="2">
        <f t="shared" si="18"/>
        <v>8</v>
      </c>
      <c r="AB68" s="2">
        <f t="shared" si="19"/>
        <v>2025</v>
      </c>
      <c r="AC68" s="2" t="str">
        <f t="shared" si="20"/>
        <v>Valid</v>
      </c>
      <c r="AD68" s="2">
        <f t="shared" si="21"/>
        <v>0</v>
      </c>
      <c r="AE68" s="2">
        <f t="shared" si="22"/>
        <v>0</v>
      </c>
      <c r="AH68" t="str">
        <f t="shared" si="13"/>
        <v>Karan Malhotra</v>
      </c>
      <c r="AI68" t="str">
        <f t="shared" si="13"/>
        <v>Small Business</v>
      </c>
      <c r="AJ68" t="str">
        <f t="shared" si="13"/>
        <v>South</v>
      </c>
      <c r="AK68" t="str">
        <f t="shared" si="13"/>
        <v>Tamil Nadu</v>
      </c>
      <c r="AL68" t="str">
        <f t="shared" si="12"/>
        <v>Chennai</v>
      </c>
      <c r="AM68" t="str">
        <f t="shared" si="12"/>
        <v>Technology</v>
      </c>
      <c r="AN68" t="str">
        <f t="shared" si="12"/>
        <v>Accessories</v>
      </c>
      <c r="AO68" t="str">
        <f t="shared" si="23"/>
        <v>Same Day</v>
      </c>
      <c r="AP68" t="str">
        <f t="shared" si="24"/>
        <v>Paid</v>
      </c>
      <c r="AQ68" t="str">
        <f t="shared" si="24"/>
        <v>Completed</v>
      </c>
    </row>
    <row r="69" spans="1:43">
      <c r="A69" t="s">
        <v>421</v>
      </c>
      <c r="B69" s="3">
        <v>45691</v>
      </c>
      <c r="C69" s="3">
        <v>45840</v>
      </c>
      <c r="D69" t="s">
        <v>422</v>
      </c>
      <c r="E69" t="s">
        <v>375</v>
      </c>
      <c r="F69" t="s">
        <v>109</v>
      </c>
      <c r="G69" t="s">
        <v>110</v>
      </c>
      <c r="H69" t="s">
        <v>344</v>
      </c>
      <c r="I69" t="s">
        <v>345</v>
      </c>
      <c r="J69" t="s">
        <v>113</v>
      </c>
      <c r="K69" t="s">
        <v>114</v>
      </c>
      <c r="L69" t="s">
        <v>423</v>
      </c>
      <c r="M69" t="s">
        <v>135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117</v>
      </c>
      <c r="U69" t="s">
        <v>118</v>
      </c>
      <c r="V69" s="2">
        <f t="shared" si="14"/>
        <v>0.05</v>
      </c>
      <c r="W69" s="2">
        <f t="shared" si="15"/>
        <v>24002.111000000001</v>
      </c>
      <c r="X69" s="2">
        <f>W69-R69</f>
        <v>5294.5410000000011</v>
      </c>
      <c r="Y69" s="2">
        <f t="shared" si="16"/>
        <v>0.2205864725815159</v>
      </c>
      <c r="Z69" s="2">
        <f t="shared" si="17"/>
        <v>149</v>
      </c>
      <c r="AA69" s="2">
        <f t="shared" si="18"/>
        <v>2</v>
      </c>
      <c r="AB69" s="2">
        <f t="shared" si="19"/>
        <v>2025</v>
      </c>
      <c r="AC69" s="2" t="str">
        <f t="shared" si="20"/>
        <v>Valid</v>
      </c>
      <c r="AD69" s="2">
        <f t="shared" si="21"/>
        <v>0</v>
      </c>
      <c r="AE69" s="2">
        <f t="shared" si="22"/>
        <v>0</v>
      </c>
      <c r="AH69" t="str">
        <f t="shared" si="13"/>
        <v>Kabir Singh</v>
      </c>
      <c r="AI69" t="str">
        <f t="shared" si="13"/>
        <v>Consumer</v>
      </c>
      <c r="AJ69" t="str">
        <f t="shared" si="13"/>
        <v>North</v>
      </c>
      <c r="AK69" t="str">
        <f t="shared" si="13"/>
        <v>Haryana</v>
      </c>
      <c r="AL69" t="str">
        <f t="shared" si="12"/>
        <v>Gurugram</v>
      </c>
      <c r="AM69" t="str">
        <f t="shared" si="12"/>
        <v>Office Supplies</v>
      </c>
      <c r="AN69" t="str">
        <f t="shared" si="12"/>
        <v>Paper</v>
      </c>
      <c r="AO69" t="str">
        <f t="shared" si="23"/>
        <v>First Class</v>
      </c>
      <c r="AP69" t="str">
        <f t="shared" si="24"/>
        <v>Paid</v>
      </c>
      <c r="AQ69" t="str">
        <f t="shared" si="24"/>
        <v>Completed</v>
      </c>
    </row>
    <row r="70" spans="1:43">
      <c r="A70" t="s">
        <v>424</v>
      </c>
      <c r="B70" s="3">
        <v>45606</v>
      </c>
      <c r="C70" s="3">
        <v>45609</v>
      </c>
      <c r="D70" t="s">
        <v>425</v>
      </c>
      <c r="E70" t="s">
        <v>132</v>
      </c>
      <c r="F70" t="s">
        <v>177</v>
      </c>
      <c r="G70" t="s">
        <v>123</v>
      </c>
      <c r="H70" t="s">
        <v>335</v>
      </c>
      <c r="I70" t="s">
        <v>336</v>
      </c>
      <c r="J70" t="s">
        <v>113</v>
      </c>
      <c r="K70" t="s">
        <v>213</v>
      </c>
      <c r="L70" t="s">
        <v>426</v>
      </c>
      <c r="M70" t="s">
        <v>116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248</v>
      </c>
      <c r="U70" t="s">
        <v>190</v>
      </c>
      <c r="V70" s="2">
        <f t="shared" si="14"/>
        <v>0</v>
      </c>
      <c r="W70" s="2">
        <f t="shared" si="15"/>
        <v>19900.079999999998</v>
      </c>
      <c r="X70" s="2">
        <f>W70-R70</f>
        <v>8937.4199999999983</v>
      </c>
      <c r="Y70" s="2">
        <f t="shared" si="16"/>
        <v>0.44911477742803041</v>
      </c>
      <c r="Z70" s="2">
        <f t="shared" si="17"/>
        <v>3</v>
      </c>
      <c r="AA70" s="2">
        <f t="shared" si="18"/>
        <v>11</v>
      </c>
      <c r="AB70" s="2">
        <f t="shared" si="19"/>
        <v>2024</v>
      </c>
      <c r="AC70" s="2" t="str">
        <f t="shared" si="20"/>
        <v>Valid</v>
      </c>
      <c r="AD70" s="2">
        <f t="shared" si="21"/>
        <v>0</v>
      </c>
      <c r="AE70" s="2">
        <f t="shared" si="22"/>
        <v>0</v>
      </c>
      <c r="AH70" t="str">
        <f t="shared" si="13"/>
        <v>Isha Nair</v>
      </c>
      <c r="AI70" t="str">
        <f t="shared" si="13"/>
        <v>Corporate</v>
      </c>
      <c r="AJ70" t="str">
        <f t="shared" si="13"/>
        <v>East</v>
      </c>
      <c r="AK70" t="str">
        <f t="shared" si="13"/>
        <v>Jharkhand</v>
      </c>
      <c r="AL70" t="str">
        <f t="shared" si="12"/>
        <v>Ranchi</v>
      </c>
      <c r="AM70" t="str">
        <f t="shared" si="12"/>
        <v>Office Supplies</v>
      </c>
      <c r="AN70" t="str">
        <f t="shared" si="12"/>
        <v>Storage</v>
      </c>
      <c r="AO70" t="str">
        <f t="shared" si="23"/>
        <v>Second Class</v>
      </c>
      <c r="AP70" t="str">
        <f t="shared" si="24"/>
        <v>Failed</v>
      </c>
      <c r="AQ70" t="str">
        <f t="shared" si="24"/>
        <v>Returned</v>
      </c>
    </row>
    <row r="71" spans="1:43">
      <c r="A71" t="s">
        <v>427</v>
      </c>
      <c r="B71" s="3">
        <v>45391</v>
      </c>
      <c r="C71" s="3">
        <v>45396</v>
      </c>
      <c r="D71" t="s">
        <v>428</v>
      </c>
      <c r="E71" t="s">
        <v>165</v>
      </c>
      <c r="F71" t="s">
        <v>122</v>
      </c>
      <c r="G71" t="s">
        <v>149</v>
      </c>
      <c r="H71" t="s">
        <v>276</v>
      </c>
      <c r="I71" t="s">
        <v>277</v>
      </c>
      <c r="J71" t="s">
        <v>160</v>
      </c>
      <c r="K71" t="s">
        <v>385</v>
      </c>
      <c r="L71" t="s">
        <v>429</v>
      </c>
      <c r="M71" t="s">
        <v>129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189</v>
      </c>
      <c r="U71" t="s">
        <v>190</v>
      </c>
      <c r="V71" s="2">
        <f t="shared" si="14"/>
        <v>0.1</v>
      </c>
      <c r="W71" s="2">
        <f t="shared" si="15"/>
        <v>21527.667000000001</v>
      </c>
      <c r="X71" s="2">
        <f>W71-R71</f>
        <v>3240.0869999999995</v>
      </c>
      <c r="Y71" s="2">
        <f t="shared" si="16"/>
        <v>0.15050804158202555</v>
      </c>
      <c r="Z71" s="2">
        <f t="shared" si="17"/>
        <v>5</v>
      </c>
      <c r="AA71" s="2">
        <f t="shared" si="18"/>
        <v>4</v>
      </c>
      <c r="AB71" s="2">
        <f t="shared" si="19"/>
        <v>2024</v>
      </c>
      <c r="AC71" s="2" t="str">
        <f t="shared" si="20"/>
        <v>Valid</v>
      </c>
      <c r="AD71" s="2">
        <f t="shared" si="21"/>
        <v>0</v>
      </c>
      <c r="AE71" s="2">
        <f t="shared" si="22"/>
        <v>0</v>
      </c>
      <c r="AH71" t="str">
        <f t="shared" si="13"/>
        <v>Neha Gupta</v>
      </c>
      <c r="AI71" t="str">
        <f t="shared" si="13"/>
        <v>Small Business</v>
      </c>
      <c r="AJ71" t="str">
        <f t="shared" si="13"/>
        <v>West</v>
      </c>
      <c r="AK71" t="str">
        <f t="shared" si="13"/>
        <v>Gujarat</v>
      </c>
      <c r="AL71" t="str">
        <f t="shared" si="12"/>
        <v>Ahmedabad</v>
      </c>
      <c r="AM71" t="str">
        <f t="shared" si="12"/>
        <v>Technology</v>
      </c>
      <c r="AN71" t="str">
        <f t="shared" si="12"/>
        <v>Machines</v>
      </c>
      <c r="AO71" t="str">
        <f t="shared" si="23"/>
        <v>Same Day</v>
      </c>
      <c r="AP71" t="str">
        <f t="shared" si="24"/>
        <v>Refunded</v>
      </c>
      <c r="AQ71" t="str">
        <f t="shared" si="24"/>
        <v>Returned</v>
      </c>
    </row>
    <row r="72" spans="1:43">
      <c r="A72" t="s">
        <v>430</v>
      </c>
      <c r="B72" s="3">
        <v>45891</v>
      </c>
      <c r="C72" s="3">
        <v>45896</v>
      </c>
      <c r="D72" t="s">
        <v>431</v>
      </c>
      <c r="E72" t="s">
        <v>108</v>
      </c>
      <c r="F72" t="s">
        <v>177</v>
      </c>
      <c r="G72" t="s">
        <v>140</v>
      </c>
      <c r="H72" t="s">
        <v>171</v>
      </c>
      <c r="I72" t="s">
        <v>172</v>
      </c>
      <c r="J72" t="s">
        <v>160</v>
      </c>
      <c r="K72" t="s">
        <v>266</v>
      </c>
      <c r="L72" t="s">
        <v>432</v>
      </c>
      <c r="M72" t="s">
        <v>135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117</v>
      </c>
      <c r="U72" t="s">
        <v>118</v>
      </c>
      <c r="V72" s="2">
        <f t="shared" si="14"/>
        <v>0.15</v>
      </c>
      <c r="W72" s="2">
        <f t="shared" si="15"/>
        <v>1539.979</v>
      </c>
      <c r="X72" s="2">
        <f>W72-R72</f>
        <v>469.779</v>
      </c>
      <c r="Y72" s="2">
        <f t="shared" si="16"/>
        <v>0.30505545854846072</v>
      </c>
      <c r="Z72" s="2">
        <f t="shared" si="17"/>
        <v>5</v>
      </c>
      <c r="AA72" s="2">
        <f t="shared" si="18"/>
        <v>8</v>
      </c>
      <c r="AB72" s="2">
        <f t="shared" si="19"/>
        <v>2025</v>
      </c>
      <c r="AC72" s="2" t="str">
        <f t="shared" si="20"/>
        <v>Valid</v>
      </c>
      <c r="AD72" s="2">
        <f t="shared" si="21"/>
        <v>0</v>
      </c>
      <c r="AE72" s="2">
        <f t="shared" si="22"/>
        <v>0</v>
      </c>
      <c r="AH72" t="str">
        <f t="shared" si="13"/>
        <v>Karan Malhotra</v>
      </c>
      <c r="AI72" t="str">
        <f t="shared" si="13"/>
        <v>Corporate</v>
      </c>
      <c r="AJ72" t="str">
        <f t="shared" si="13"/>
        <v>South</v>
      </c>
      <c r="AK72" t="str">
        <f t="shared" si="13"/>
        <v>Andhra Pradesh</v>
      </c>
      <c r="AL72" t="str">
        <f t="shared" si="12"/>
        <v>Vijayawada</v>
      </c>
      <c r="AM72" t="str">
        <f t="shared" si="12"/>
        <v>Technology</v>
      </c>
      <c r="AN72" t="str">
        <f t="shared" si="12"/>
        <v>Phones</v>
      </c>
      <c r="AO72" t="str">
        <f t="shared" si="23"/>
        <v>First Class</v>
      </c>
      <c r="AP72" t="str">
        <f t="shared" si="24"/>
        <v>Paid</v>
      </c>
      <c r="AQ72" t="str">
        <f t="shared" si="24"/>
        <v>Completed</v>
      </c>
    </row>
    <row r="73" spans="1:43">
      <c r="A73" t="s">
        <v>433</v>
      </c>
      <c r="B73" s="3">
        <v>45763</v>
      </c>
      <c r="C73" s="3">
        <v>45770</v>
      </c>
      <c r="D73" t="s">
        <v>434</v>
      </c>
      <c r="E73" t="s">
        <v>121</v>
      </c>
      <c r="F73" t="s">
        <v>122</v>
      </c>
      <c r="G73" t="s">
        <v>149</v>
      </c>
      <c r="H73" t="s">
        <v>287</v>
      </c>
      <c r="I73" t="s">
        <v>288</v>
      </c>
      <c r="J73" t="s">
        <v>160</v>
      </c>
      <c r="K73" t="s">
        <v>385</v>
      </c>
      <c r="L73" t="s">
        <v>435</v>
      </c>
      <c r="M73" t="s">
        <v>145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117</v>
      </c>
      <c r="U73" t="s">
        <v>118</v>
      </c>
      <c r="V73" s="2">
        <f t="shared" si="14"/>
        <v>0.1</v>
      </c>
      <c r="W73" s="2">
        <f t="shared" si="15"/>
        <v>10947.528</v>
      </c>
      <c r="X73" s="2">
        <f>W73-R73</f>
        <v>4500.1680000000006</v>
      </c>
      <c r="Y73" s="2">
        <f t="shared" si="16"/>
        <v>0.41106704636882413</v>
      </c>
      <c r="Z73" s="2">
        <f t="shared" si="17"/>
        <v>7</v>
      </c>
      <c r="AA73" s="2">
        <f t="shared" si="18"/>
        <v>4</v>
      </c>
      <c r="AB73" s="2">
        <f t="shared" si="19"/>
        <v>2025</v>
      </c>
      <c r="AC73" s="2" t="str">
        <f t="shared" si="20"/>
        <v>Valid</v>
      </c>
      <c r="AD73" s="2">
        <f t="shared" si="21"/>
        <v>0</v>
      </c>
      <c r="AE73" s="2">
        <f t="shared" si="22"/>
        <v>0</v>
      </c>
      <c r="AH73" t="str">
        <f t="shared" si="13"/>
        <v>Mira Das</v>
      </c>
      <c r="AI73" t="str">
        <f t="shared" si="13"/>
        <v>Small Business</v>
      </c>
      <c r="AJ73" t="str">
        <f t="shared" si="13"/>
        <v>West</v>
      </c>
      <c r="AK73" t="str">
        <f t="shared" si="13"/>
        <v>Goa</v>
      </c>
      <c r="AL73" t="str">
        <f t="shared" si="12"/>
        <v>Panaji</v>
      </c>
      <c r="AM73" t="str">
        <f t="shared" si="12"/>
        <v>Technology</v>
      </c>
      <c r="AN73" t="str">
        <f t="shared" si="12"/>
        <v>Machines</v>
      </c>
      <c r="AO73" t="str">
        <f t="shared" si="23"/>
        <v>Standard Class</v>
      </c>
      <c r="AP73" t="str">
        <f t="shared" si="24"/>
        <v>Paid</v>
      </c>
      <c r="AQ73" t="str">
        <f t="shared" si="24"/>
        <v>Completed</v>
      </c>
    </row>
    <row r="74" spans="1:43">
      <c r="A74" t="s">
        <v>436</v>
      </c>
      <c r="B74" s="3">
        <v>45333</v>
      </c>
      <c r="C74" s="3">
        <v>45329</v>
      </c>
      <c r="D74" t="s">
        <v>437</v>
      </c>
      <c r="E74" t="s">
        <v>108</v>
      </c>
      <c r="F74" t="s">
        <v>182</v>
      </c>
      <c r="G74" t="s">
        <v>140</v>
      </c>
      <c r="H74" t="s">
        <v>357</v>
      </c>
      <c r="I74" t="s">
        <v>358</v>
      </c>
      <c r="J74" t="s">
        <v>126</v>
      </c>
      <c r="K74" t="s">
        <v>127</v>
      </c>
      <c r="L74" t="s">
        <v>438</v>
      </c>
      <c r="M74" t="s">
        <v>135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117</v>
      </c>
      <c r="U74" t="s">
        <v>118</v>
      </c>
      <c r="V74" s="2">
        <f t="shared" si="14"/>
        <v>0.15</v>
      </c>
      <c r="W74" s="2">
        <f t="shared" si="15"/>
        <v>13610.446499999998</v>
      </c>
      <c r="X74" s="2">
        <f>W74-R74</f>
        <v>3571.3964999999989</v>
      </c>
      <c r="Y74" s="2">
        <f t="shared" si="16"/>
        <v>0.26240112695788487</v>
      </c>
      <c r="Z74" s="2">
        <f t="shared" si="17"/>
        <v>-4</v>
      </c>
      <c r="AA74" s="2">
        <f t="shared" si="18"/>
        <v>2</v>
      </c>
      <c r="AB74" s="2">
        <f t="shared" si="19"/>
        <v>2024</v>
      </c>
      <c r="AC74" s="2" t="str">
        <f t="shared" si="20"/>
        <v>Invalid shipping record</v>
      </c>
      <c r="AD74" s="2">
        <f t="shared" si="21"/>
        <v>0</v>
      </c>
      <c r="AE74" s="2">
        <f t="shared" si="22"/>
        <v>0</v>
      </c>
      <c r="AH74" t="str">
        <f t="shared" si="13"/>
        <v>Karan Malhotra</v>
      </c>
      <c r="AI74" t="str">
        <f t="shared" si="13"/>
        <v>Home Office</v>
      </c>
      <c r="AJ74" t="str">
        <f t="shared" si="13"/>
        <v>South</v>
      </c>
      <c r="AK74" t="str">
        <f t="shared" si="13"/>
        <v>Tamil Nadu</v>
      </c>
      <c r="AL74" t="str">
        <f t="shared" si="12"/>
        <v>Chennai</v>
      </c>
      <c r="AM74" t="str">
        <f t="shared" si="12"/>
        <v>Furniture</v>
      </c>
      <c r="AN74" t="str">
        <f t="shared" si="12"/>
        <v>Tables</v>
      </c>
      <c r="AO74" t="str">
        <f t="shared" si="23"/>
        <v>First Class</v>
      </c>
      <c r="AP74" t="str">
        <f t="shared" si="24"/>
        <v>Paid</v>
      </c>
      <c r="AQ74" t="str">
        <f t="shared" si="24"/>
        <v>Completed</v>
      </c>
    </row>
    <row r="75" spans="1:43">
      <c r="A75" t="s">
        <v>439</v>
      </c>
      <c r="B75" s="3" t="s">
        <v>440</v>
      </c>
      <c r="C75" s="3">
        <v>45750</v>
      </c>
      <c r="D75" t="s">
        <v>441</v>
      </c>
      <c r="E75" t="s">
        <v>222</v>
      </c>
      <c r="F75" t="s">
        <v>177</v>
      </c>
      <c r="G75" t="s">
        <v>123</v>
      </c>
      <c r="H75" t="s">
        <v>186</v>
      </c>
      <c r="I75" t="s">
        <v>187</v>
      </c>
      <c r="J75" t="s">
        <v>126</v>
      </c>
      <c r="K75" t="s">
        <v>252</v>
      </c>
      <c r="L75" t="s">
        <v>442</v>
      </c>
      <c r="M75" t="s">
        <v>135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117</v>
      </c>
      <c r="U75" t="s">
        <v>118</v>
      </c>
      <c r="V75" s="2">
        <f t="shared" si="14"/>
        <v>0</v>
      </c>
      <c r="W75" s="2">
        <f t="shared" si="15"/>
        <v>7128.7</v>
      </c>
      <c r="X75" s="2">
        <f>W75-R75</f>
        <v>2746.55</v>
      </c>
      <c r="Y75" s="2">
        <f t="shared" si="16"/>
        <v>0.38528062620113068</v>
      </c>
      <c r="Z75" s="2" t="str">
        <f t="shared" si="17"/>
        <v/>
      </c>
      <c r="AA75" s="2" t="e">
        <f t="shared" si="18"/>
        <v>#VALUE!</v>
      </c>
      <c r="AB75" s="2" t="e">
        <f t="shared" si="19"/>
        <v>#VALUE!</v>
      </c>
      <c r="AC75" s="2" t="str">
        <f t="shared" si="20"/>
        <v>Text Value Not Recognized as Date</v>
      </c>
      <c r="AD75" s="2">
        <f t="shared" si="21"/>
        <v>0</v>
      </c>
      <c r="AE75" s="2">
        <f t="shared" si="22"/>
        <v>0</v>
      </c>
      <c r="AH75" t="str">
        <f t="shared" si="13"/>
        <v>Sneha Kapoor</v>
      </c>
      <c r="AI75" t="str">
        <f t="shared" si="13"/>
        <v>Corporate</v>
      </c>
      <c r="AJ75" t="str">
        <f t="shared" si="13"/>
        <v>East</v>
      </c>
      <c r="AK75" t="str">
        <f t="shared" si="13"/>
        <v>West Bengal</v>
      </c>
      <c r="AL75" t="str">
        <f t="shared" si="12"/>
        <v>Kolkata</v>
      </c>
      <c r="AM75" t="str">
        <f t="shared" si="12"/>
        <v>Furniture</v>
      </c>
      <c r="AN75" t="str">
        <f t="shared" si="12"/>
        <v>Bookcases</v>
      </c>
      <c r="AO75" t="str">
        <f t="shared" si="23"/>
        <v>First Class</v>
      </c>
      <c r="AP75" t="str">
        <f t="shared" si="24"/>
        <v>Paid</v>
      </c>
      <c r="AQ75" t="str">
        <f t="shared" si="24"/>
        <v>Completed</v>
      </c>
    </row>
    <row r="76" spans="1:43">
      <c r="A76" t="s">
        <v>443</v>
      </c>
      <c r="B76" s="3">
        <v>45715</v>
      </c>
      <c r="C76" s="3">
        <v>45717</v>
      </c>
      <c r="D76" t="s">
        <v>444</v>
      </c>
      <c r="E76" t="s">
        <v>157</v>
      </c>
      <c r="F76" t="s">
        <v>122</v>
      </c>
      <c r="G76" t="s">
        <v>123</v>
      </c>
      <c r="H76" t="s">
        <v>186</v>
      </c>
      <c r="I76" t="s">
        <v>187</v>
      </c>
      <c r="J76" t="s">
        <v>126</v>
      </c>
      <c r="K76" t="s">
        <v>152</v>
      </c>
      <c r="L76" t="s">
        <v>445</v>
      </c>
      <c r="M76" t="s">
        <v>145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117</v>
      </c>
      <c r="U76" t="s">
        <v>118</v>
      </c>
      <c r="V76" s="2">
        <f t="shared" si="14"/>
        <v>0</v>
      </c>
      <c r="W76" s="2">
        <f t="shared" si="15"/>
        <v>3309.84</v>
      </c>
      <c r="X76" s="2">
        <f>W76-R76</f>
        <v>638.76000000000022</v>
      </c>
      <c r="Y76" s="2">
        <f t="shared" si="16"/>
        <v>0.19298818069755644</v>
      </c>
      <c r="Z76" s="2">
        <f t="shared" si="17"/>
        <v>2</v>
      </c>
      <c r="AA76" s="2">
        <f t="shared" si="18"/>
        <v>2</v>
      </c>
      <c r="AB76" s="2">
        <f t="shared" si="19"/>
        <v>2025</v>
      </c>
      <c r="AC76" s="2" t="str">
        <f t="shared" si="20"/>
        <v>Valid</v>
      </c>
      <c r="AD76" s="2">
        <f t="shared" si="21"/>
        <v>0</v>
      </c>
      <c r="AE76" s="2">
        <f t="shared" si="22"/>
        <v>0</v>
      </c>
      <c r="AH76" t="str">
        <f t="shared" si="13"/>
        <v>Vikram Iyer</v>
      </c>
      <c r="AI76" t="str">
        <f t="shared" si="13"/>
        <v>Small Business</v>
      </c>
      <c r="AJ76" t="str">
        <f t="shared" si="13"/>
        <v>East</v>
      </c>
      <c r="AK76" t="str">
        <f t="shared" si="13"/>
        <v>West Bengal</v>
      </c>
      <c r="AL76" t="str">
        <f t="shared" si="12"/>
        <v>Kolkata</v>
      </c>
      <c r="AM76" t="str">
        <f t="shared" si="12"/>
        <v>Furniture</v>
      </c>
      <c r="AN76" t="str">
        <f t="shared" si="12"/>
        <v>Chairs</v>
      </c>
      <c r="AO76" t="str">
        <f t="shared" si="23"/>
        <v>Standard Class</v>
      </c>
      <c r="AP76" t="str">
        <f t="shared" si="24"/>
        <v>Paid</v>
      </c>
      <c r="AQ76" t="str">
        <f t="shared" si="24"/>
        <v>Completed</v>
      </c>
    </row>
    <row r="77" spans="1:43">
      <c r="A77" t="s">
        <v>446</v>
      </c>
      <c r="B77" s="3" t="s">
        <v>447</v>
      </c>
      <c r="C77" s="3">
        <v>45896</v>
      </c>
      <c r="D77" t="s">
        <v>448</v>
      </c>
      <c r="E77" t="s">
        <v>203</v>
      </c>
      <c r="F77" t="s">
        <v>122</v>
      </c>
      <c r="G77" t="s">
        <v>123</v>
      </c>
      <c r="H77" t="s">
        <v>124</v>
      </c>
      <c r="I77" t="s">
        <v>125</v>
      </c>
      <c r="J77" t="s">
        <v>113</v>
      </c>
      <c r="K77" t="s">
        <v>178</v>
      </c>
      <c r="L77" t="s">
        <v>449</v>
      </c>
      <c r="M77" t="s">
        <v>135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117</v>
      </c>
      <c r="U77" t="s">
        <v>118</v>
      </c>
      <c r="V77" s="2">
        <f t="shared" si="14"/>
        <v>0.2</v>
      </c>
      <c r="W77" s="2">
        <f t="shared" si="15"/>
        <v>7907.5680000000011</v>
      </c>
      <c r="X77" s="2">
        <f>W77-R77</f>
        <v>2516.3880000000008</v>
      </c>
      <c r="Y77" s="2">
        <f t="shared" si="16"/>
        <v>0.31822527482533197</v>
      </c>
      <c r="Z77" s="2" t="str">
        <f t="shared" si="17"/>
        <v/>
      </c>
      <c r="AA77" s="2" t="e">
        <f t="shared" si="18"/>
        <v>#VALUE!</v>
      </c>
      <c r="AB77" s="2" t="e">
        <f t="shared" si="19"/>
        <v>#VALUE!</v>
      </c>
      <c r="AC77" s="2" t="str">
        <f t="shared" si="20"/>
        <v>Text Value Not Recognized as Date</v>
      </c>
      <c r="AD77" s="2">
        <f t="shared" si="21"/>
        <v>0</v>
      </c>
      <c r="AE77" s="2">
        <f t="shared" si="22"/>
        <v>0</v>
      </c>
      <c r="AH77" t="str">
        <f t="shared" si="13"/>
        <v>Priya Menon</v>
      </c>
      <c r="AI77" t="str">
        <f t="shared" si="13"/>
        <v>Small Business</v>
      </c>
      <c r="AJ77" t="str">
        <f t="shared" si="13"/>
        <v>East</v>
      </c>
      <c r="AK77" t="str">
        <f t="shared" si="13"/>
        <v>Odisha</v>
      </c>
      <c r="AL77" t="str">
        <f t="shared" si="12"/>
        <v>Bhubaneswar</v>
      </c>
      <c r="AM77" t="str">
        <f t="shared" si="12"/>
        <v>Office Supplies</v>
      </c>
      <c r="AN77" t="str">
        <f t="shared" si="12"/>
        <v>Labels</v>
      </c>
      <c r="AO77" t="str">
        <f t="shared" si="23"/>
        <v>First Class</v>
      </c>
      <c r="AP77" t="str">
        <f t="shared" si="24"/>
        <v>Paid</v>
      </c>
      <c r="AQ77" t="str">
        <f t="shared" si="24"/>
        <v>Completed</v>
      </c>
    </row>
    <row r="78" spans="1:43">
      <c r="A78" t="s">
        <v>450</v>
      </c>
      <c r="B78" s="3">
        <v>45599</v>
      </c>
      <c r="C78" s="3">
        <v>45607</v>
      </c>
      <c r="D78" t="s">
        <v>451</v>
      </c>
      <c r="E78" t="s">
        <v>148</v>
      </c>
      <c r="F78" t="s">
        <v>177</v>
      </c>
      <c r="G78" t="s">
        <v>123</v>
      </c>
      <c r="H78" t="s">
        <v>335</v>
      </c>
      <c r="I78" t="s">
        <v>336</v>
      </c>
      <c r="J78" t="s">
        <v>113</v>
      </c>
      <c r="K78" t="s">
        <v>178</v>
      </c>
      <c r="L78" t="s">
        <v>452</v>
      </c>
      <c r="M78" t="s">
        <v>116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117</v>
      </c>
      <c r="U78" t="s">
        <v>118</v>
      </c>
      <c r="V78" s="2">
        <f t="shared" si="14"/>
        <v>0</v>
      </c>
      <c r="W78" s="2">
        <f t="shared" si="15"/>
        <v>10218.81</v>
      </c>
      <c r="X78" s="2">
        <f>W78-R78</f>
        <v>2601.8399999999992</v>
      </c>
      <c r="Y78" s="2">
        <f t="shared" si="16"/>
        <v>0.2546128169522674</v>
      </c>
      <c r="Z78" s="2">
        <f t="shared" si="17"/>
        <v>8</v>
      </c>
      <c r="AA78" s="2">
        <f t="shared" si="18"/>
        <v>11</v>
      </c>
      <c r="AB78" s="2">
        <f t="shared" si="19"/>
        <v>2024</v>
      </c>
      <c r="AC78" s="2" t="str">
        <f t="shared" si="20"/>
        <v>Valid</v>
      </c>
      <c r="AD78" s="2">
        <f t="shared" si="21"/>
        <v>0</v>
      </c>
      <c r="AE78" s="2">
        <f t="shared" si="22"/>
        <v>0</v>
      </c>
      <c r="AH78" t="str">
        <f t="shared" si="13"/>
        <v>Ananya Rao</v>
      </c>
      <c r="AI78" t="str">
        <f t="shared" si="13"/>
        <v>Corporate</v>
      </c>
      <c r="AJ78" t="str">
        <f t="shared" si="13"/>
        <v>East</v>
      </c>
      <c r="AK78" t="str">
        <f t="shared" si="13"/>
        <v>Jharkhand</v>
      </c>
      <c r="AL78" t="str">
        <f t="shared" si="12"/>
        <v>Ranchi</v>
      </c>
      <c r="AM78" t="str">
        <f t="shared" si="12"/>
        <v>Office Supplies</v>
      </c>
      <c r="AN78" t="str">
        <f t="shared" si="12"/>
        <v>Labels</v>
      </c>
      <c r="AO78" t="str">
        <f t="shared" si="23"/>
        <v>Second Class</v>
      </c>
      <c r="AP78" t="str">
        <f t="shared" si="24"/>
        <v>Paid</v>
      </c>
      <c r="AQ78" t="str">
        <f t="shared" si="24"/>
        <v>Completed</v>
      </c>
    </row>
    <row r="79" spans="1:43">
      <c r="A79" t="s">
        <v>453</v>
      </c>
      <c r="B79" s="3">
        <v>45846</v>
      </c>
      <c r="C79" s="3">
        <v>45998</v>
      </c>
      <c r="D79" t="s">
        <v>454</v>
      </c>
      <c r="E79" t="s">
        <v>232</v>
      </c>
      <c r="F79" t="s">
        <v>182</v>
      </c>
      <c r="G79" t="s">
        <v>110</v>
      </c>
      <c r="H79" t="s">
        <v>227</v>
      </c>
      <c r="I79" t="s">
        <v>228</v>
      </c>
      <c r="J79" t="s">
        <v>126</v>
      </c>
      <c r="K79" t="s">
        <v>143</v>
      </c>
      <c r="L79" t="s">
        <v>455</v>
      </c>
      <c r="M79" t="s">
        <v>145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189</v>
      </c>
      <c r="U79" t="s">
        <v>44</v>
      </c>
      <c r="V79" s="2">
        <f t="shared" si="14"/>
        <v>0.15</v>
      </c>
      <c r="W79" s="2">
        <f t="shared" si="15"/>
        <v>2194.87</v>
      </c>
      <c r="X79" s="2">
        <f>W79-R79</f>
        <v>971.69999999999982</v>
      </c>
      <c r="Y79" s="2">
        <f t="shared" si="16"/>
        <v>0.44271414707932583</v>
      </c>
      <c r="Z79" s="2">
        <f t="shared" si="17"/>
        <v>152</v>
      </c>
      <c r="AA79" s="2">
        <f t="shared" si="18"/>
        <v>7</v>
      </c>
      <c r="AB79" s="2">
        <f t="shared" si="19"/>
        <v>2025</v>
      </c>
      <c r="AC79" s="2" t="str">
        <f t="shared" si="20"/>
        <v>Valid</v>
      </c>
      <c r="AD79" s="2">
        <f t="shared" si="21"/>
        <v>0</v>
      </c>
      <c r="AE79" s="2">
        <f t="shared" si="22"/>
        <v>0</v>
      </c>
      <c r="AH79" t="str">
        <f t="shared" si="13"/>
        <v>Rohan Mehta</v>
      </c>
      <c r="AI79" t="str">
        <f t="shared" si="13"/>
        <v>Home Office</v>
      </c>
      <c r="AJ79" t="str">
        <f t="shared" si="13"/>
        <v>North</v>
      </c>
      <c r="AK79" t="str">
        <f t="shared" si="13"/>
        <v>Uttar Pradesh</v>
      </c>
      <c r="AL79" t="str">
        <f t="shared" si="12"/>
        <v>Noida</v>
      </c>
      <c r="AM79" t="str">
        <f t="shared" si="12"/>
        <v>Furniture</v>
      </c>
      <c r="AN79" t="str">
        <f t="shared" si="12"/>
        <v>Furnishings</v>
      </c>
      <c r="AO79" t="str">
        <f t="shared" si="23"/>
        <v>Standard Class</v>
      </c>
      <c r="AP79" t="str">
        <f t="shared" si="24"/>
        <v>Refunded</v>
      </c>
      <c r="AQ79" t="str">
        <f t="shared" si="24"/>
        <v>Cancelled</v>
      </c>
    </row>
    <row r="80" spans="1:43">
      <c r="A80" t="s">
        <v>456</v>
      </c>
      <c r="B80" s="3">
        <v>45854</v>
      </c>
      <c r="C80" s="3" t="s">
        <v>457</v>
      </c>
      <c r="D80" t="s">
        <v>458</v>
      </c>
      <c r="E80" t="s">
        <v>222</v>
      </c>
      <c r="F80" t="s">
        <v>177</v>
      </c>
      <c r="G80" t="s">
        <v>123</v>
      </c>
      <c r="H80" t="s">
        <v>186</v>
      </c>
      <c r="I80" t="s">
        <v>187</v>
      </c>
      <c r="J80" t="s">
        <v>126</v>
      </c>
      <c r="K80" t="s">
        <v>127</v>
      </c>
      <c r="L80" t="s">
        <v>459</v>
      </c>
      <c r="M80" t="s">
        <v>135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117</v>
      </c>
      <c r="U80" t="s">
        <v>118</v>
      </c>
      <c r="V80" s="2">
        <f t="shared" si="14"/>
        <v>0.15</v>
      </c>
      <c r="W80" s="2">
        <f t="shared" si="15"/>
        <v>9050.4175000000014</v>
      </c>
      <c r="X80" s="2">
        <f>W80-R80</f>
        <v>2271.567500000001</v>
      </c>
      <c r="Y80" s="2">
        <f t="shared" si="16"/>
        <v>0.25099035486484472</v>
      </c>
      <c r="Z80" s="2" t="str">
        <f t="shared" si="17"/>
        <v/>
      </c>
      <c r="AA80" s="2">
        <f t="shared" si="18"/>
        <v>7</v>
      </c>
      <c r="AB80" s="2">
        <f t="shared" si="19"/>
        <v>2025</v>
      </c>
      <c r="AC80" s="2" t="str">
        <f t="shared" si="20"/>
        <v>Text Value Not Recognized as Date</v>
      </c>
      <c r="AD80" s="2">
        <f t="shared" si="21"/>
        <v>0</v>
      </c>
      <c r="AE80" s="2">
        <f t="shared" si="22"/>
        <v>0</v>
      </c>
      <c r="AH80" t="str">
        <f t="shared" si="13"/>
        <v>Sneha Kapoor</v>
      </c>
      <c r="AI80" t="str">
        <f t="shared" si="13"/>
        <v>Corporate</v>
      </c>
      <c r="AJ80" t="str">
        <f t="shared" si="13"/>
        <v>East</v>
      </c>
      <c r="AK80" t="str">
        <f t="shared" si="13"/>
        <v>West Bengal</v>
      </c>
      <c r="AL80" t="str">
        <f t="shared" si="12"/>
        <v>Kolkata</v>
      </c>
      <c r="AM80" t="str">
        <f t="shared" si="12"/>
        <v>Furniture</v>
      </c>
      <c r="AN80" t="str">
        <f t="shared" si="12"/>
        <v>Tables</v>
      </c>
      <c r="AO80" t="str">
        <f t="shared" si="23"/>
        <v>First Class</v>
      </c>
      <c r="AP80" t="str">
        <f t="shared" si="24"/>
        <v>Paid</v>
      </c>
      <c r="AQ80" t="str">
        <f t="shared" si="24"/>
        <v>Completed</v>
      </c>
    </row>
    <row r="81" spans="1:43">
      <c r="A81" t="s">
        <v>460</v>
      </c>
      <c r="B81" s="3">
        <v>45927</v>
      </c>
      <c r="C81" s="3">
        <v>45933</v>
      </c>
      <c r="D81" t="s">
        <v>461</v>
      </c>
      <c r="E81" t="s">
        <v>256</v>
      </c>
      <c r="F81" t="s">
        <v>182</v>
      </c>
      <c r="G81" t="s">
        <v>140</v>
      </c>
      <c r="H81" t="s">
        <v>357</v>
      </c>
      <c r="I81" t="s">
        <v>358</v>
      </c>
      <c r="J81" t="s">
        <v>126</v>
      </c>
      <c r="K81" t="s">
        <v>152</v>
      </c>
      <c r="L81" t="s">
        <v>462</v>
      </c>
      <c r="M81" t="s">
        <v>129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117</v>
      </c>
      <c r="U81" t="s">
        <v>118</v>
      </c>
      <c r="V81" s="2">
        <f t="shared" si="14"/>
        <v>0.1</v>
      </c>
      <c r="W81" s="2">
        <f t="shared" si="15"/>
        <v>33465.312000000005</v>
      </c>
      <c r="X81" s="2">
        <f>W81-R81</f>
        <v>8684.052000000007</v>
      </c>
      <c r="Y81" s="2">
        <f t="shared" si="16"/>
        <v>0.25949412932411942</v>
      </c>
      <c r="Z81" s="2">
        <f t="shared" si="17"/>
        <v>6</v>
      </c>
      <c r="AA81" s="2">
        <f t="shared" si="18"/>
        <v>9</v>
      </c>
      <c r="AB81" s="2">
        <f t="shared" si="19"/>
        <v>2025</v>
      </c>
      <c r="AC81" s="2" t="str">
        <f t="shared" si="20"/>
        <v>Valid</v>
      </c>
      <c r="AD81" s="2">
        <f t="shared" si="21"/>
        <v>0</v>
      </c>
      <c r="AE81" s="2">
        <f t="shared" si="22"/>
        <v>0</v>
      </c>
      <c r="AH81" t="str">
        <f t="shared" si="13"/>
        <v>Diya Patel</v>
      </c>
      <c r="AI81" t="str">
        <f t="shared" si="13"/>
        <v>Home Office</v>
      </c>
      <c r="AJ81" t="str">
        <f t="shared" si="13"/>
        <v>South</v>
      </c>
      <c r="AK81" t="str">
        <f t="shared" si="13"/>
        <v>Tamil Nadu</v>
      </c>
      <c r="AL81" t="str">
        <f t="shared" si="12"/>
        <v>Chennai</v>
      </c>
      <c r="AM81" t="str">
        <f t="shared" si="12"/>
        <v>Furniture</v>
      </c>
      <c r="AN81" t="str">
        <f t="shared" si="12"/>
        <v>Chairs</v>
      </c>
      <c r="AO81" t="str">
        <f t="shared" si="23"/>
        <v>Same Day</v>
      </c>
      <c r="AP81" t="str">
        <f t="shared" si="24"/>
        <v>Paid</v>
      </c>
      <c r="AQ81" t="str">
        <f t="shared" si="24"/>
        <v>Completed</v>
      </c>
    </row>
    <row r="82" spans="1:43">
      <c r="A82" t="s">
        <v>463</v>
      </c>
      <c r="B82" s="3">
        <v>45514</v>
      </c>
      <c r="C82" s="3">
        <v>45518</v>
      </c>
      <c r="D82" t="s">
        <v>464</v>
      </c>
      <c r="E82" t="s">
        <v>218</v>
      </c>
      <c r="F82" t="s">
        <v>122</v>
      </c>
      <c r="G82" t="s">
        <v>110</v>
      </c>
      <c r="H82" t="s">
        <v>465</v>
      </c>
      <c r="I82" t="s">
        <v>466</v>
      </c>
      <c r="J82" t="s">
        <v>113</v>
      </c>
      <c r="K82" t="s">
        <v>213</v>
      </c>
      <c r="L82" t="s">
        <v>467</v>
      </c>
      <c r="M82" t="s">
        <v>116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199</v>
      </c>
      <c r="U82" t="s">
        <v>190</v>
      </c>
      <c r="V82" s="2">
        <f t="shared" si="14"/>
        <v>0.1</v>
      </c>
      <c r="W82" s="2">
        <f t="shared" si="15"/>
        <v>4256.3519999999999</v>
      </c>
      <c r="X82" s="2">
        <f>W82-R82</f>
        <v>1761.0219999999999</v>
      </c>
      <c r="Y82" s="2">
        <f t="shared" si="16"/>
        <v>0.41373974708858663</v>
      </c>
      <c r="Z82" s="2">
        <f t="shared" si="17"/>
        <v>4</v>
      </c>
      <c r="AA82" s="2">
        <f t="shared" si="18"/>
        <v>8</v>
      </c>
      <c r="AB82" s="2">
        <f t="shared" si="19"/>
        <v>2024</v>
      </c>
      <c r="AC82" s="2" t="str">
        <f t="shared" si="20"/>
        <v>Valid</v>
      </c>
      <c r="AD82" s="2">
        <f t="shared" si="21"/>
        <v>0</v>
      </c>
      <c r="AE82" s="2">
        <f t="shared" si="22"/>
        <v>0</v>
      </c>
      <c r="AH82" t="str">
        <f t="shared" si="13"/>
        <v>Aarav Sharma</v>
      </c>
      <c r="AI82" t="str">
        <f t="shared" si="13"/>
        <v>Small Business</v>
      </c>
      <c r="AJ82" t="str">
        <f t="shared" si="13"/>
        <v>North</v>
      </c>
      <c r="AK82" t="str">
        <f t="shared" si="13"/>
        <v>Delhi</v>
      </c>
      <c r="AL82" t="str">
        <f t="shared" si="12"/>
        <v>New Delhi</v>
      </c>
      <c r="AM82" t="str">
        <f t="shared" si="12"/>
        <v>Office Supplies</v>
      </c>
      <c r="AN82" t="str">
        <f t="shared" si="12"/>
        <v>Storage</v>
      </c>
      <c r="AO82" t="str">
        <f t="shared" si="23"/>
        <v>Second Class</v>
      </c>
      <c r="AP82" t="str">
        <f t="shared" si="24"/>
        <v>Pending</v>
      </c>
      <c r="AQ82" t="str">
        <f t="shared" si="24"/>
        <v>Returned</v>
      </c>
    </row>
    <row r="83" spans="1:43">
      <c r="A83" t="s">
        <v>468</v>
      </c>
      <c r="B83" s="3">
        <v>45732</v>
      </c>
      <c r="C83" s="3" t="s">
        <v>469</v>
      </c>
      <c r="D83" t="s">
        <v>470</v>
      </c>
      <c r="E83" t="s">
        <v>108</v>
      </c>
      <c r="F83" t="s">
        <v>182</v>
      </c>
      <c r="G83" t="s">
        <v>149</v>
      </c>
      <c r="H83" t="s">
        <v>287</v>
      </c>
      <c r="I83" t="s">
        <v>288</v>
      </c>
      <c r="J83" t="s">
        <v>113</v>
      </c>
      <c r="K83" t="s">
        <v>178</v>
      </c>
      <c r="L83" t="s">
        <v>471</v>
      </c>
      <c r="M83" t="s">
        <v>129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117</v>
      </c>
      <c r="U83" t="s">
        <v>118</v>
      </c>
      <c r="V83" s="2">
        <f t="shared" si="14"/>
        <v>0</v>
      </c>
      <c r="W83" s="2">
        <f t="shared" si="15"/>
        <v>5525.7300000000005</v>
      </c>
      <c r="X83" s="2">
        <f>W83-R83</f>
        <v>2432.3100000000004</v>
      </c>
      <c r="Y83" s="2">
        <f t="shared" si="16"/>
        <v>0.44017894468242208</v>
      </c>
      <c r="Z83" s="2" t="str">
        <f t="shared" si="17"/>
        <v/>
      </c>
      <c r="AA83" s="2">
        <f t="shared" si="18"/>
        <v>3</v>
      </c>
      <c r="AB83" s="2">
        <f t="shared" si="19"/>
        <v>2025</v>
      </c>
      <c r="AC83" s="2" t="str">
        <f t="shared" si="20"/>
        <v>Text Value Not Recognized as Date</v>
      </c>
      <c r="AD83" s="2">
        <f t="shared" si="21"/>
        <v>0</v>
      </c>
      <c r="AE83" s="2">
        <f t="shared" si="22"/>
        <v>0</v>
      </c>
      <c r="AH83" t="str">
        <f t="shared" si="13"/>
        <v>Karan Malhotra</v>
      </c>
      <c r="AI83" t="str">
        <f t="shared" si="13"/>
        <v>Home Office</v>
      </c>
      <c r="AJ83" t="str">
        <f t="shared" si="13"/>
        <v>West</v>
      </c>
      <c r="AK83" t="str">
        <f t="shared" si="13"/>
        <v>Goa</v>
      </c>
      <c r="AL83" t="str">
        <f t="shared" si="12"/>
        <v>Panaji</v>
      </c>
      <c r="AM83" t="str">
        <f t="shared" si="12"/>
        <v>Office Supplies</v>
      </c>
      <c r="AN83" t="str">
        <f t="shared" si="12"/>
        <v>Labels</v>
      </c>
      <c r="AO83" t="str">
        <f t="shared" si="23"/>
        <v>Same Day</v>
      </c>
      <c r="AP83" t="str">
        <f t="shared" si="24"/>
        <v>Paid</v>
      </c>
      <c r="AQ83" t="str">
        <f t="shared" si="24"/>
        <v>Completed</v>
      </c>
    </row>
    <row r="84" spans="1:43">
      <c r="A84" t="s">
        <v>472</v>
      </c>
      <c r="B84" s="3">
        <v>45507</v>
      </c>
      <c r="C84" s="3">
        <v>45390</v>
      </c>
      <c r="D84" t="s">
        <v>473</v>
      </c>
      <c r="E84" t="s">
        <v>139</v>
      </c>
      <c r="F84" t="s">
        <v>109</v>
      </c>
      <c r="G84" t="s">
        <v>110</v>
      </c>
      <c r="H84" t="s">
        <v>227</v>
      </c>
      <c r="I84" t="s">
        <v>228</v>
      </c>
      <c r="J84" t="s">
        <v>160</v>
      </c>
      <c r="K84" t="s">
        <v>166</v>
      </c>
      <c r="L84" t="s">
        <v>474</v>
      </c>
      <c r="M84" t="s">
        <v>116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248</v>
      </c>
      <c r="U84" t="s">
        <v>190</v>
      </c>
      <c r="V84" s="2">
        <f t="shared" si="14"/>
        <v>0</v>
      </c>
      <c r="W84" s="2">
        <f t="shared" si="15"/>
        <v>6010.38</v>
      </c>
      <c r="X84" s="2">
        <f>W84-R84</f>
        <v>2247.5300000000002</v>
      </c>
      <c r="Y84" s="2">
        <f t="shared" si="16"/>
        <v>0.37394141468592673</v>
      </c>
      <c r="Z84" s="2">
        <f t="shared" si="17"/>
        <v>-117</v>
      </c>
      <c r="AA84" s="2">
        <f t="shared" si="18"/>
        <v>8</v>
      </c>
      <c r="AB84" s="2">
        <f t="shared" si="19"/>
        <v>2024</v>
      </c>
      <c r="AC84" s="2" t="str">
        <f t="shared" si="20"/>
        <v>Invalid shipping record</v>
      </c>
      <c r="AD84" s="2">
        <f t="shared" si="21"/>
        <v>0</v>
      </c>
      <c r="AE84" s="2">
        <f t="shared" si="22"/>
        <v>0</v>
      </c>
      <c r="AH84" t="str">
        <f t="shared" si="13"/>
        <v>Arjun Bose</v>
      </c>
      <c r="AI84" t="str">
        <f t="shared" si="13"/>
        <v>Consumer</v>
      </c>
      <c r="AJ84" t="str">
        <f t="shared" si="13"/>
        <v>North</v>
      </c>
      <c r="AK84" t="str">
        <f t="shared" si="13"/>
        <v>Uttar Pradesh</v>
      </c>
      <c r="AL84" t="str">
        <f t="shared" si="12"/>
        <v>Noida</v>
      </c>
      <c r="AM84" t="str">
        <f t="shared" si="12"/>
        <v>Technology</v>
      </c>
      <c r="AN84" t="str">
        <f t="shared" si="12"/>
        <v>Copiers</v>
      </c>
      <c r="AO84" t="str">
        <f t="shared" si="23"/>
        <v>Second Class</v>
      </c>
      <c r="AP84" t="str">
        <f t="shared" si="24"/>
        <v>Failed</v>
      </c>
      <c r="AQ84" t="str">
        <f t="shared" si="24"/>
        <v>Returned</v>
      </c>
    </row>
    <row r="85" spans="1:43">
      <c r="A85" t="s">
        <v>475</v>
      </c>
      <c r="B85" s="3" t="s">
        <v>373</v>
      </c>
      <c r="C85" s="3" t="s">
        <v>476</v>
      </c>
      <c r="D85" t="s">
        <v>477</v>
      </c>
      <c r="E85" t="s">
        <v>176</v>
      </c>
      <c r="F85" t="s">
        <v>182</v>
      </c>
      <c r="G85" t="s">
        <v>149</v>
      </c>
      <c r="H85" t="s">
        <v>150</v>
      </c>
      <c r="I85" t="s">
        <v>151</v>
      </c>
      <c r="J85" t="s">
        <v>126</v>
      </c>
      <c r="K85" t="s">
        <v>127</v>
      </c>
      <c r="L85" t="s">
        <v>478</v>
      </c>
      <c r="M85" t="s">
        <v>116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117</v>
      </c>
      <c r="U85" t="s">
        <v>118</v>
      </c>
      <c r="V85" s="2">
        <f t="shared" si="14"/>
        <v>0.2</v>
      </c>
      <c r="W85" s="2">
        <f t="shared" si="15"/>
        <v>948.52800000000013</v>
      </c>
      <c r="X85" s="2">
        <f>W85-R85</f>
        <v>273.90800000000013</v>
      </c>
      <c r="Y85" s="2">
        <f t="shared" si="16"/>
        <v>0.28877165460587362</v>
      </c>
      <c r="Z85" s="2" t="str">
        <f t="shared" si="17"/>
        <v/>
      </c>
      <c r="AA85" s="2" t="e">
        <f t="shared" si="18"/>
        <v>#VALUE!</v>
      </c>
      <c r="AB85" s="2" t="e">
        <f t="shared" si="19"/>
        <v>#VALUE!</v>
      </c>
      <c r="AC85" s="2" t="str">
        <f t="shared" si="20"/>
        <v>Text Value Not Recognized as Date</v>
      </c>
      <c r="AD85" s="2">
        <f t="shared" si="21"/>
        <v>0</v>
      </c>
      <c r="AE85" s="2">
        <f t="shared" si="22"/>
        <v>0</v>
      </c>
      <c r="AH85" t="str">
        <f t="shared" si="13"/>
        <v>Aditi Sen</v>
      </c>
      <c r="AI85" t="str">
        <f t="shared" si="13"/>
        <v>Home Office</v>
      </c>
      <c r="AJ85" t="str">
        <f t="shared" si="13"/>
        <v>West</v>
      </c>
      <c r="AK85" t="str">
        <f t="shared" si="13"/>
        <v>Maharashtra</v>
      </c>
      <c r="AL85" t="str">
        <f t="shared" si="12"/>
        <v>Mumbai</v>
      </c>
      <c r="AM85" t="str">
        <f t="shared" si="12"/>
        <v>Furniture</v>
      </c>
      <c r="AN85" t="str">
        <f t="shared" si="12"/>
        <v>Tables</v>
      </c>
      <c r="AO85" t="str">
        <f t="shared" si="23"/>
        <v>Second Class</v>
      </c>
      <c r="AP85" t="str">
        <f t="shared" si="24"/>
        <v>Paid</v>
      </c>
      <c r="AQ85" t="str">
        <f t="shared" si="24"/>
        <v>Completed</v>
      </c>
    </row>
    <row r="86" spans="1:43">
      <c r="A86" t="s">
        <v>479</v>
      </c>
      <c r="B86" s="3">
        <v>45566</v>
      </c>
      <c r="C86" s="3">
        <v>45568</v>
      </c>
      <c r="D86" t="s">
        <v>480</v>
      </c>
      <c r="E86" t="s">
        <v>232</v>
      </c>
      <c r="F86" t="s">
        <v>177</v>
      </c>
      <c r="G86" t="s">
        <v>140</v>
      </c>
      <c r="H86" t="s">
        <v>357</v>
      </c>
      <c r="I86" t="s">
        <v>358</v>
      </c>
      <c r="J86" t="s">
        <v>160</v>
      </c>
      <c r="K86" t="s">
        <v>266</v>
      </c>
      <c r="L86" t="s">
        <v>481</v>
      </c>
      <c r="M86" t="s">
        <v>116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117</v>
      </c>
      <c r="U86" t="s">
        <v>118</v>
      </c>
      <c r="V86" s="2">
        <f t="shared" si="14"/>
        <v>0.2</v>
      </c>
      <c r="W86" s="2">
        <f t="shared" si="15"/>
        <v>2737.3440000000001</v>
      </c>
      <c r="X86" s="2">
        <f>W86-R86</f>
        <v>651.904</v>
      </c>
      <c r="Y86" s="2">
        <f t="shared" si="16"/>
        <v>0.23815201889130486</v>
      </c>
      <c r="Z86" s="2">
        <f t="shared" si="17"/>
        <v>2</v>
      </c>
      <c r="AA86" s="2">
        <f t="shared" si="18"/>
        <v>10</v>
      </c>
      <c r="AB86" s="2">
        <f t="shared" si="19"/>
        <v>2024</v>
      </c>
      <c r="AC86" s="2" t="str">
        <f t="shared" si="20"/>
        <v>Valid</v>
      </c>
      <c r="AD86" s="2">
        <f t="shared" si="21"/>
        <v>0</v>
      </c>
      <c r="AE86" s="2">
        <f t="shared" si="22"/>
        <v>0</v>
      </c>
      <c r="AH86" t="str">
        <f t="shared" si="13"/>
        <v>Rohan Mehta</v>
      </c>
      <c r="AI86" t="str">
        <f t="shared" si="13"/>
        <v>Corporate</v>
      </c>
      <c r="AJ86" t="str">
        <f t="shared" si="13"/>
        <v>South</v>
      </c>
      <c r="AK86" t="str">
        <f t="shared" si="13"/>
        <v>Tamil Nadu</v>
      </c>
      <c r="AL86" t="str">
        <f t="shared" si="12"/>
        <v>Chennai</v>
      </c>
      <c r="AM86" t="str">
        <f t="shared" si="12"/>
        <v>Technology</v>
      </c>
      <c r="AN86" t="str">
        <f t="shared" si="12"/>
        <v>Phones</v>
      </c>
      <c r="AO86" t="str">
        <f t="shared" si="23"/>
        <v>Second Class</v>
      </c>
      <c r="AP86" t="str">
        <f t="shared" si="24"/>
        <v>Paid</v>
      </c>
      <c r="AQ86" t="str">
        <f t="shared" si="24"/>
        <v>Completed</v>
      </c>
    </row>
    <row r="87" spans="1:43">
      <c r="A87" t="s">
        <v>482</v>
      </c>
      <c r="B87" s="3">
        <v>45503</v>
      </c>
      <c r="C87" s="3">
        <v>45509</v>
      </c>
      <c r="D87" t="s">
        <v>483</v>
      </c>
      <c r="E87" t="s">
        <v>375</v>
      </c>
      <c r="F87" t="s">
        <v>177</v>
      </c>
      <c r="G87" t="s">
        <v>110</v>
      </c>
      <c r="H87" t="s">
        <v>465</v>
      </c>
      <c r="I87" t="s">
        <v>466</v>
      </c>
      <c r="J87" t="s">
        <v>113</v>
      </c>
      <c r="K87" t="s">
        <v>246</v>
      </c>
      <c r="L87" t="s">
        <v>484</v>
      </c>
      <c r="M87" t="s">
        <v>145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117</v>
      </c>
      <c r="U87" t="s">
        <v>44</v>
      </c>
      <c r="V87" s="2">
        <f t="shared" si="14"/>
        <v>0</v>
      </c>
      <c r="W87" s="2">
        <f t="shared" si="15"/>
        <v>608.64</v>
      </c>
      <c r="X87" s="2">
        <f>W87-R87</f>
        <v>264.64999999999998</v>
      </c>
      <c r="Y87" s="2">
        <f t="shared" si="16"/>
        <v>0.43482189800210302</v>
      </c>
      <c r="Z87" s="2">
        <f t="shared" si="17"/>
        <v>6</v>
      </c>
      <c r="AA87" s="2">
        <f t="shared" si="18"/>
        <v>7</v>
      </c>
      <c r="AB87" s="2">
        <f t="shared" si="19"/>
        <v>2024</v>
      </c>
      <c r="AC87" s="2" t="str">
        <f t="shared" si="20"/>
        <v>Valid</v>
      </c>
      <c r="AD87" s="2">
        <f t="shared" si="21"/>
        <v>0</v>
      </c>
      <c r="AE87" s="2">
        <f t="shared" si="22"/>
        <v>0</v>
      </c>
      <c r="AH87" t="str">
        <f t="shared" si="13"/>
        <v>Kabir Singh</v>
      </c>
      <c r="AI87" t="str">
        <f t="shared" si="13"/>
        <v>Corporate</v>
      </c>
      <c r="AJ87" t="str">
        <f t="shared" si="13"/>
        <v>North</v>
      </c>
      <c r="AK87" t="str">
        <f t="shared" si="13"/>
        <v>Delhi</v>
      </c>
      <c r="AL87" t="str">
        <f t="shared" si="12"/>
        <v>New Delhi</v>
      </c>
      <c r="AM87" t="str">
        <f t="shared" si="12"/>
        <v>Office Supplies</v>
      </c>
      <c r="AN87" t="str">
        <f t="shared" si="12"/>
        <v>Binders</v>
      </c>
      <c r="AO87" t="str">
        <f t="shared" si="23"/>
        <v>Standard Class</v>
      </c>
      <c r="AP87" t="str">
        <f t="shared" si="24"/>
        <v>Paid</v>
      </c>
      <c r="AQ87" t="str">
        <f t="shared" si="24"/>
        <v>Cancelled</v>
      </c>
    </row>
    <row r="88" spans="1:43">
      <c r="A88" t="s">
        <v>485</v>
      </c>
      <c r="B88" s="3">
        <v>45474</v>
      </c>
      <c r="C88" s="3">
        <v>45474</v>
      </c>
      <c r="D88" t="s">
        <v>486</v>
      </c>
      <c r="E88" t="s">
        <v>148</v>
      </c>
      <c r="F88" t="s">
        <v>122</v>
      </c>
      <c r="G88" t="s">
        <v>110</v>
      </c>
      <c r="H88" t="s">
        <v>465</v>
      </c>
      <c r="I88" t="s">
        <v>466</v>
      </c>
      <c r="J88" t="s">
        <v>160</v>
      </c>
      <c r="K88" t="s">
        <v>166</v>
      </c>
      <c r="L88" t="s">
        <v>487</v>
      </c>
      <c r="M88" t="s">
        <v>116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189</v>
      </c>
      <c r="U88" t="s">
        <v>44</v>
      </c>
      <c r="V88" s="2">
        <f t="shared" si="14"/>
        <v>0.1</v>
      </c>
      <c r="W88" s="2">
        <f t="shared" si="15"/>
        <v>2390.2560000000003</v>
      </c>
      <c r="X88" s="2">
        <f>W88-R88</f>
        <v>894.31600000000026</v>
      </c>
      <c r="Y88" s="2">
        <f t="shared" si="16"/>
        <v>0.37415071858411825</v>
      </c>
      <c r="Z88" s="2">
        <f t="shared" si="17"/>
        <v>0</v>
      </c>
      <c r="AA88" s="2">
        <f t="shared" si="18"/>
        <v>7</v>
      </c>
      <c r="AB88" s="2">
        <f t="shared" si="19"/>
        <v>2024</v>
      </c>
      <c r="AC88" s="2" t="str">
        <f t="shared" si="20"/>
        <v>Valid</v>
      </c>
      <c r="AD88" s="2">
        <f t="shared" si="21"/>
        <v>0</v>
      </c>
      <c r="AE88" s="2">
        <f t="shared" si="22"/>
        <v>0</v>
      </c>
      <c r="AH88" t="str">
        <f t="shared" si="13"/>
        <v>Ananya Rao</v>
      </c>
      <c r="AI88" t="str">
        <f t="shared" si="13"/>
        <v>Small Business</v>
      </c>
      <c r="AJ88" t="str">
        <f t="shared" si="13"/>
        <v>North</v>
      </c>
      <c r="AK88" t="str">
        <f t="shared" si="13"/>
        <v>Delhi</v>
      </c>
      <c r="AL88" t="str">
        <f t="shared" si="12"/>
        <v>New Delhi</v>
      </c>
      <c r="AM88" t="str">
        <f t="shared" si="12"/>
        <v>Technology</v>
      </c>
      <c r="AN88" t="str">
        <f t="shared" si="12"/>
        <v>Copiers</v>
      </c>
      <c r="AO88" t="str">
        <f t="shared" si="23"/>
        <v>Second Class</v>
      </c>
      <c r="AP88" t="str">
        <f t="shared" si="24"/>
        <v>Refunded</v>
      </c>
      <c r="AQ88" t="str">
        <f t="shared" si="24"/>
        <v>Cancelled</v>
      </c>
    </row>
    <row r="89" spans="1:43">
      <c r="A89" t="s">
        <v>488</v>
      </c>
      <c r="B89" s="3">
        <v>45330</v>
      </c>
      <c r="C89" s="3">
        <v>45507</v>
      </c>
      <c r="D89" t="s">
        <v>489</v>
      </c>
      <c r="E89" t="s">
        <v>157</v>
      </c>
      <c r="F89" t="s">
        <v>109</v>
      </c>
      <c r="G89" t="s">
        <v>123</v>
      </c>
      <c r="H89" t="s">
        <v>260</v>
      </c>
      <c r="I89" t="s">
        <v>261</v>
      </c>
      <c r="J89" t="s">
        <v>113</v>
      </c>
      <c r="K89" t="s">
        <v>246</v>
      </c>
      <c r="L89" t="s">
        <v>490</v>
      </c>
      <c r="M89" t="s">
        <v>145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117</v>
      </c>
      <c r="U89" t="s">
        <v>118</v>
      </c>
      <c r="V89" s="2">
        <f t="shared" si="14"/>
        <v>0</v>
      </c>
      <c r="W89" s="2">
        <f t="shared" si="15"/>
        <v>23416.539999999997</v>
      </c>
      <c r="X89" s="2">
        <f>W89-R89</f>
        <v>7925.6499999999978</v>
      </c>
      <c r="Y89" s="2">
        <f t="shared" si="16"/>
        <v>0.33846375254414185</v>
      </c>
      <c r="Z89" s="2">
        <f t="shared" si="17"/>
        <v>177</v>
      </c>
      <c r="AA89" s="2">
        <f t="shared" si="18"/>
        <v>2</v>
      </c>
      <c r="AB89" s="2">
        <f t="shared" si="19"/>
        <v>2024</v>
      </c>
      <c r="AC89" s="2" t="str">
        <f t="shared" si="20"/>
        <v>Valid</v>
      </c>
      <c r="AD89" s="2">
        <f t="shared" si="21"/>
        <v>0</v>
      </c>
      <c r="AE89" s="2">
        <f t="shared" si="22"/>
        <v>0</v>
      </c>
      <c r="AH89" t="str">
        <f t="shared" si="13"/>
        <v>Vikram Iyer</v>
      </c>
      <c r="AI89" t="str">
        <f t="shared" si="13"/>
        <v>Consumer</v>
      </c>
      <c r="AJ89" t="str">
        <f t="shared" si="13"/>
        <v>East</v>
      </c>
      <c r="AK89" t="str">
        <f t="shared" si="13"/>
        <v>Assam</v>
      </c>
      <c r="AL89" t="str">
        <f t="shared" si="12"/>
        <v>Guwahati</v>
      </c>
      <c r="AM89" t="str">
        <f t="shared" si="12"/>
        <v>Office Supplies</v>
      </c>
      <c r="AN89" t="str">
        <f t="shared" si="12"/>
        <v>Binders</v>
      </c>
      <c r="AO89" t="str">
        <f t="shared" si="23"/>
        <v>Standard Class</v>
      </c>
      <c r="AP89" t="str">
        <f t="shared" si="24"/>
        <v>Paid</v>
      </c>
      <c r="AQ89" t="str">
        <f t="shared" si="24"/>
        <v>Completed</v>
      </c>
    </row>
    <row r="90" spans="1:43">
      <c r="A90" t="s">
        <v>491</v>
      </c>
      <c r="B90" s="3">
        <v>45375</v>
      </c>
      <c r="C90" s="3">
        <v>45378</v>
      </c>
      <c r="D90" t="s">
        <v>492</v>
      </c>
      <c r="E90" t="s">
        <v>232</v>
      </c>
      <c r="F90" t="s">
        <v>122</v>
      </c>
      <c r="G90" t="s">
        <v>149</v>
      </c>
      <c r="H90" t="s">
        <v>150</v>
      </c>
      <c r="I90" t="s">
        <v>151</v>
      </c>
      <c r="J90" t="s">
        <v>126</v>
      </c>
      <c r="K90" t="s">
        <v>252</v>
      </c>
      <c r="L90" t="s">
        <v>493</v>
      </c>
      <c r="M90" t="s">
        <v>145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117</v>
      </c>
      <c r="U90" t="s">
        <v>118</v>
      </c>
      <c r="V90" s="2">
        <f t="shared" si="14"/>
        <v>0.05</v>
      </c>
      <c r="W90" s="2">
        <f t="shared" si="15"/>
        <v>6241.0249999999996</v>
      </c>
      <c r="X90" s="2">
        <f>W90-R90</f>
        <v>895.14499999999953</v>
      </c>
      <c r="Y90" s="2">
        <f t="shared" si="16"/>
        <v>0.14342916427990587</v>
      </c>
      <c r="Z90" s="2">
        <f t="shared" si="17"/>
        <v>3</v>
      </c>
      <c r="AA90" s="2">
        <f t="shared" si="18"/>
        <v>3</v>
      </c>
      <c r="AB90" s="2">
        <f t="shared" si="19"/>
        <v>2024</v>
      </c>
      <c r="AC90" s="2" t="str">
        <f t="shared" si="20"/>
        <v>Valid</v>
      </c>
      <c r="AD90" s="2">
        <f t="shared" si="21"/>
        <v>0</v>
      </c>
      <c r="AE90" s="2">
        <f t="shared" si="22"/>
        <v>0</v>
      </c>
      <c r="AH90" t="str">
        <f t="shared" si="13"/>
        <v>Rohan Mehta</v>
      </c>
      <c r="AI90" t="str">
        <f t="shared" si="13"/>
        <v>Small Business</v>
      </c>
      <c r="AJ90" t="str">
        <f t="shared" si="13"/>
        <v>West</v>
      </c>
      <c r="AK90" t="str">
        <f t="shared" si="13"/>
        <v>Maharashtra</v>
      </c>
      <c r="AL90" t="str">
        <f t="shared" si="12"/>
        <v>Mumbai</v>
      </c>
      <c r="AM90" t="str">
        <f t="shared" si="12"/>
        <v>Furniture</v>
      </c>
      <c r="AN90" t="str">
        <f t="shared" si="12"/>
        <v>Bookcases</v>
      </c>
      <c r="AO90" t="str">
        <f t="shared" si="23"/>
        <v>Standard Class</v>
      </c>
      <c r="AP90" t="str">
        <f t="shared" si="24"/>
        <v>Paid</v>
      </c>
      <c r="AQ90" t="str">
        <f t="shared" si="24"/>
        <v>Completed</v>
      </c>
    </row>
    <row r="91" spans="1:43">
      <c r="A91" t="s">
        <v>494</v>
      </c>
      <c r="B91" s="3">
        <v>45540</v>
      </c>
      <c r="C91" s="3">
        <v>45540</v>
      </c>
      <c r="D91" t="s">
        <v>495</v>
      </c>
      <c r="E91" t="s">
        <v>375</v>
      </c>
      <c r="F91" t="s">
        <v>109</v>
      </c>
      <c r="G91" t="s">
        <v>140</v>
      </c>
      <c r="H91" t="s">
        <v>171</v>
      </c>
      <c r="I91" t="s">
        <v>172</v>
      </c>
      <c r="J91" t="s">
        <v>126</v>
      </c>
      <c r="K91" t="s">
        <v>252</v>
      </c>
      <c r="L91" t="s">
        <v>496</v>
      </c>
      <c r="M91" t="s">
        <v>145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199</v>
      </c>
      <c r="U91" t="s">
        <v>44</v>
      </c>
      <c r="V91" s="2">
        <f t="shared" si="14"/>
        <v>0.2</v>
      </c>
      <c r="W91" s="2">
        <f t="shared" si="15"/>
        <v>21062.104000000003</v>
      </c>
      <c r="X91" s="2">
        <f>W91-R91</f>
        <v>9004.9740000000038</v>
      </c>
      <c r="Y91" s="2">
        <f t="shared" si="16"/>
        <v>0.42754389589947911</v>
      </c>
      <c r="Z91" s="2">
        <f t="shared" si="17"/>
        <v>0</v>
      </c>
      <c r="AA91" s="2">
        <f t="shared" si="18"/>
        <v>9</v>
      </c>
      <c r="AB91" s="2">
        <f t="shared" si="19"/>
        <v>2024</v>
      </c>
      <c r="AC91" s="2" t="str">
        <f t="shared" si="20"/>
        <v>Valid</v>
      </c>
      <c r="AD91" s="2">
        <f t="shared" si="21"/>
        <v>0</v>
      </c>
      <c r="AE91" s="2">
        <f t="shared" si="22"/>
        <v>0</v>
      </c>
      <c r="AH91" t="str">
        <f t="shared" si="13"/>
        <v>Kabir Singh</v>
      </c>
      <c r="AI91" t="str">
        <f t="shared" si="13"/>
        <v>Consumer</v>
      </c>
      <c r="AJ91" t="str">
        <f t="shared" si="13"/>
        <v>South</v>
      </c>
      <c r="AK91" t="str">
        <f t="shared" si="13"/>
        <v>Andhra Pradesh</v>
      </c>
      <c r="AL91" t="str">
        <f t="shared" si="12"/>
        <v>Vijayawada</v>
      </c>
      <c r="AM91" t="str">
        <f t="shared" si="12"/>
        <v>Furniture</v>
      </c>
      <c r="AN91" t="str">
        <f t="shared" si="12"/>
        <v>Bookcases</v>
      </c>
      <c r="AO91" t="str">
        <f t="shared" si="23"/>
        <v>Standard Class</v>
      </c>
      <c r="AP91" t="str">
        <f t="shared" si="24"/>
        <v>Pending</v>
      </c>
      <c r="AQ91" t="str">
        <f t="shared" si="24"/>
        <v>Cancelled</v>
      </c>
    </row>
    <row r="92" spans="1:43">
      <c r="A92" t="s">
        <v>497</v>
      </c>
      <c r="B92" s="3">
        <v>45893</v>
      </c>
      <c r="C92" s="3">
        <v>45898</v>
      </c>
      <c r="D92" t="s">
        <v>498</v>
      </c>
      <c r="E92" t="s">
        <v>218</v>
      </c>
      <c r="F92" t="s">
        <v>122</v>
      </c>
      <c r="G92" t="s">
        <v>123</v>
      </c>
      <c r="H92" t="s">
        <v>237</v>
      </c>
      <c r="I92" t="s">
        <v>238</v>
      </c>
      <c r="J92" t="s">
        <v>160</v>
      </c>
      <c r="K92" t="s">
        <v>166</v>
      </c>
      <c r="L92" t="s">
        <v>499</v>
      </c>
      <c r="M92" t="s">
        <v>135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117</v>
      </c>
      <c r="U92" t="s">
        <v>118</v>
      </c>
      <c r="V92" s="2">
        <f t="shared" si="14"/>
        <v>0.15</v>
      </c>
      <c r="W92" s="2">
        <f t="shared" si="15"/>
        <v>9445.098</v>
      </c>
      <c r="X92" s="2">
        <f>W92-R92</f>
        <v>3858.8180000000002</v>
      </c>
      <c r="Y92" s="2">
        <f t="shared" si="16"/>
        <v>0.40855245758170006</v>
      </c>
      <c r="Z92" s="2">
        <f t="shared" si="17"/>
        <v>5</v>
      </c>
      <c r="AA92" s="2">
        <f t="shared" si="18"/>
        <v>8</v>
      </c>
      <c r="AB92" s="2">
        <f t="shared" si="19"/>
        <v>2025</v>
      </c>
      <c r="AC92" s="2" t="str">
        <f t="shared" si="20"/>
        <v>Conflicting Duplicate Order ID</v>
      </c>
      <c r="AD92" s="2">
        <f t="shared" si="21"/>
        <v>0</v>
      </c>
      <c r="AE92" s="2">
        <f t="shared" si="22"/>
        <v>0</v>
      </c>
      <c r="AH92" t="str">
        <f t="shared" si="13"/>
        <v>Aarav Sharma</v>
      </c>
      <c r="AI92" t="str">
        <f t="shared" si="13"/>
        <v>Small Business</v>
      </c>
      <c r="AJ92" t="str">
        <f t="shared" si="13"/>
        <v>East</v>
      </c>
      <c r="AK92" t="str">
        <f t="shared" si="13"/>
        <v>Bihar</v>
      </c>
      <c r="AL92" t="str">
        <f t="shared" si="12"/>
        <v>Patna</v>
      </c>
      <c r="AM92" t="str">
        <f t="shared" si="12"/>
        <v>Technology</v>
      </c>
      <c r="AN92" t="str">
        <f t="shared" si="12"/>
        <v>Copiers</v>
      </c>
      <c r="AO92" t="str">
        <f t="shared" si="23"/>
        <v>First Class</v>
      </c>
      <c r="AP92" t="str">
        <f t="shared" si="24"/>
        <v>Paid</v>
      </c>
      <c r="AQ92" t="str">
        <f t="shared" si="24"/>
        <v>Completed</v>
      </c>
    </row>
    <row r="93" spans="1:43">
      <c r="A93" t="s">
        <v>500</v>
      </c>
      <c r="B93" s="3">
        <v>45691</v>
      </c>
      <c r="C93" s="3">
        <v>45724</v>
      </c>
      <c r="D93" t="s">
        <v>501</v>
      </c>
      <c r="E93" t="s">
        <v>222</v>
      </c>
      <c r="F93" t="s">
        <v>177</v>
      </c>
      <c r="G93" t="s">
        <v>149</v>
      </c>
      <c r="H93" t="s">
        <v>158</v>
      </c>
      <c r="I93" t="s">
        <v>159</v>
      </c>
      <c r="J93" t="s">
        <v>160</v>
      </c>
      <c r="K93" t="s">
        <v>166</v>
      </c>
      <c r="L93" t="s">
        <v>502</v>
      </c>
      <c r="M93" t="s">
        <v>116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117</v>
      </c>
      <c r="U93" t="s">
        <v>118</v>
      </c>
      <c r="V93" s="2">
        <f t="shared" si="14"/>
        <v>0</v>
      </c>
      <c r="W93" s="2">
        <f t="shared" si="15"/>
        <v>2427.12</v>
      </c>
      <c r="X93" s="2">
        <f>W93-R93</f>
        <v>888.77</v>
      </c>
      <c r="Y93" s="2">
        <f t="shared" si="16"/>
        <v>0.36618296581957216</v>
      </c>
      <c r="Z93" s="2">
        <f t="shared" si="17"/>
        <v>33</v>
      </c>
      <c r="AA93" s="2">
        <f t="shared" si="18"/>
        <v>2</v>
      </c>
      <c r="AB93" s="2">
        <f t="shared" si="19"/>
        <v>2025</v>
      </c>
      <c r="AC93" s="2" t="str">
        <f t="shared" si="20"/>
        <v>Valid</v>
      </c>
      <c r="AD93" s="2">
        <f t="shared" si="21"/>
        <v>0</v>
      </c>
      <c r="AE93" s="2">
        <f t="shared" si="22"/>
        <v>1</v>
      </c>
      <c r="AH93" t="str">
        <f t="shared" si="13"/>
        <v>Sneha Kapoor</v>
      </c>
      <c r="AI93" t="str">
        <f t="shared" si="13"/>
        <v>Corporate</v>
      </c>
      <c r="AJ93" t="str">
        <f t="shared" si="13"/>
        <v>West</v>
      </c>
      <c r="AK93" t="str">
        <f t="shared" si="13"/>
        <v>Madhya Pradesh</v>
      </c>
      <c r="AL93" t="str">
        <f t="shared" si="12"/>
        <v>Indore</v>
      </c>
      <c r="AM93" t="str">
        <f t="shared" si="12"/>
        <v>Technology</v>
      </c>
      <c r="AN93" t="str">
        <f t="shared" si="12"/>
        <v>Copiers</v>
      </c>
      <c r="AO93" t="str">
        <f t="shared" si="23"/>
        <v>Second Class</v>
      </c>
      <c r="AP93" t="str">
        <f t="shared" si="24"/>
        <v>Paid</v>
      </c>
      <c r="AQ93" t="str">
        <f t="shared" si="24"/>
        <v>Completed</v>
      </c>
    </row>
    <row r="94" spans="1:43">
      <c r="A94" t="s">
        <v>503</v>
      </c>
      <c r="B94" s="3">
        <v>45680</v>
      </c>
      <c r="C94" s="3">
        <v>45683</v>
      </c>
      <c r="D94" t="s">
        <v>504</v>
      </c>
      <c r="E94" t="s">
        <v>218</v>
      </c>
      <c r="F94" t="s">
        <v>109</v>
      </c>
      <c r="G94" t="s">
        <v>149</v>
      </c>
      <c r="H94" t="s">
        <v>158</v>
      </c>
      <c r="I94" t="s">
        <v>159</v>
      </c>
      <c r="J94" t="s">
        <v>113</v>
      </c>
      <c r="K94" t="s">
        <v>114</v>
      </c>
      <c r="L94" t="s">
        <v>505</v>
      </c>
      <c r="M94" t="s">
        <v>145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117</v>
      </c>
      <c r="U94" t="s">
        <v>118</v>
      </c>
      <c r="V94" s="2">
        <f t="shared" si="14"/>
        <v>0.1</v>
      </c>
      <c r="W94" s="2">
        <f t="shared" si="15"/>
        <v>36111.906000000003</v>
      </c>
      <c r="X94" s="2">
        <f>W94-R94</f>
        <v>6917.4060000000027</v>
      </c>
      <c r="Y94" s="2">
        <f t="shared" si="16"/>
        <v>0.19155471882320479</v>
      </c>
      <c r="Z94" s="2">
        <f t="shared" si="17"/>
        <v>3</v>
      </c>
      <c r="AA94" s="2">
        <f t="shared" si="18"/>
        <v>1</v>
      </c>
      <c r="AB94" s="2">
        <f t="shared" si="19"/>
        <v>2025</v>
      </c>
      <c r="AC94" s="2" t="str">
        <f t="shared" si="20"/>
        <v>Valid</v>
      </c>
      <c r="AD94" s="2">
        <f t="shared" si="21"/>
        <v>0</v>
      </c>
      <c r="AE94" s="2">
        <f t="shared" si="22"/>
        <v>0</v>
      </c>
      <c r="AH94" t="str">
        <f t="shared" si="13"/>
        <v>Aarav Sharma</v>
      </c>
      <c r="AI94" t="str">
        <f t="shared" si="13"/>
        <v>Consumer</v>
      </c>
      <c r="AJ94" t="str">
        <f t="shared" si="13"/>
        <v>West</v>
      </c>
      <c r="AK94" t="str">
        <f t="shared" si="13"/>
        <v>Madhya Pradesh</v>
      </c>
      <c r="AL94" t="str">
        <f t="shared" si="12"/>
        <v>Indore</v>
      </c>
      <c r="AM94" t="str">
        <f t="shared" si="12"/>
        <v>Office Supplies</v>
      </c>
      <c r="AN94" t="str">
        <f t="shared" si="12"/>
        <v>Paper</v>
      </c>
      <c r="AO94" t="str">
        <f t="shared" si="23"/>
        <v>Standard Class</v>
      </c>
      <c r="AP94" t="str">
        <f t="shared" si="24"/>
        <v>Paid</v>
      </c>
      <c r="AQ94" t="str">
        <f t="shared" si="24"/>
        <v>Completed</v>
      </c>
    </row>
    <row r="95" spans="1:43">
      <c r="A95" t="s">
        <v>506</v>
      </c>
      <c r="B95" s="3">
        <v>45298</v>
      </c>
      <c r="C95" s="3" t="s">
        <v>507</v>
      </c>
      <c r="D95" t="s">
        <v>508</v>
      </c>
      <c r="E95" t="s">
        <v>232</v>
      </c>
      <c r="F95" t="s">
        <v>177</v>
      </c>
      <c r="G95" t="s">
        <v>110</v>
      </c>
      <c r="H95" t="s">
        <v>227</v>
      </c>
      <c r="I95" t="s">
        <v>228</v>
      </c>
      <c r="J95" t="s">
        <v>113</v>
      </c>
      <c r="K95" t="s">
        <v>246</v>
      </c>
      <c r="L95" t="s">
        <v>509</v>
      </c>
      <c r="M95" t="s">
        <v>145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117</v>
      </c>
      <c r="U95" t="s">
        <v>118</v>
      </c>
      <c r="V95" s="2">
        <f t="shared" si="14"/>
        <v>-0.09</v>
      </c>
      <c r="W95" s="2">
        <f t="shared" si="15"/>
        <v>21279.841099999998</v>
      </c>
      <c r="X95" s="2">
        <f>W95-R95</f>
        <v>8824.0610999999972</v>
      </c>
      <c r="Y95" s="2">
        <f t="shared" si="16"/>
        <v>0.41466762174272054</v>
      </c>
      <c r="Z95" s="2" t="str">
        <f t="shared" si="17"/>
        <v/>
      </c>
      <c r="AA95" s="2">
        <f t="shared" si="18"/>
        <v>1</v>
      </c>
      <c r="AB95" s="2">
        <f t="shared" si="19"/>
        <v>2024</v>
      </c>
      <c r="AC95" s="2" t="str">
        <f t="shared" si="20"/>
        <v>Text Value Not Recognized as Date</v>
      </c>
      <c r="AD95" s="2">
        <f t="shared" si="21"/>
        <v>1</v>
      </c>
      <c r="AE95" s="2">
        <f t="shared" si="22"/>
        <v>1</v>
      </c>
      <c r="AH95" t="str">
        <f t="shared" si="13"/>
        <v>Rohan Mehta</v>
      </c>
      <c r="AI95" t="str">
        <f t="shared" si="13"/>
        <v>Corporate</v>
      </c>
      <c r="AJ95" t="str">
        <f t="shared" si="13"/>
        <v>North</v>
      </c>
      <c r="AK95" t="str">
        <f t="shared" si="13"/>
        <v>Uttar Pradesh</v>
      </c>
      <c r="AL95" t="str">
        <f t="shared" si="12"/>
        <v>Noida</v>
      </c>
      <c r="AM95" t="str">
        <f t="shared" si="12"/>
        <v>Office Supplies</v>
      </c>
      <c r="AN95" t="str">
        <f t="shared" si="12"/>
        <v>Binders</v>
      </c>
      <c r="AO95" t="str">
        <f t="shared" si="23"/>
        <v>Standard Class</v>
      </c>
      <c r="AP95" t="str">
        <f t="shared" si="24"/>
        <v>Paid</v>
      </c>
      <c r="AQ95" t="str">
        <f t="shared" si="24"/>
        <v>Completed</v>
      </c>
    </row>
    <row r="96" spans="1:43">
      <c r="A96" t="s">
        <v>510</v>
      </c>
      <c r="B96" s="3">
        <v>45541</v>
      </c>
      <c r="C96" s="3">
        <v>45544</v>
      </c>
      <c r="D96" t="s">
        <v>511</v>
      </c>
      <c r="E96" t="s">
        <v>256</v>
      </c>
      <c r="F96" t="s">
        <v>109</v>
      </c>
      <c r="G96" t="s">
        <v>110</v>
      </c>
      <c r="H96" t="s">
        <v>344</v>
      </c>
      <c r="I96" t="s">
        <v>345</v>
      </c>
      <c r="J96" t="s">
        <v>160</v>
      </c>
      <c r="K96" t="s">
        <v>266</v>
      </c>
      <c r="L96" t="s">
        <v>512</v>
      </c>
      <c r="M96" t="s">
        <v>116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199</v>
      </c>
      <c r="U96" t="s">
        <v>44</v>
      </c>
      <c r="V96" s="2">
        <f t="shared" si="14"/>
        <v>0</v>
      </c>
      <c r="W96" s="2">
        <f t="shared" si="15"/>
        <v>26470.710000000003</v>
      </c>
      <c r="X96" s="2">
        <f>W96-R96</f>
        <v>5103.1100000000042</v>
      </c>
      <c r="Y96" s="2">
        <f t="shared" si="16"/>
        <v>0.19278326875251944</v>
      </c>
      <c r="Z96" s="2">
        <f t="shared" si="17"/>
        <v>3</v>
      </c>
      <c r="AA96" s="2">
        <f t="shared" si="18"/>
        <v>9</v>
      </c>
      <c r="AB96" s="2">
        <f t="shared" si="19"/>
        <v>2024</v>
      </c>
      <c r="AC96" s="2" t="str">
        <f t="shared" si="20"/>
        <v>Valid</v>
      </c>
      <c r="AD96" s="2">
        <f t="shared" si="21"/>
        <v>0</v>
      </c>
      <c r="AE96" s="2">
        <f t="shared" si="22"/>
        <v>0</v>
      </c>
      <c r="AH96" t="str">
        <f t="shared" si="13"/>
        <v>Diya Patel</v>
      </c>
      <c r="AI96" t="str">
        <f t="shared" si="13"/>
        <v>Consumer</v>
      </c>
      <c r="AJ96" t="str">
        <f t="shared" si="13"/>
        <v>North</v>
      </c>
      <c r="AK96" t="str">
        <f t="shared" si="13"/>
        <v>Haryana</v>
      </c>
      <c r="AL96" t="str">
        <f t="shared" si="12"/>
        <v>Gurugram</v>
      </c>
      <c r="AM96" t="str">
        <f t="shared" si="12"/>
        <v>Technology</v>
      </c>
      <c r="AN96" t="str">
        <f t="shared" si="12"/>
        <v>Phones</v>
      </c>
      <c r="AO96" t="str">
        <f t="shared" si="23"/>
        <v>Second Class</v>
      </c>
      <c r="AP96" t="str">
        <f t="shared" si="24"/>
        <v>Pending</v>
      </c>
      <c r="AQ96" t="str">
        <f t="shared" si="24"/>
        <v>Cancelled</v>
      </c>
    </row>
    <row r="97" spans="1:43">
      <c r="A97" t="s">
        <v>513</v>
      </c>
      <c r="B97" s="3">
        <v>45786</v>
      </c>
      <c r="C97" s="3">
        <v>45910</v>
      </c>
      <c r="D97" t="s">
        <v>514</v>
      </c>
      <c r="E97" t="s">
        <v>222</v>
      </c>
      <c r="F97" t="s">
        <v>177</v>
      </c>
      <c r="G97" t="s">
        <v>149</v>
      </c>
      <c r="H97" t="s">
        <v>287</v>
      </c>
      <c r="I97" t="s">
        <v>288</v>
      </c>
      <c r="J97" t="s">
        <v>126</v>
      </c>
      <c r="K97" t="s">
        <v>252</v>
      </c>
      <c r="L97" t="s">
        <v>515</v>
      </c>
      <c r="M97" t="s">
        <v>129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117</v>
      </c>
      <c r="U97" t="s">
        <v>118</v>
      </c>
      <c r="V97" s="2">
        <f t="shared" si="14"/>
        <v>0</v>
      </c>
      <c r="W97" s="2">
        <f t="shared" si="15"/>
        <v>10524.78</v>
      </c>
      <c r="X97" s="2">
        <f>W97-R97</f>
        <v>1683.7300000000014</v>
      </c>
      <c r="Y97" s="2">
        <f t="shared" si="16"/>
        <v>0.15997769074507984</v>
      </c>
      <c r="Z97" s="2">
        <f t="shared" si="17"/>
        <v>124</v>
      </c>
      <c r="AA97" s="2">
        <f t="shared" si="18"/>
        <v>5</v>
      </c>
      <c r="AB97" s="2">
        <f t="shared" si="19"/>
        <v>2025</v>
      </c>
      <c r="AC97" s="2" t="str">
        <f t="shared" si="20"/>
        <v>Valid</v>
      </c>
      <c r="AD97" s="2">
        <f t="shared" si="21"/>
        <v>0</v>
      </c>
      <c r="AE97" s="2">
        <f t="shared" si="22"/>
        <v>0</v>
      </c>
      <c r="AH97" t="str">
        <f t="shared" si="13"/>
        <v>Sneha Kapoor</v>
      </c>
      <c r="AI97" t="str">
        <f t="shared" si="13"/>
        <v>Corporate</v>
      </c>
      <c r="AJ97" t="str">
        <f t="shared" si="13"/>
        <v>West</v>
      </c>
      <c r="AK97" t="str">
        <f t="shared" si="13"/>
        <v>Goa</v>
      </c>
      <c r="AL97" t="str">
        <f t="shared" si="12"/>
        <v>Panaji</v>
      </c>
      <c r="AM97" t="str">
        <f t="shared" si="12"/>
        <v>Furniture</v>
      </c>
      <c r="AN97" t="str">
        <f t="shared" si="12"/>
        <v>Bookcases</v>
      </c>
      <c r="AO97" t="str">
        <f t="shared" si="23"/>
        <v>Same Day</v>
      </c>
      <c r="AP97" t="str">
        <f t="shared" si="24"/>
        <v>Paid</v>
      </c>
      <c r="AQ97" t="str">
        <f t="shared" si="24"/>
        <v>Completed</v>
      </c>
    </row>
    <row r="98" spans="1:43">
      <c r="A98" t="s">
        <v>516</v>
      </c>
      <c r="B98" s="3">
        <v>45448</v>
      </c>
      <c r="C98" s="3">
        <v>45479</v>
      </c>
      <c r="D98" t="s">
        <v>517</v>
      </c>
      <c r="E98" t="s">
        <v>207</v>
      </c>
      <c r="F98" t="s">
        <v>182</v>
      </c>
      <c r="G98" t="s">
        <v>123</v>
      </c>
      <c r="H98" t="s">
        <v>124</v>
      </c>
      <c r="I98" t="s">
        <v>125</v>
      </c>
      <c r="J98" t="s">
        <v>160</v>
      </c>
      <c r="K98" t="s">
        <v>166</v>
      </c>
      <c r="L98" t="s">
        <v>518</v>
      </c>
      <c r="M98" t="s">
        <v>116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117</v>
      </c>
      <c r="U98" t="s">
        <v>118</v>
      </c>
      <c r="V98" s="2">
        <f t="shared" si="14"/>
        <v>0.15</v>
      </c>
      <c r="W98" s="2">
        <f t="shared" si="15"/>
        <v>3840.7079999999996</v>
      </c>
      <c r="X98" s="2">
        <f>W98-R98</f>
        <v>1324.4179999999997</v>
      </c>
      <c r="Y98" s="2">
        <f t="shared" si="16"/>
        <v>0.34483694152224009</v>
      </c>
      <c r="Z98" s="2">
        <f t="shared" si="17"/>
        <v>31</v>
      </c>
      <c r="AA98" s="2">
        <f t="shared" si="18"/>
        <v>6</v>
      </c>
      <c r="AB98" s="2">
        <f t="shared" si="19"/>
        <v>2024</v>
      </c>
      <c r="AC98" s="2" t="str">
        <f t="shared" si="20"/>
        <v>Valid</v>
      </c>
      <c r="AD98" s="2">
        <f t="shared" si="21"/>
        <v>0</v>
      </c>
      <c r="AE98" s="2">
        <f t="shared" si="22"/>
        <v>0</v>
      </c>
      <c r="AH98" t="str">
        <f t="shared" si="13"/>
        <v>Rahul Verma</v>
      </c>
      <c r="AI98" t="str">
        <f t="shared" si="13"/>
        <v>Home Office</v>
      </c>
      <c r="AJ98" t="str">
        <f t="shared" si="13"/>
        <v>East</v>
      </c>
      <c r="AK98" t="str">
        <f t="shared" si="13"/>
        <v>Odisha</v>
      </c>
      <c r="AL98" t="str">
        <f t="shared" si="12"/>
        <v>Bhubaneswar</v>
      </c>
      <c r="AM98" t="str">
        <f t="shared" si="12"/>
        <v>Technology</v>
      </c>
      <c r="AN98" t="str">
        <f t="shared" si="12"/>
        <v>Copiers</v>
      </c>
      <c r="AO98" t="str">
        <f t="shared" si="23"/>
        <v>Second Class</v>
      </c>
      <c r="AP98" t="str">
        <f t="shared" si="24"/>
        <v>Paid</v>
      </c>
      <c r="AQ98" t="str">
        <f t="shared" si="24"/>
        <v>Completed</v>
      </c>
    </row>
    <row r="99" spans="1:43">
      <c r="A99" t="s">
        <v>519</v>
      </c>
      <c r="B99" s="3">
        <v>45877</v>
      </c>
      <c r="C99" s="3">
        <v>45880</v>
      </c>
      <c r="D99" t="s">
        <v>520</v>
      </c>
      <c r="E99" t="s">
        <v>256</v>
      </c>
      <c r="F99" t="s">
        <v>122</v>
      </c>
      <c r="G99" t="s">
        <v>149</v>
      </c>
      <c r="H99" t="s">
        <v>276</v>
      </c>
      <c r="I99" t="s">
        <v>277</v>
      </c>
      <c r="J99" t="s">
        <v>113</v>
      </c>
      <c r="K99" t="s">
        <v>213</v>
      </c>
      <c r="L99" t="s">
        <v>521</v>
      </c>
      <c r="M99" t="s">
        <v>129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199</v>
      </c>
      <c r="U99" t="s">
        <v>190</v>
      </c>
      <c r="V99" s="2">
        <f t="shared" si="14"/>
        <v>0.2</v>
      </c>
      <c r="W99" s="2">
        <f t="shared" si="15"/>
        <v>14409.44</v>
      </c>
      <c r="X99" s="2">
        <f>W99-R99</f>
        <v>5599.4700000000012</v>
      </c>
      <c r="Y99" s="2">
        <f t="shared" si="16"/>
        <v>0.38859733619071951</v>
      </c>
      <c r="Z99" s="2">
        <f t="shared" si="17"/>
        <v>3</v>
      </c>
      <c r="AA99" s="2">
        <f t="shared" si="18"/>
        <v>8</v>
      </c>
      <c r="AB99" s="2">
        <f t="shared" si="19"/>
        <v>2025</v>
      </c>
      <c r="AC99" s="2" t="str">
        <f t="shared" si="20"/>
        <v>Valid</v>
      </c>
      <c r="AD99" s="2">
        <f t="shared" si="21"/>
        <v>0</v>
      </c>
      <c r="AE99" s="2">
        <f t="shared" si="22"/>
        <v>0</v>
      </c>
      <c r="AH99" t="str">
        <f t="shared" si="13"/>
        <v>Diya Patel</v>
      </c>
      <c r="AI99" t="str">
        <f t="shared" si="13"/>
        <v>Small Business</v>
      </c>
      <c r="AJ99" t="str">
        <f t="shared" si="13"/>
        <v>West</v>
      </c>
      <c r="AK99" t="str">
        <f t="shared" si="13"/>
        <v>Gujarat</v>
      </c>
      <c r="AL99" t="str">
        <f t="shared" si="12"/>
        <v>Ahmedabad</v>
      </c>
      <c r="AM99" t="str">
        <f t="shared" si="12"/>
        <v>Office Supplies</v>
      </c>
      <c r="AN99" t="str">
        <f t="shared" si="12"/>
        <v>Storage</v>
      </c>
      <c r="AO99" t="str">
        <f t="shared" si="23"/>
        <v>Same Day</v>
      </c>
      <c r="AP99" t="str">
        <f t="shared" si="24"/>
        <v>Pending</v>
      </c>
      <c r="AQ99" t="str">
        <f t="shared" si="24"/>
        <v>Returned</v>
      </c>
    </row>
    <row r="100" spans="1:43">
      <c r="A100" t="s">
        <v>522</v>
      </c>
      <c r="B100" s="3">
        <v>45317</v>
      </c>
      <c r="C100" s="3">
        <v>45323</v>
      </c>
      <c r="D100" t="s">
        <v>523</v>
      </c>
      <c r="E100" t="s">
        <v>232</v>
      </c>
      <c r="F100" t="s">
        <v>182</v>
      </c>
      <c r="G100" t="s">
        <v>140</v>
      </c>
      <c r="H100" t="s">
        <v>282</v>
      </c>
      <c r="I100" t="s">
        <v>283</v>
      </c>
      <c r="J100" t="s">
        <v>160</v>
      </c>
      <c r="K100" t="s">
        <v>166</v>
      </c>
      <c r="L100" t="s">
        <v>524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117</v>
      </c>
      <c r="U100" t="s">
        <v>118</v>
      </c>
      <c r="V100" s="2">
        <f t="shared" si="14"/>
        <v>0.1</v>
      </c>
      <c r="W100" s="2">
        <f t="shared" si="15"/>
        <v>15184.295999999998</v>
      </c>
      <c r="X100" s="2">
        <f>W100-R100</f>
        <v>3913.5559999999987</v>
      </c>
      <c r="Y100" s="2">
        <f t="shared" si="16"/>
        <v>0.25773707256497103</v>
      </c>
      <c r="Z100" s="2">
        <f t="shared" si="17"/>
        <v>6</v>
      </c>
      <c r="AA100" s="2">
        <f t="shared" si="18"/>
        <v>1</v>
      </c>
      <c r="AB100" s="2">
        <f t="shared" si="19"/>
        <v>2024</v>
      </c>
      <c r="AC100" s="2" t="str">
        <f t="shared" si="20"/>
        <v>Missing ship_mode</v>
      </c>
      <c r="AD100" s="2">
        <f t="shared" si="21"/>
        <v>0</v>
      </c>
      <c r="AE100" s="2">
        <f t="shared" si="22"/>
        <v>0</v>
      </c>
      <c r="AH100" t="str">
        <f t="shared" si="13"/>
        <v>Rohan Mehta</v>
      </c>
      <c r="AI100" t="str">
        <f t="shared" si="13"/>
        <v>Home Office</v>
      </c>
      <c r="AJ100" t="str">
        <f t="shared" si="13"/>
        <v>South</v>
      </c>
      <c r="AK100" t="str">
        <f t="shared" si="13"/>
        <v>Kerala</v>
      </c>
      <c r="AL100" t="str">
        <f t="shared" si="12"/>
        <v>Kochi</v>
      </c>
      <c r="AM100" t="str">
        <f t="shared" si="12"/>
        <v>Technology</v>
      </c>
      <c r="AN100" t="str">
        <f t="shared" si="12"/>
        <v>Copiers</v>
      </c>
      <c r="AO100" t="s">
        <v>306</v>
      </c>
      <c r="AP100" t="str">
        <f t="shared" si="24"/>
        <v>Paid</v>
      </c>
      <c r="AQ100" t="str">
        <f t="shared" si="24"/>
        <v>Completed</v>
      </c>
    </row>
    <row r="101" spans="1:43">
      <c r="A101" t="s">
        <v>525</v>
      </c>
      <c r="B101" s="3">
        <v>45962</v>
      </c>
      <c r="C101" s="3">
        <v>45962</v>
      </c>
      <c r="D101" t="s">
        <v>526</v>
      </c>
      <c r="E101" t="s">
        <v>176</v>
      </c>
      <c r="F101" t="s">
        <v>122</v>
      </c>
      <c r="G101" t="s">
        <v>149</v>
      </c>
      <c r="H101" t="s">
        <v>111</v>
      </c>
      <c r="I101" t="s">
        <v>197</v>
      </c>
      <c r="J101" t="s">
        <v>160</v>
      </c>
      <c r="K101" t="s">
        <v>161</v>
      </c>
      <c r="L101" t="s">
        <v>527</v>
      </c>
      <c r="M101" t="s">
        <v>129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117</v>
      </c>
      <c r="U101" t="s">
        <v>118</v>
      </c>
      <c r="V101" s="2">
        <f t="shared" si="14"/>
        <v>0</v>
      </c>
      <c r="W101" s="2">
        <f t="shared" si="15"/>
        <v>6495.87</v>
      </c>
      <c r="X101" s="2">
        <f>W101-R101</f>
        <v>1794.9799999999996</v>
      </c>
      <c r="Y101" s="2">
        <f t="shared" si="16"/>
        <v>0.27632634273777024</v>
      </c>
      <c r="Z101" s="2">
        <f t="shared" si="17"/>
        <v>0</v>
      </c>
      <c r="AA101" s="2">
        <f t="shared" si="18"/>
        <v>11</v>
      </c>
      <c r="AB101" s="2">
        <f t="shared" si="19"/>
        <v>2025</v>
      </c>
      <c r="AC101" s="2" t="str">
        <f t="shared" si="20"/>
        <v>Valid</v>
      </c>
      <c r="AD101" s="2">
        <f t="shared" si="21"/>
        <v>0</v>
      </c>
      <c r="AE101" s="2">
        <f t="shared" si="22"/>
        <v>0</v>
      </c>
      <c r="AH101" t="str">
        <f t="shared" si="13"/>
        <v>Aditi Sen</v>
      </c>
      <c r="AI101" t="str">
        <f t="shared" si="13"/>
        <v>Small Business</v>
      </c>
      <c r="AJ101" t="str">
        <f t="shared" si="13"/>
        <v>West</v>
      </c>
      <c r="AK101" t="str">
        <f t="shared" si="13"/>
        <v>Rajasthan</v>
      </c>
      <c r="AL101" t="str">
        <f t="shared" si="12"/>
        <v>Udaipur</v>
      </c>
      <c r="AM101" t="str">
        <f t="shared" si="12"/>
        <v>Technology</v>
      </c>
      <c r="AN101" t="str">
        <f t="shared" si="12"/>
        <v>Accessories</v>
      </c>
      <c r="AO101" t="str">
        <f t="shared" si="23"/>
        <v>Same Day</v>
      </c>
      <c r="AP101" t="str">
        <f t="shared" si="24"/>
        <v>Paid</v>
      </c>
      <c r="AQ101" t="str">
        <f t="shared" si="24"/>
        <v>Completed</v>
      </c>
    </row>
    <row r="102" spans="1:43">
      <c r="A102" t="s">
        <v>528</v>
      </c>
      <c r="B102" s="3">
        <v>45912</v>
      </c>
      <c r="C102" s="3">
        <v>45918</v>
      </c>
      <c r="D102" t="s">
        <v>529</v>
      </c>
      <c r="E102" t="s">
        <v>218</v>
      </c>
      <c r="F102" t="s">
        <v>182</v>
      </c>
      <c r="G102" t="s">
        <v>140</v>
      </c>
      <c r="H102" t="s">
        <v>282</v>
      </c>
      <c r="I102" t="s">
        <v>283</v>
      </c>
      <c r="J102" t="s">
        <v>113</v>
      </c>
      <c r="K102" t="s">
        <v>213</v>
      </c>
      <c r="L102" t="s">
        <v>530</v>
      </c>
      <c r="M102" t="s">
        <v>145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117</v>
      </c>
      <c r="U102" t="s">
        <v>118</v>
      </c>
      <c r="V102" s="2">
        <f t="shared" si="14"/>
        <v>0.05</v>
      </c>
      <c r="W102" s="2">
        <f t="shared" si="15"/>
        <v>9540.659999999998</v>
      </c>
      <c r="X102" s="2">
        <f>W102-R102</f>
        <v>3979.1699999999983</v>
      </c>
      <c r="Y102" s="2">
        <f t="shared" si="16"/>
        <v>0.41707491934520241</v>
      </c>
      <c r="Z102" s="2">
        <f t="shared" si="17"/>
        <v>6</v>
      </c>
      <c r="AA102" s="2">
        <f t="shared" si="18"/>
        <v>9</v>
      </c>
      <c r="AB102" s="2">
        <f t="shared" si="19"/>
        <v>2025</v>
      </c>
      <c r="AC102" s="2" t="str">
        <f t="shared" si="20"/>
        <v>Valid</v>
      </c>
      <c r="AD102" s="2">
        <f t="shared" si="21"/>
        <v>0</v>
      </c>
      <c r="AE102" s="2">
        <f t="shared" si="22"/>
        <v>0</v>
      </c>
      <c r="AH102" t="str">
        <f t="shared" si="13"/>
        <v>Aarav Sharma</v>
      </c>
      <c r="AI102" t="str">
        <f t="shared" si="13"/>
        <v>Home Office</v>
      </c>
      <c r="AJ102" t="str">
        <f t="shared" si="13"/>
        <v>South</v>
      </c>
      <c r="AK102" t="str">
        <f t="shared" si="13"/>
        <v>Kerala</v>
      </c>
      <c r="AL102" t="str">
        <f t="shared" si="12"/>
        <v>Kochi</v>
      </c>
      <c r="AM102" t="str">
        <f t="shared" si="12"/>
        <v>Office Supplies</v>
      </c>
      <c r="AN102" t="str">
        <f t="shared" si="12"/>
        <v>Storage</v>
      </c>
      <c r="AO102" t="str">
        <f t="shared" si="23"/>
        <v>Standard Class</v>
      </c>
      <c r="AP102" t="str">
        <f t="shared" si="24"/>
        <v>Paid</v>
      </c>
      <c r="AQ102" t="str">
        <f t="shared" si="24"/>
        <v>Completed</v>
      </c>
    </row>
    <row r="103" spans="1:43">
      <c r="A103" t="s">
        <v>531</v>
      </c>
      <c r="B103" s="3">
        <v>45465</v>
      </c>
      <c r="C103" s="3" t="s">
        <v>532</v>
      </c>
      <c r="D103" t="s">
        <v>533</v>
      </c>
      <c r="E103" t="s">
        <v>232</v>
      </c>
      <c r="F103" t="s">
        <v>182</v>
      </c>
      <c r="G103" t="s">
        <v>123</v>
      </c>
      <c r="H103" t="s">
        <v>237</v>
      </c>
      <c r="I103" t="s">
        <v>238</v>
      </c>
      <c r="J103" t="s">
        <v>126</v>
      </c>
      <c r="K103" t="s">
        <v>143</v>
      </c>
      <c r="L103" t="s">
        <v>534</v>
      </c>
      <c r="M103" t="s">
        <v>135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117</v>
      </c>
      <c r="U103" t="s">
        <v>118</v>
      </c>
      <c r="V103" s="2">
        <f t="shared" si="14"/>
        <v>0.25</v>
      </c>
      <c r="W103" s="2">
        <f t="shared" si="15"/>
        <v>16486.95</v>
      </c>
      <c r="X103" s="2">
        <f>W103-R103</f>
        <v>4432.8100000000013</v>
      </c>
      <c r="Y103" s="2">
        <f t="shared" si="16"/>
        <v>0.26886780150361356</v>
      </c>
      <c r="Z103" s="2" t="str">
        <f t="shared" si="17"/>
        <v/>
      </c>
      <c r="AA103" s="2">
        <f t="shared" si="18"/>
        <v>6</v>
      </c>
      <c r="AB103" s="2">
        <f t="shared" si="19"/>
        <v>2024</v>
      </c>
      <c r="AC103" s="2" t="str">
        <f t="shared" si="20"/>
        <v>Text Value Not Recognized as Date</v>
      </c>
      <c r="AD103" s="2">
        <f t="shared" si="21"/>
        <v>0</v>
      </c>
      <c r="AE103" s="2">
        <f t="shared" si="22"/>
        <v>0</v>
      </c>
      <c r="AH103" t="str">
        <f t="shared" si="13"/>
        <v>Rohan Mehta</v>
      </c>
      <c r="AI103" t="str">
        <f t="shared" si="13"/>
        <v>Home Office</v>
      </c>
      <c r="AJ103" t="str">
        <f t="shared" si="13"/>
        <v>East</v>
      </c>
      <c r="AK103" t="str">
        <f t="shared" ref="AK103:AN166" si="25">PROPER(TRIM(H103))</f>
        <v>Bihar</v>
      </c>
      <c r="AL103" t="str">
        <f t="shared" si="25"/>
        <v>Patna</v>
      </c>
      <c r="AM103" t="str">
        <f t="shared" si="25"/>
        <v>Furniture</v>
      </c>
      <c r="AN103" t="str">
        <f t="shared" si="25"/>
        <v>Furnishings</v>
      </c>
      <c r="AO103" t="str">
        <f t="shared" si="23"/>
        <v>First Class</v>
      </c>
      <c r="AP103" t="str">
        <f t="shared" si="24"/>
        <v>Paid</v>
      </c>
      <c r="AQ103" t="str">
        <f t="shared" si="24"/>
        <v>Completed</v>
      </c>
    </row>
    <row r="104" spans="1:43">
      <c r="A104" t="s">
        <v>535</v>
      </c>
      <c r="B104" s="3">
        <v>45850</v>
      </c>
      <c r="C104" s="3">
        <v>45854</v>
      </c>
      <c r="D104" t="s">
        <v>536</v>
      </c>
      <c r="E104" t="s">
        <v>157</v>
      </c>
      <c r="F104" t="s">
        <v>109</v>
      </c>
      <c r="G104" t="s">
        <v>140</v>
      </c>
      <c r="H104" t="s">
        <v>270</v>
      </c>
      <c r="I104" t="s">
        <v>271</v>
      </c>
      <c r="J104" t="s">
        <v>126</v>
      </c>
      <c r="K104" t="s">
        <v>152</v>
      </c>
      <c r="L104" t="s">
        <v>537</v>
      </c>
      <c r="M104" t="s">
        <v>135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189</v>
      </c>
      <c r="U104" t="s">
        <v>44</v>
      </c>
      <c r="V104" s="2">
        <f t="shared" si="14"/>
        <v>0</v>
      </c>
      <c r="W104" s="2">
        <f t="shared" si="15"/>
        <v>11462.84</v>
      </c>
      <c r="X104" s="2">
        <f>W104-R104</f>
        <v>2483.0599999999995</v>
      </c>
      <c r="Y104" s="2">
        <f t="shared" si="16"/>
        <v>0.21661822026653077</v>
      </c>
      <c r="Z104" s="2">
        <f t="shared" si="17"/>
        <v>4</v>
      </c>
      <c r="AA104" s="2">
        <f t="shared" si="18"/>
        <v>7</v>
      </c>
      <c r="AB104" s="2">
        <f t="shared" si="19"/>
        <v>2025</v>
      </c>
      <c r="AC104" s="2" t="str">
        <f t="shared" si="20"/>
        <v>Valid</v>
      </c>
      <c r="AD104" s="2">
        <f t="shared" si="21"/>
        <v>0</v>
      </c>
      <c r="AE104" s="2">
        <f t="shared" si="22"/>
        <v>0</v>
      </c>
      <c r="AH104" t="str">
        <f t="shared" ref="AH104:AM167" si="26">PROPER(TRIM(E104))</f>
        <v>Vikram Iyer</v>
      </c>
      <c r="AI104" t="str">
        <f t="shared" si="26"/>
        <v>Consumer</v>
      </c>
      <c r="AJ104" t="str">
        <f t="shared" si="26"/>
        <v>South</v>
      </c>
      <c r="AK104" t="str">
        <f t="shared" si="25"/>
        <v>Karnataka</v>
      </c>
      <c r="AL104" t="str">
        <f t="shared" si="25"/>
        <v>Bengaluru</v>
      </c>
      <c r="AM104" t="str">
        <f t="shared" si="25"/>
        <v>Furniture</v>
      </c>
      <c r="AN104" t="str">
        <f t="shared" si="25"/>
        <v>Chairs</v>
      </c>
      <c r="AO104" t="str">
        <f t="shared" si="23"/>
        <v>First Class</v>
      </c>
      <c r="AP104" t="str">
        <f t="shared" si="24"/>
        <v>Refunded</v>
      </c>
      <c r="AQ104" t="str">
        <f t="shared" si="24"/>
        <v>Cancelled</v>
      </c>
    </row>
    <row r="105" spans="1:43">
      <c r="A105" t="s">
        <v>538</v>
      </c>
      <c r="B105" s="3">
        <v>45779</v>
      </c>
      <c r="C105" s="3">
        <v>45787</v>
      </c>
      <c r="D105" t="s">
        <v>539</v>
      </c>
      <c r="E105" t="s">
        <v>375</v>
      </c>
      <c r="F105" t="s">
        <v>177</v>
      </c>
      <c r="G105" t="s">
        <v>149</v>
      </c>
      <c r="H105" t="s">
        <v>150</v>
      </c>
      <c r="I105" t="s">
        <v>151</v>
      </c>
      <c r="J105" t="s">
        <v>126</v>
      </c>
      <c r="K105" t="s">
        <v>127</v>
      </c>
      <c r="L105" t="s">
        <v>540</v>
      </c>
      <c r="M105" t="s">
        <v>135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117</v>
      </c>
      <c r="U105" t="s">
        <v>118</v>
      </c>
      <c r="V105" s="2">
        <f t="shared" si="14"/>
        <v>0.2</v>
      </c>
      <c r="W105" s="2">
        <f t="shared" si="15"/>
        <v>7809.0880000000006</v>
      </c>
      <c r="X105" s="2">
        <f>W105-R105</f>
        <v>1151.3380000000006</v>
      </c>
      <c r="Y105" s="2">
        <f t="shared" si="16"/>
        <v>0.14743565445798543</v>
      </c>
      <c r="Z105" s="2">
        <f t="shared" si="17"/>
        <v>8</v>
      </c>
      <c r="AA105" s="2">
        <f t="shared" si="18"/>
        <v>5</v>
      </c>
      <c r="AB105" s="2">
        <f t="shared" si="19"/>
        <v>2025</v>
      </c>
      <c r="AC105" s="2" t="str">
        <f t="shared" si="20"/>
        <v>Valid</v>
      </c>
      <c r="AD105" s="2">
        <f t="shared" si="21"/>
        <v>0</v>
      </c>
      <c r="AE105" s="2">
        <f t="shared" si="22"/>
        <v>0</v>
      </c>
      <c r="AH105" t="str">
        <f t="shared" si="26"/>
        <v>Kabir Singh</v>
      </c>
      <c r="AI105" t="str">
        <f t="shared" si="26"/>
        <v>Corporate</v>
      </c>
      <c r="AJ105" t="str">
        <f t="shared" si="26"/>
        <v>West</v>
      </c>
      <c r="AK105" t="str">
        <f t="shared" si="25"/>
        <v>Maharashtra</v>
      </c>
      <c r="AL105" t="str">
        <f t="shared" si="25"/>
        <v>Mumbai</v>
      </c>
      <c r="AM105" t="str">
        <f t="shared" si="25"/>
        <v>Furniture</v>
      </c>
      <c r="AN105" t="str">
        <f t="shared" si="25"/>
        <v>Tables</v>
      </c>
      <c r="AO105" t="str">
        <f t="shared" si="23"/>
        <v>First Class</v>
      </c>
      <c r="AP105" t="str">
        <f t="shared" si="24"/>
        <v>Paid</v>
      </c>
      <c r="AQ105" t="str">
        <f t="shared" si="24"/>
        <v>Completed</v>
      </c>
    </row>
    <row r="106" spans="1:43">
      <c r="A106" t="s">
        <v>541</v>
      </c>
      <c r="B106" s="3">
        <v>45689</v>
      </c>
      <c r="C106" s="3">
        <v>45696</v>
      </c>
      <c r="D106" t="s">
        <v>542</v>
      </c>
      <c r="E106" t="s">
        <v>148</v>
      </c>
      <c r="F106" t="s">
        <v>109</v>
      </c>
      <c r="G106" t="s">
        <v>140</v>
      </c>
      <c r="H106" t="s">
        <v>270</v>
      </c>
      <c r="I106" t="s">
        <v>271</v>
      </c>
      <c r="J106" t="s">
        <v>113</v>
      </c>
      <c r="K106" t="s">
        <v>178</v>
      </c>
      <c r="L106" t="s">
        <v>543</v>
      </c>
      <c r="M106" t="s">
        <v>129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117</v>
      </c>
      <c r="U106" t="s">
        <v>44</v>
      </c>
      <c r="V106" s="2">
        <f t="shared" si="14"/>
        <v>0.25</v>
      </c>
      <c r="W106" s="2">
        <f t="shared" si="15"/>
        <v>7922.0250000000005</v>
      </c>
      <c r="X106" s="2">
        <f>W106-R106</f>
        <v>2302.0750000000007</v>
      </c>
      <c r="Y106" s="2">
        <f t="shared" si="16"/>
        <v>0.29059173633004193</v>
      </c>
      <c r="Z106" s="2">
        <f t="shared" si="17"/>
        <v>7</v>
      </c>
      <c r="AA106" s="2">
        <f t="shared" si="18"/>
        <v>2</v>
      </c>
      <c r="AB106" s="2">
        <f t="shared" si="19"/>
        <v>2025</v>
      </c>
      <c r="AC106" s="2" t="str">
        <f t="shared" si="20"/>
        <v>Valid</v>
      </c>
      <c r="AD106" s="2">
        <f t="shared" si="21"/>
        <v>1</v>
      </c>
      <c r="AE106" s="2">
        <f t="shared" si="22"/>
        <v>0</v>
      </c>
      <c r="AH106" t="str">
        <f t="shared" si="26"/>
        <v>Ananya Rao</v>
      </c>
      <c r="AI106" t="str">
        <f t="shared" si="26"/>
        <v>Consumer</v>
      </c>
      <c r="AJ106" t="str">
        <f t="shared" si="26"/>
        <v>South</v>
      </c>
      <c r="AK106" t="str">
        <f t="shared" si="25"/>
        <v>Karnataka</v>
      </c>
      <c r="AL106" t="str">
        <f t="shared" si="25"/>
        <v>Bengaluru</v>
      </c>
      <c r="AM106" t="str">
        <f t="shared" si="25"/>
        <v>Office Supplies</v>
      </c>
      <c r="AN106" t="str">
        <f t="shared" si="25"/>
        <v>Labels</v>
      </c>
      <c r="AO106" t="str">
        <f t="shared" si="23"/>
        <v>Same Day</v>
      </c>
      <c r="AP106" t="str">
        <f t="shared" si="24"/>
        <v>Paid</v>
      </c>
      <c r="AQ106" t="str">
        <f t="shared" si="24"/>
        <v>Cancelled</v>
      </c>
    </row>
    <row r="107" spans="1:43">
      <c r="A107" t="s">
        <v>544</v>
      </c>
      <c r="B107" s="3">
        <v>45467</v>
      </c>
      <c r="C107" s="3" t="s">
        <v>545</v>
      </c>
      <c r="D107" t="s">
        <v>546</v>
      </c>
      <c r="E107" t="s">
        <v>121</v>
      </c>
      <c r="F107" t="s">
        <v>182</v>
      </c>
      <c r="G107" t="s">
        <v>123</v>
      </c>
      <c r="H107" t="s">
        <v>186</v>
      </c>
      <c r="I107" t="s">
        <v>187</v>
      </c>
      <c r="J107" t="s">
        <v>126</v>
      </c>
      <c r="K107" t="s">
        <v>127</v>
      </c>
      <c r="L107" t="s">
        <v>547</v>
      </c>
      <c r="M107" t="s">
        <v>116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117</v>
      </c>
      <c r="U107" t="s">
        <v>118</v>
      </c>
      <c r="V107" s="2">
        <f t="shared" si="14"/>
        <v>0.1</v>
      </c>
      <c r="W107" s="2">
        <f t="shared" si="15"/>
        <v>1233</v>
      </c>
      <c r="X107" s="2">
        <f>W107-R107</f>
        <v>226.10000000000002</v>
      </c>
      <c r="Y107" s="2">
        <f t="shared" si="16"/>
        <v>0.18337388483373887</v>
      </c>
      <c r="Z107" s="2" t="str">
        <f t="shared" si="17"/>
        <v/>
      </c>
      <c r="AA107" s="2">
        <f t="shared" si="18"/>
        <v>6</v>
      </c>
      <c r="AB107" s="2">
        <f t="shared" si="19"/>
        <v>2024</v>
      </c>
      <c r="AC107" s="2" t="str">
        <f t="shared" si="20"/>
        <v>Text Value Not Recognized as Date</v>
      </c>
      <c r="AD107" s="2">
        <f t="shared" si="21"/>
        <v>0</v>
      </c>
      <c r="AE107" s="2">
        <f t="shared" si="22"/>
        <v>0</v>
      </c>
      <c r="AH107" t="str">
        <f t="shared" si="26"/>
        <v>Mira Das</v>
      </c>
      <c r="AI107" t="str">
        <f t="shared" si="26"/>
        <v>Home Office</v>
      </c>
      <c r="AJ107" t="str">
        <f t="shared" si="26"/>
        <v>East</v>
      </c>
      <c r="AK107" t="str">
        <f t="shared" si="25"/>
        <v>West Bengal</v>
      </c>
      <c r="AL107" t="str">
        <f t="shared" si="25"/>
        <v>Kolkata</v>
      </c>
      <c r="AM107" t="str">
        <f t="shared" si="25"/>
        <v>Furniture</v>
      </c>
      <c r="AN107" t="str">
        <f t="shared" si="25"/>
        <v>Tables</v>
      </c>
      <c r="AO107" t="str">
        <f t="shared" si="23"/>
        <v>Second Class</v>
      </c>
      <c r="AP107" t="str">
        <f t="shared" si="24"/>
        <v>Paid</v>
      </c>
      <c r="AQ107" t="str">
        <f t="shared" si="24"/>
        <v>Completed</v>
      </c>
    </row>
    <row r="108" spans="1:43">
      <c r="A108" t="s">
        <v>548</v>
      </c>
      <c r="B108" s="3" t="s">
        <v>549</v>
      </c>
      <c r="C108" s="3">
        <v>45350</v>
      </c>
      <c r="D108" t="s">
        <v>550</v>
      </c>
      <c r="E108" t="s">
        <v>139</v>
      </c>
      <c r="F108" t="s">
        <v>182</v>
      </c>
      <c r="G108" t="s">
        <v>123</v>
      </c>
      <c r="H108" t="s">
        <v>186</v>
      </c>
      <c r="I108" t="s">
        <v>187</v>
      </c>
      <c r="J108" t="s">
        <v>113</v>
      </c>
      <c r="K108" t="s">
        <v>114</v>
      </c>
      <c r="L108" t="s">
        <v>551</v>
      </c>
      <c r="M108" t="s">
        <v>145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117</v>
      </c>
      <c r="U108" t="s">
        <v>44</v>
      </c>
      <c r="V108" s="2">
        <f t="shared" si="14"/>
        <v>0</v>
      </c>
      <c r="W108" s="2">
        <f t="shared" si="15"/>
        <v>8008.08</v>
      </c>
      <c r="X108" s="2">
        <f>W108-R108</f>
        <v>2298.6899999999996</v>
      </c>
      <c r="Y108" s="2">
        <f t="shared" si="16"/>
        <v>0.28704633320346445</v>
      </c>
      <c r="Z108" s="2" t="str">
        <f t="shared" si="17"/>
        <v/>
      </c>
      <c r="AA108" s="2" t="e">
        <f t="shared" si="18"/>
        <v>#VALUE!</v>
      </c>
      <c r="AB108" s="2" t="e">
        <f t="shared" si="19"/>
        <v>#VALUE!</v>
      </c>
      <c r="AC108" s="2" t="str">
        <f t="shared" si="20"/>
        <v>Text Value Not Recognized as Date</v>
      </c>
      <c r="AD108" s="2">
        <f t="shared" si="21"/>
        <v>1</v>
      </c>
      <c r="AE108" s="2">
        <f t="shared" si="22"/>
        <v>1</v>
      </c>
      <c r="AH108" t="str">
        <f t="shared" si="26"/>
        <v>Arjun Bose</v>
      </c>
      <c r="AI108" t="str">
        <f t="shared" si="26"/>
        <v>Home Office</v>
      </c>
      <c r="AJ108" t="str">
        <f t="shared" si="26"/>
        <v>East</v>
      </c>
      <c r="AK108" t="str">
        <f t="shared" si="25"/>
        <v>West Bengal</v>
      </c>
      <c r="AL108" t="str">
        <f t="shared" si="25"/>
        <v>Kolkata</v>
      </c>
      <c r="AM108" t="str">
        <f t="shared" si="25"/>
        <v>Office Supplies</v>
      </c>
      <c r="AN108" t="str">
        <f t="shared" si="25"/>
        <v>Paper</v>
      </c>
      <c r="AO108" t="str">
        <f t="shared" si="23"/>
        <v>Standard Class</v>
      </c>
      <c r="AP108" t="str">
        <f t="shared" si="24"/>
        <v>Paid</v>
      </c>
      <c r="AQ108" t="str">
        <f t="shared" si="24"/>
        <v>Cancelled</v>
      </c>
    </row>
    <row r="109" spans="1:43">
      <c r="A109" t="s">
        <v>552</v>
      </c>
      <c r="B109" s="3">
        <v>45594</v>
      </c>
      <c r="C109" s="3">
        <v>45600</v>
      </c>
      <c r="D109" t="s">
        <v>553</v>
      </c>
      <c r="E109" t="s">
        <v>232</v>
      </c>
      <c r="F109" t="s">
        <v>182</v>
      </c>
      <c r="G109" t="s">
        <v>123</v>
      </c>
      <c r="H109" t="s">
        <v>186</v>
      </c>
      <c r="I109" t="s">
        <v>187</v>
      </c>
      <c r="J109" t="s">
        <v>126</v>
      </c>
      <c r="K109" t="s">
        <v>143</v>
      </c>
      <c r="L109" t="s">
        <v>554</v>
      </c>
      <c r="M109" t="s">
        <v>135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117</v>
      </c>
      <c r="U109" t="s">
        <v>118</v>
      </c>
      <c r="V109" s="2">
        <f t="shared" si="14"/>
        <v>0.05</v>
      </c>
      <c r="W109" s="2">
        <f t="shared" si="15"/>
        <v>12263.236500000001</v>
      </c>
      <c r="X109" s="2">
        <f>W109-R109</f>
        <v>3337.6665000000012</v>
      </c>
      <c r="Y109" s="2">
        <f t="shared" si="16"/>
        <v>0.27216848504878799</v>
      </c>
      <c r="Z109" s="2">
        <f t="shared" si="17"/>
        <v>6</v>
      </c>
      <c r="AA109" s="2">
        <f t="shared" si="18"/>
        <v>10</v>
      </c>
      <c r="AB109" s="2">
        <f t="shared" si="19"/>
        <v>2024</v>
      </c>
      <c r="AC109" s="2" t="str">
        <f t="shared" si="20"/>
        <v>Valid</v>
      </c>
      <c r="AD109" s="2">
        <f t="shared" si="21"/>
        <v>0</v>
      </c>
      <c r="AE109" s="2">
        <f t="shared" si="22"/>
        <v>0</v>
      </c>
      <c r="AH109" t="str">
        <f t="shared" si="26"/>
        <v>Rohan Mehta</v>
      </c>
      <c r="AI109" t="str">
        <f t="shared" si="26"/>
        <v>Home Office</v>
      </c>
      <c r="AJ109" t="str">
        <f t="shared" si="26"/>
        <v>East</v>
      </c>
      <c r="AK109" t="str">
        <f t="shared" si="25"/>
        <v>West Bengal</v>
      </c>
      <c r="AL109" t="str">
        <f t="shared" si="25"/>
        <v>Kolkata</v>
      </c>
      <c r="AM109" t="str">
        <f t="shared" si="25"/>
        <v>Furniture</v>
      </c>
      <c r="AN109" t="str">
        <f t="shared" si="25"/>
        <v>Furnishings</v>
      </c>
      <c r="AO109" t="str">
        <f t="shared" si="23"/>
        <v>First Class</v>
      </c>
      <c r="AP109" t="str">
        <f t="shared" si="24"/>
        <v>Paid</v>
      </c>
      <c r="AQ109" t="str">
        <f t="shared" si="24"/>
        <v>Completed</v>
      </c>
    </row>
    <row r="110" spans="1:43">
      <c r="A110" t="s">
        <v>555</v>
      </c>
      <c r="B110" s="3">
        <v>45519</v>
      </c>
      <c r="C110" s="3">
        <v>45527</v>
      </c>
      <c r="D110" t="s">
        <v>556</v>
      </c>
      <c r="E110" t="s">
        <v>176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252</v>
      </c>
      <c r="L110" t="s">
        <v>557</v>
      </c>
      <c r="M110" t="s">
        <v>129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117</v>
      </c>
      <c r="U110" t="s">
        <v>118</v>
      </c>
      <c r="V110" s="2">
        <f t="shared" si="14"/>
        <v>0.25</v>
      </c>
      <c r="W110" s="2">
        <f t="shared" si="15"/>
        <v>806.31</v>
      </c>
      <c r="X110" s="2">
        <f>W110-R110</f>
        <v>307.80999999999995</v>
      </c>
      <c r="Y110" s="2">
        <f t="shared" si="16"/>
        <v>0.38175143555208291</v>
      </c>
      <c r="Z110" s="2">
        <f t="shared" si="17"/>
        <v>8</v>
      </c>
      <c r="AA110" s="2">
        <f t="shared" si="18"/>
        <v>8</v>
      </c>
      <c r="AB110" s="2">
        <f t="shared" si="19"/>
        <v>2024</v>
      </c>
      <c r="AC110" s="2" t="str">
        <f t="shared" si="20"/>
        <v>Valid</v>
      </c>
      <c r="AD110" s="2">
        <f t="shared" si="21"/>
        <v>0</v>
      </c>
      <c r="AE110" s="2">
        <f t="shared" si="22"/>
        <v>0</v>
      </c>
      <c r="AH110" t="str">
        <f t="shared" si="26"/>
        <v>Aditi Sen</v>
      </c>
      <c r="AI110" t="str">
        <f t="shared" si="26"/>
        <v>Small Business</v>
      </c>
      <c r="AJ110" t="str">
        <f t="shared" si="26"/>
        <v>East</v>
      </c>
      <c r="AK110" t="str">
        <f t="shared" si="25"/>
        <v>Odisha</v>
      </c>
      <c r="AL110" t="str">
        <f t="shared" si="25"/>
        <v>Bhubaneswar</v>
      </c>
      <c r="AM110" t="str">
        <f t="shared" si="25"/>
        <v>Furniture</v>
      </c>
      <c r="AN110" t="str">
        <f t="shared" si="25"/>
        <v>Bookcases</v>
      </c>
      <c r="AO110" t="str">
        <f t="shared" si="23"/>
        <v>Same Day</v>
      </c>
      <c r="AP110" t="str">
        <f t="shared" si="24"/>
        <v>Paid</v>
      </c>
      <c r="AQ110" t="str">
        <f t="shared" si="24"/>
        <v>Completed</v>
      </c>
    </row>
    <row r="111" spans="1:43">
      <c r="A111" t="s">
        <v>558</v>
      </c>
      <c r="B111" s="3" t="s">
        <v>559</v>
      </c>
      <c r="C111" s="3">
        <v>45896</v>
      </c>
      <c r="D111" t="s">
        <v>560</v>
      </c>
      <c r="E111" t="s">
        <v>222</v>
      </c>
      <c r="F111" t="s">
        <v>109</v>
      </c>
      <c r="G111" t="s">
        <v>110</v>
      </c>
      <c r="H111" t="s">
        <v>465</v>
      </c>
      <c r="I111" t="s">
        <v>466</v>
      </c>
      <c r="J111" t="s">
        <v>113</v>
      </c>
      <c r="K111" t="s">
        <v>246</v>
      </c>
      <c r="L111" t="s">
        <v>561</v>
      </c>
      <c r="M111" t="s">
        <v>116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117</v>
      </c>
      <c r="U111" t="s">
        <v>118</v>
      </c>
      <c r="V111" s="2">
        <f t="shared" si="14"/>
        <v>0.25</v>
      </c>
      <c r="W111" s="2">
        <f t="shared" si="15"/>
        <v>2091.4650000000001</v>
      </c>
      <c r="X111" s="2">
        <f>W111-R111</f>
        <v>774.24500000000012</v>
      </c>
      <c r="Y111" s="2">
        <f t="shared" si="16"/>
        <v>0.37019266399389905</v>
      </c>
      <c r="Z111" s="2" t="str">
        <f t="shared" si="17"/>
        <v/>
      </c>
      <c r="AA111" s="2" t="e">
        <f t="shared" si="18"/>
        <v>#VALUE!</v>
      </c>
      <c r="AB111" s="2" t="e">
        <f t="shared" si="19"/>
        <v>#VALUE!</v>
      </c>
      <c r="AC111" s="2" t="str">
        <f t="shared" si="20"/>
        <v>Text Value Not Recognized as Date</v>
      </c>
      <c r="AD111" s="2">
        <f t="shared" si="21"/>
        <v>0</v>
      </c>
      <c r="AE111" s="2">
        <f t="shared" si="22"/>
        <v>0</v>
      </c>
      <c r="AH111" t="str">
        <f t="shared" si="26"/>
        <v>Sneha Kapoor</v>
      </c>
      <c r="AI111" t="str">
        <f t="shared" si="26"/>
        <v>Consumer</v>
      </c>
      <c r="AJ111" t="str">
        <f t="shared" si="26"/>
        <v>North</v>
      </c>
      <c r="AK111" t="str">
        <f t="shared" si="25"/>
        <v>Delhi</v>
      </c>
      <c r="AL111" t="str">
        <f t="shared" si="25"/>
        <v>New Delhi</v>
      </c>
      <c r="AM111" t="str">
        <f t="shared" si="25"/>
        <v>Office Supplies</v>
      </c>
      <c r="AN111" t="str">
        <f t="shared" si="25"/>
        <v>Binders</v>
      </c>
      <c r="AO111" t="str">
        <f t="shared" si="23"/>
        <v>Second Class</v>
      </c>
      <c r="AP111" t="str">
        <f t="shared" si="24"/>
        <v>Paid</v>
      </c>
      <c r="AQ111" t="str">
        <f t="shared" si="24"/>
        <v>Completed</v>
      </c>
    </row>
    <row r="112" spans="1:43">
      <c r="A112" t="s">
        <v>562</v>
      </c>
      <c r="B112" s="3">
        <v>45583</v>
      </c>
      <c r="C112" s="3">
        <v>45589</v>
      </c>
      <c r="D112" t="s">
        <v>563</v>
      </c>
      <c r="E112" t="s">
        <v>157</v>
      </c>
      <c r="F112" t="s">
        <v>177</v>
      </c>
      <c r="G112" t="s">
        <v>140</v>
      </c>
      <c r="H112" t="s">
        <v>282</v>
      </c>
      <c r="I112" t="s">
        <v>283</v>
      </c>
      <c r="J112" t="s">
        <v>113</v>
      </c>
      <c r="K112" t="s">
        <v>178</v>
      </c>
      <c r="L112" t="s">
        <v>564</v>
      </c>
      <c r="M112" t="s">
        <v>135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189</v>
      </c>
      <c r="U112" t="s">
        <v>44</v>
      </c>
      <c r="V112" s="2">
        <f t="shared" si="14"/>
        <v>0</v>
      </c>
      <c r="W112" s="2">
        <f t="shared" si="15"/>
        <v>4500.9399999999996</v>
      </c>
      <c r="X112" s="2">
        <f>W112-R112</f>
        <v>1893.2099999999996</v>
      </c>
      <c r="Y112" s="2">
        <f t="shared" si="16"/>
        <v>0.42062546934640316</v>
      </c>
      <c r="Z112" s="2">
        <f t="shared" si="17"/>
        <v>6</v>
      </c>
      <c r="AA112" s="2">
        <f t="shared" si="18"/>
        <v>10</v>
      </c>
      <c r="AB112" s="2">
        <f t="shared" si="19"/>
        <v>2024</v>
      </c>
      <c r="AC112" s="2" t="str">
        <f t="shared" si="20"/>
        <v>Valid</v>
      </c>
      <c r="AD112" s="2">
        <f t="shared" si="21"/>
        <v>0</v>
      </c>
      <c r="AE112" s="2">
        <f t="shared" si="22"/>
        <v>0</v>
      </c>
      <c r="AH112" t="str">
        <f t="shared" si="26"/>
        <v>Vikram Iyer</v>
      </c>
      <c r="AI112" t="str">
        <f t="shared" si="26"/>
        <v>Corporate</v>
      </c>
      <c r="AJ112" t="str">
        <f t="shared" si="26"/>
        <v>South</v>
      </c>
      <c r="AK112" t="str">
        <f t="shared" si="25"/>
        <v>Kerala</v>
      </c>
      <c r="AL112" t="str">
        <f t="shared" si="25"/>
        <v>Kochi</v>
      </c>
      <c r="AM112" t="str">
        <f t="shared" si="25"/>
        <v>Office Supplies</v>
      </c>
      <c r="AN112" t="str">
        <f t="shared" si="25"/>
        <v>Labels</v>
      </c>
      <c r="AO112" t="str">
        <f t="shared" si="23"/>
        <v>First Class</v>
      </c>
      <c r="AP112" t="str">
        <f t="shared" si="24"/>
        <v>Refunded</v>
      </c>
      <c r="AQ112" t="str">
        <f t="shared" si="24"/>
        <v>Cancelled</v>
      </c>
    </row>
    <row r="113" spans="1:43">
      <c r="A113" t="s">
        <v>565</v>
      </c>
      <c r="B113" s="3">
        <v>45835</v>
      </c>
      <c r="C113" s="3">
        <v>45838</v>
      </c>
      <c r="D113" t="s">
        <v>566</v>
      </c>
      <c r="E113" t="s">
        <v>165</v>
      </c>
      <c r="F113" t="s">
        <v>177</v>
      </c>
      <c r="G113" t="s">
        <v>123</v>
      </c>
      <c r="H113" t="s">
        <v>237</v>
      </c>
      <c r="I113" t="s">
        <v>238</v>
      </c>
      <c r="J113" t="s">
        <v>160</v>
      </c>
      <c r="K113" t="s">
        <v>161</v>
      </c>
      <c r="L113" t="s">
        <v>567</v>
      </c>
      <c r="M113" t="s">
        <v>135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199</v>
      </c>
      <c r="U113" t="s">
        <v>44</v>
      </c>
      <c r="V113" s="2">
        <f t="shared" si="14"/>
        <v>0.05</v>
      </c>
      <c r="W113" s="2">
        <f t="shared" si="15"/>
        <v>1623.018</v>
      </c>
      <c r="X113" s="2">
        <f>W113-R113</f>
        <v>545.55799999999999</v>
      </c>
      <c r="Y113" s="2">
        <f t="shared" si="16"/>
        <v>0.3361379849145234</v>
      </c>
      <c r="Z113" s="2">
        <f t="shared" si="17"/>
        <v>3</v>
      </c>
      <c r="AA113" s="2">
        <f t="shared" si="18"/>
        <v>6</v>
      </c>
      <c r="AB113" s="2">
        <f t="shared" si="19"/>
        <v>2025</v>
      </c>
      <c r="AC113" s="2" t="str">
        <f t="shared" si="20"/>
        <v>Valid</v>
      </c>
      <c r="AD113" s="2">
        <f t="shared" si="21"/>
        <v>0</v>
      </c>
      <c r="AE113" s="2">
        <f t="shared" si="22"/>
        <v>0</v>
      </c>
      <c r="AH113" t="str">
        <f t="shared" si="26"/>
        <v>Neha Gupta</v>
      </c>
      <c r="AI113" t="str">
        <f t="shared" si="26"/>
        <v>Corporate</v>
      </c>
      <c r="AJ113" t="str">
        <f t="shared" si="26"/>
        <v>East</v>
      </c>
      <c r="AK113" t="str">
        <f t="shared" si="25"/>
        <v>Bihar</v>
      </c>
      <c r="AL113" t="str">
        <f t="shared" si="25"/>
        <v>Patna</v>
      </c>
      <c r="AM113" t="str">
        <f t="shared" si="25"/>
        <v>Technology</v>
      </c>
      <c r="AN113" t="str">
        <f t="shared" si="25"/>
        <v>Accessories</v>
      </c>
      <c r="AO113" t="str">
        <f t="shared" si="23"/>
        <v>First Class</v>
      </c>
      <c r="AP113" t="str">
        <f t="shared" si="24"/>
        <v>Pending</v>
      </c>
      <c r="AQ113" t="str">
        <f t="shared" si="24"/>
        <v>Cancelled</v>
      </c>
    </row>
    <row r="114" spans="1:43">
      <c r="A114" t="s">
        <v>568</v>
      </c>
      <c r="B114" s="3">
        <v>45301</v>
      </c>
      <c r="C114" s="3" t="s">
        <v>569</v>
      </c>
      <c r="D114" t="s">
        <v>570</v>
      </c>
      <c r="E114" t="s">
        <v>222</v>
      </c>
      <c r="F114" t="s">
        <v>109</v>
      </c>
      <c r="H114" t="s">
        <v>276</v>
      </c>
      <c r="I114" t="s">
        <v>277</v>
      </c>
      <c r="J114" t="s">
        <v>160</v>
      </c>
      <c r="K114" t="s">
        <v>161</v>
      </c>
      <c r="L114" t="s">
        <v>571</v>
      </c>
      <c r="M114" t="s">
        <v>145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117</v>
      </c>
      <c r="U114" t="s">
        <v>118</v>
      </c>
      <c r="V114" s="2">
        <f t="shared" si="14"/>
        <v>0.05</v>
      </c>
      <c r="W114" s="2">
        <f t="shared" si="15"/>
        <v>10914.018</v>
      </c>
      <c r="X114" s="2">
        <f>W114-R114</f>
        <v>4365.2780000000002</v>
      </c>
      <c r="Y114" s="2">
        <f t="shared" si="16"/>
        <v>0.39996983695647198</v>
      </c>
      <c r="Z114" s="2" t="str">
        <f t="shared" si="17"/>
        <v/>
      </c>
      <c r="AA114" s="2">
        <f t="shared" si="18"/>
        <v>1</v>
      </c>
      <c r="AB114" s="2">
        <f t="shared" si="19"/>
        <v>2024</v>
      </c>
      <c r="AC114" s="2" t="str">
        <f t="shared" si="20"/>
        <v>Missing region</v>
      </c>
      <c r="AD114" s="2">
        <f t="shared" si="21"/>
        <v>0</v>
      </c>
      <c r="AE114" s="2">
        <f t="shared" si="22"/>
        <v>0</v>
      </c>
      <c r="AH114" t="str">
        <f t="shared" si="26"/>
        <v>Sneha Kapoor</v>
      </c>
      <c r="AI114" t="str">
        <f t="shared" si="26"/>
        <v>Consumer</v>
      </c>
      <c r="AJ114" t="s">
        <v>306</v>
      </c>
      <c r="AK114" t="str">
        <f t="shared" si="25"/>
        <v>Gujarat</v>
      </c>
      <c r="AL114" t="str">
        <f t="shared" si="25"/>
        <v>Ahmedabad</v>
      </c>
      <c r="AM114" t="str">
        <f t="shared" si="25"/>
        <v>Technology</v>
      </c>
      <c r="AN114" t="str">
        <f t="shared" si="25"/>
        <v>Accessories</v>
      </c>
      <c r="AO114" t="str">
        <f t="shared" si="23"/>
        <v>Standard Class</v>
      </c>
      <c r="AP114" t="str">
        <f t="shared" si="24"/>
        <v>Paid</v>
      </c>
      <c r="AQ114" t="str">
        <f t="shared" si="24"/>
        <v>Completed</v>
      </c>
    </row>
    <row r="115" spans="1:43">
      <c r="A115" t="s">
        <v>572</v>
      </c>
      <c r="B115" s="3">
        <v>45628</v>
      </c>
      <c r="C115" s="3">
        <v>45628</v>
      </c>
      <c r="D115" t="s">
        <v>477</v>
      </c>
      <c r="E115" t="s">
        <v>132</v>
      </c>
      <c r="F115" t="s">
        <v>182</v>
      </c>
      <c r="G115" t="s">
        <v>140</v>
      </c>
      <c r="H115" t="s">
        <v>357</v>
      </c>
      <c r="I115" t="s">
        <v>358</v>
      </c>
      <c r="J115" t="s">
        <v>126</v>
      </c>
      <c r="K115" t="s">
        <v>127</v>
      </c>
      <c r="L115" t="s">
        <v>573</v>
      </c>
      <c r="M115" t="s">
        <v>145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117</v>
      </c>
      <c r="U115" t="s">
        <v>118</v>
      </c>
      <c r="V115" s="2">
        <f t="shared" si="14"/>
        <v>0.25</v>
      </c>
      <c r="W115" s="2">
        <f t="shared" si="15"/>
        <v>2450.5875000000001</v>
      </c>
      <c r="X115" s="2">
        <f>W115-R115</f>
        <v>810.69749999999999</v>
      </c>
      <c r="Y115" s="2">
        <f t="shared" si="16"/>
        <v>0.33081761006289306</v>
      </c>
      <c r="Z115" s="2">
        <f t="shared" si="17"/>
        <v>0</v>
      </c>
      <c r="AA115" s="2">
        <f t="shared" si="18"/>
        <v>12</v>
      </c>
      <c r="AB115" s="2">
        <f t="shared" si="19"/>
        <v>2024</v>
      </c>
      <c r="AC115" s="2" t="str">
        <f t="shared" si="20"/>
        <v>Valid</v>
      </c>
      <c r="AD115" s="2">
        <f t="shared" si="21"/>
        <v>0</v>
      </c>
      <c r="AE115" s="2">
        <f t="shared" si="22"/>
        <v>0</v>
      </c>
      <c r="AH115" t="str">
        <f t="shared" si="26"/>
        <v>Isha Nair</v>
      </c>
      <c r="AI115" t="str">
        <f t="shared" si="26"/>
        <v>Home Office</v>
      </c>
      <c r="AJ115" t="str">
        <f t="shared" si="26"/>
        <v>South</v>
      </c>
      <c r="AK115" t="str">
        <f t="shared" si="25"/>
        <v>Tamil Nadu</v>
      </c>
      <c r="AL115" t="str">
        <f t="shared" si="25"/>
        <v>Chennai</v>
      </c>
      <c r="AM115" t="str">
        <f t="shared" si="25"/>
        <v>Furniture</v>
      </c>
      <c r="AN115" t="str">
        <f t="shared" si="25"/>
        <v>Tables</v>
      </c>
      <c r="AO115" t="str">
        <f t="shared" si="23"/>
        <v>Standard Class</v>
      </c>
      <c r="AP115" t="str">
        <f t="shared" si="24"/>
        <v>Paid</v>
      </c>
      <c r="AQ115" t="str">
        <f t="shared" si="24"/>
        <v>Completed</v>
      </c>
    </row>
    <row r="116" spans="1:43">
      <c r="A116" t="s">
        <v>574</v>
      </c>
      <c r="B116" s="3">
        <v>45560</v>
      </c>
      <c r="C116" s="3">
        <v>45565</v>
      </c>
      <c r="D116" t="s">
        <v>575</v>
      </c>
      <c r="E116" t="s">
        <v>165</v>
      </c>
      <c r="F116" t="s">
        <v>122</v>
      </c>
      <c r="G116" t="s">
        <v>110</v>
      </c>
      <c r="H116" t="s">
        <v>111</v>
      </c>
      <c r="I116" t="s">
        <v>112</v>
      </c>
      <c r="J116" t="s">
        <v>160</v>
      </c>
      <c r="K116" t="s">
        <v>161</v>
      </c>
      <c r="L116" t="s">
        <v>576</v>
      </c>
      <c r="M116" t="s">
        <v>116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199</v>
      </c>
      <c r="U116" t="s">
        <v>44</v>
      </c>
      <c r="V116" s="2">
        <f t="shared" si="14"/>
        <v>0.1</v>
      </c>
      <c r="W116" s="2">
        <f t="shared" si="15"/>
        <v>3949.56</v>
      </c>
      <c r="X116" s="2">
        <f>W116-R116</f>
        <v>762.82999999999993</v>
      </c>
      <c r="Y116" s="2">
        <f t="shared" si="16"/>
        <v>0.19314303365438173</v>
      </c>
      <c r="Z116" s="2">
        <f t="shared" si="17"/>
        <v>5</v>
      </c>
      <c r="AA116" s="2">
        <f t="shared" si="18"/>
        <v>9</v>
      </c>
      <c r="AB116" s="2">
        <f t="shared" si="19"/>
        <v>2024</v>
      </c>
      <c r="AC116" s="2" t="str">
        <f t="shared" si="20"/>
        <v>Valid</v>
      </c>
      <c r="AD116" s="2">
        <f t="shared" si="21"/>
        <v>0</v>
      </c>
      <c r="AE116" s="2">
        <f t="shared" si="22"/>
        <v>0</v>
      </c>
      <c r="AH116" t="str">
        <f t="shared" si="26"/>
        <v>Neha Gupta</v>
      </c>
      <c r="AI116" t="str">
        <f t="shared" si="26"/>
        <v>Small Business</v>
      </c>
      <c r="AJ116" t="str">
        <f t="shared" si="26"/>
        <v>North</v>
      </c>
      <c r="AK116" t="str">
        <f t="shared" si="25"/>
        <v>Rajasthan</v>
      </c>
      <c r="AL116" t="str">
        <f t="shared" si="25"/>
        <v>Jaipur</v>
      </c>
      <c r="AM116" t="str">
        <f t="shared" si="25"/>
        <v>Technology</v>
      </c>
      <c r="AN116" t="str">
        <f t="shared" si="25"/>
        <v>Accessories</v>
      </c>
      <c r="AO116" t="str">
        <f t="shared" si="23"/>
        <v>Second Class</v>
      </c>
      <c r="AP116" t="str">
        <f t="shared" si="24"/>
        <v>Pending</v>
      </c>
      <c r="AQ116" t="str">
        <f t="shared" si="24"/>
        <v>Cancelled</v>
      </c>
    </row>
    <row r="117" spans="1:43">
      <c r="A117" t="s">
        <v>577</v>
      </c>
      <c r="B117" s="3">
        <v>45653</v>
      </c>
      <c r="C117" s="3">
        <v>45658</v>
      </c>
      <c r="D117" t="s">
        <v>578</v>
      </c>
      <c r="E117" t="s">
        <v>375</v>
      </c>
      <c r="F117" t="s">
        <v>177</v>
      </c>
      <c r="G117" t="s">
        <v>140</v>
      </c>
      <c r="H117" t="s">
        <v>357</v>
      </c>
      <c r="I117" t="s">
        <v>358</v>
      </c>
      <c r="J117" t="s">
        <v>113</v>
      </c>
      <c r="K117" t="s">
        <v>246</v>
      </c>
      <c r="L117" t="s">
        <v>579</v>
      </c>
      <c r="M117" t="s">
        <v>129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117</v>
      </c>
      <c r="U117" t="s">
        <v>44</v>
      </c>
      <c r="V117" s="2">
        <f t="shared" si="14"/>
        <v>0.15</v>
      </c>
      <c r="W117" s="2">
        <f t="shared" si="15"/>
        <v>758.77799999999991</v>
      </c>
      <c r="X117" s="2">
        <f>W117-R117</f>
        <v>268.0379999999999</v>
      </c>
      <c r="Y117" s="2">
        <f t="shared" si="16"/>
        <v>0.35324956706704719</v>
      </c>
      <c r="Z117" s="2">
        <f t="shared" si="17"/>
        <v>5</v>
      </c>
      <c r="AA117" s="2">
        <f t="shared" si="18"/>
        <v>12</v>
      </c>
      <c r="AB117" s="2">
        <f t="shared" si="19"/>
        <v>2024</v>
      </c>
      <c r="AC117" s="2" t="str">
        <f t="shared" si="20"/>
        <v>Valid</v>
      </c>
      <c r="AD117" s="2">
        <f t="shared" si="21"/>
        <v>0</v>
      </c>
      <c r="AE117" s="2">
        <f t="shared" si="22"/>
        <v>0</v>
      </c>
      <c r="AH117" t="str">
        <f t="shared" si="26"/>
        <v>Kabir Singh</v>
      </c>
      <c r="AI117" t="str">
        <f t="shared" si="26"/>
        <v>Corporate</v>
      </c>
      <c r="AJ117" t="str">
        <f t="shared" si="26"/>
        <v>South</v>
      </c>
      <c r="AK117" t="str">
        <f t="shared" si="25"/>
        <v>Tamil Nadu</v>
      </c>
      <c r="AL117" t="str">
        <f t="shared" si="25"/>
        <v>Chennai</v>
      </c>
      <c r="AM117" t="str">
        <f t="shared" si="25"/>
        <v>Office Supplies</v>
      </c>
      <c r="AN117" t="str">
        <f t="shared" si="25"/>
        <v>Binders</v>
      </c>
      <c r="AO117" t="str">
        <f t="shared" si="23"/>
        <v>Same Day</v>
      </c>
      <c r="AP117" t="str">
        <f t="shared" si="24"/>
        <v>Paid</v>
      </c>
      <c r="AQ117" t="str">
        <f t="shared" si="24"/>
        <v>Cancelled</v>
      </c>
    </row>
    <row r="118" spans="1:43">
      <c r="A118" t="s">
        <v>580</v>
      </c>
      <c r="B118" s="3">
        <v>45703</v>
      </c>
      <c r="C118" s="3">
        <v>45707</v>
      </c>
      <c r="D118" t="s">
        <v>581</v>
      </c>
      <c r="E118" t="s">
        <v>148</v>
      </c>
      <c r="F118" t="s">
        <v>122</v>
      </c>
      <c r="H118" t="s">
        <v>158</v>
      </c>
      <c r="I118" t="s">
        <v>159</v>
      </c>
      <c r="J118" t="s">
        <v>113</v>
      </c>
      <c r="K118" t="s">
        <v>246</v>
      </c>
      <c r="L118" t="s">
        <v>582</v>
      </c>
      <c r="M118" t="s">
        <v>135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248</v>
      </c>
      <c r="U118" t="s">
        <v>44</v>
      </c>
      <c r="V118" s="2">
        <f t="shared" si="14"/>
        <v>0.25</v>
      </c>
      <c r="W118" s="2">
        <f t="shared" si="15"/>
        <v>3590.9324999999999</v>
      </c>
      <c r="X118" s="2">
        <f>W118-R118</f>
        <v>529.54250000000002</v>
      </c>
      <c r="Y118" s="2">
        <f t="shared" si="16"/>
        <v>0.14746657031286442</v>
      </c>
      <c r="Z118" s="2">
        <f t="shared" si="17"/>
        <v>4</v>
      </c>
      <c r="AA118" s="2">
        <f t="shared" si="18"/>
        <v>2</v>
      </c>
      <c r="AB118" s="2">
        <f t="shared" si="19"/>
        <v>2025</v>
      </c>
      <c r="AC118" s="2" t="str">
        <f t="shared" si="20"/>
        <v>Missing region</v>
      </c>
      <c r="AD118" s="2">
        <f t="shared" si="21"/>
        <v>0</v>
      </c>
      <c r="AE118" s="2">
        <f t="shared" si="22"/>
        <v>0</v>
      </c>
      <c r="AH118" t="str">
        <f t="shared" si="26"/>
        <v>Ananya Rao</v>
      </c>
      <c r="AI118" t="str">
        <f t="shared" si="26"/>
        <v>Small Business</v>
      </c>
      <c r="AJ118" t="s">
        <v>306</v>
      </c>
      <c r="AK118" t="str">
        <f t="shared" si="25"/>
        <v>Madhya Pradesh</v>
      </c>
      <c r="AL118" t="str">
        <f t="shared" si="25"/>
        <v>Indore</v>
      </c>
      <c r="AM118" t="str">
        <f t="shared" si="25"/>
        <v>Office Supplies</v>
      </c>
      <c r="AN118" t="str">
        <f t="shared" si="25"/>
        <v>Binders</v>
      </c>
      <c r="AO118" t="str">
        <f t="shared" si="23"/>
        <v>First Class</v>
      </c>
      <c r="AP118" t="str">
        <f t="shared" si="24"/>
        <v>Failed</v>
      </c>
      <c r="AQ118" t="str">
        <f t="shared" si="24"/>
        <v>Cancelled</v>
      </c>
    </row>
    <row r="119" spans="1:43">
      <c r="A119" t="s">
        <v>583</v>
      </c>
      <c r="B119" s="3">
        <v>45337</v>
      </c>
      <c r="C119" s="3">
        <v>45339</v>
      </c>
      <c r="D119" t="s">
        <v>584</v>
      </c>
      <c r="E119" t="s">
        <v>121</v>
      </c>
      <c r="F119" t="s">
        <v>182</v>
      </c>
      <c r="G119" t="s">
        <v>140</v>
      </c>
      <c r="H119" t="s">
        <v>357</v>
      </c>
      <c r="I119" t="s">
        <v>358</v>
      </c>
      <c r="J119" t="s">
        <v>160</v>
      </c>
      <c r="K119" t="s">
        <v>385</v>
      </c>
      <c r="L119" t="s">
        <v>585</v>
      </c>
      <c r="M119" t="s">
        <v>145</v>
      </c>
      <c r="N119">
        <v>9</v>
      </c>
      <c r="O119">
        <v>3324.55</v>
      </c>
      <c r="P119" t="s">
        <v>586</v>
      </c>
      <c r="Q119">
        <v>25432.81</v>
      </c>
      <c r="R119">
        <v>20370.16</v>
      </c>
      <c r="S119">
        <v>5062.6499999999996</v>
      </c>
      <c r="T119" t="s">
        <v>117</v>
      </c>
      <c r="U119" t="s">
        <v>118</v>
      </c>
      <c r="V119" s="2" t="str">
        <f t="shared" si="14"/>
        <v>70%</v>
      </c>
      <c r="W119" s="2">
        <f t="shared" si="15"/>
        <v>8976.2850000000017</v>
      </c>
      <c r="X119" s="2">
        <f>W119-R119</f>
        <v>-11393.874999999998</v>
      </c>
      <c r="Y119" s="2">
        <f t="shared" si="16"/>
        <v>-1.2693307977632167</v>
      </c>
      <c r="Z119" s="2">
        <f t="shared" si="17"/>
        <v>2</v>
      </c>
      <c r="AA119" s="2">
        <f t="shared" si="18"/>
        <v>2</v>
      </c>
      <c r="AB119" s="2">
        <f t="shared" si="19"/>
        <v>2024</v>
      </c>
      <c r="AC119" s="2" t="str">
        <f t="shared" si="20"/>
        <v>Invalid</v>
      </c>
      <c r="AD119" s="2">
        <f t="shared" si="21"/>
        <v>1</v>
      </c>
      <c r="AE119" s="2">
        <f t="shared" si="22"/>
        <v>1</v>
      </c>
      <c r="AH119" t="str">
        <f t="shared" si="26"/>
        <v>Mira Das</v>
      </c>
      <c r="AI119" t="str">
        <f t="shared" si="26"/>
        <v>Home Office</v>
      </c>
      <c r="AJ119" t="str">
        <f t="shared" si="26"/>
        <v>South</v>
      </c>
      <c r="AK119" t="str">
        <f t="shared" si="25"/>
        <v>Tamil Nadu</v>
      </c>
      <c r="AL119" t="str">
        <f t="shared" si="25"/>
        <v>Chennai</v>
      </c>
      <c r="AM119" t="str">
        <f t="shared" si="25"/>
        <v>Technology</v>
      </c>
      <c r="AN119" t="str">
        <f t="shared" si="25"/>
        <v>Machines</v>
      </c>
      <c r="AO119" t="str">
        <f t="shared" si="23"/>
        <v>Standard Class</v>
      </c>
      <c r="AP119" t="str">
        <f t="shared" si="24"/>
        <v>Paid</v>
      </c>
      <c r="AQ119" t="str">
        <f t="shared" si="24"/>
        <v>Completed</v>
      </c>
    </row>
    <row r="120" spans="1:43">
      <c r="A120" t="s">
        <v>587</v>
      </c>
      <c r="B120" s="3">
        <v>45453</v>
      </c>
      <c r="C120" s="3">
        <v>45461</v>
      </c>
      <c r="D120" t="s">
        <v>588</v>
      </c>
      <c r="E120" t="s">
        <v>589</v>
      </c>
      <c r="F120" t="s">
        <v>182</v>
      </c>
      <c r="G120" t="s">
        <v>140</v>
      </c>
      <c r="H120" t="s">
        <v>171</v>
      </c>
      <c r="I120" t="s">
        <v>172</v>
      </c>
      <c r="J120" t="s">
        <v>160</v>
      </c>
      <c r="K120" t="s">
        <v>166</v>
      </c>
      <c r="L120" t="s">
        <v>590</v>
      </c>
      <c r="M120" t="s">
        <v>129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117</v>
      </c>
      <c r="U120" t="s">
        <v>118</v>
      </c>
      <c r="V120" s="2">
        <f t="shared" si="14"/>
        <v>0.2</v>
      </c>
      <c r="W120" s="2">
        <f t="shared" si="15"/>
        <v>6321.0800000000008</v>
      </c>
      <c r="X120" s="2">
        <f>W120-R120</f>
        <v>1913.8600000000006</v>
      </c>
      <c r="Y120" s="2">
        <f t="shared" si="16"/>
        <v>0.30277420947053357</v>
      </c>
      <c r="Z120" s="2">
        <f t="shared" si="17"/>
        <v>8</v>
      </c>
      <c r="AA120" s="2">
        <f t="shared" si="18"/>
        <v>6</v>
      </c>
      <c r="AB120" s="2">
        <f t="shared" si="19"/>
        <v>2024</v>
      </c>
      <c r="AC120" s="2" t="str">
        <f t="shared" si="20"/>
        <v>Valid</v>
      </c>
      <c r="AD120" s="2">
        <f t="shared" si="21"/>
        <v>0</v>
      </c>
      <c r="AE120" s="2">
        <f t="shared" si="22"/>
        <v>0</v>
      </c>
      <c r="AH120" t="str">
        <f t="shared" si="26"/>
        <v>Vikram Iyer</v>
      </c>
      <c r="AI120" t="str">
        <f t="shared" si="26"/>
        <v>Home Office</v>
      </c>
      <c r="AJ120" t="str">
        <f t="shared" si="26"/>
        <v>South</v>
      </c>
      <c r="AK120" t="str">
        <f t="shared" si="25"/>
        <v>Andhra Pradesh</v>
      </c>
      <c r="AL120" t="str">
        <f t="shared" si="25"/>
        <v>Vijayawada</v>
      </c>
      <c r="AM120" t="str">
        <f t="shared" si="25"/>
        <v>Technology</v>
      </c>
      <c r="AN120" t="str">
        <f t="shared" si="25"/>
        <v>Copiers</v>
      </c>
      <c r="AO120" t="str">
        <f t="shared" si="23"/>
        <v>Same Day</v>
      </c>
      <c r="AP120" t="str">
        <f t="shared" si="24"/>
        <v>Paid</v>
      </c>
      <c r="AQ120" t="str">
        <f t="shared" si="24"/>
        <v>Completed</v>
      </c>
    </row>
    <row r="121" spans="1:43">
      <c r="A121" t="s">
        <v>591</v>
      </c>
      <c r="B121" s="3">
        <v>45455</v>
      </c>
      <c r="C121" s="3">
        <v>45462</v>
      </c>
      <c r="D121" t="s">
        <v>592</v>
      </c>
      <c r="E121" t="s">
        <v>176</v>
      </c>
      <c r="F121" t="s">
        <v>122</v>
      </c>
      <c r="G121" t="s">
        <v>140</v>
      </c>
      <c r="H121" t="s">
        <v>282</v>
      </c>
      <c r="I121" t="s">
        <v>283</v>
      </c>
      <c r="J121" t="s">
        <v>126</v>
      </c>
      <c r="K121" t="s">
        <v>152</v>
      </c>
      <c r="L121" t="s">
        <v>593</v>
      </c>
      <c r="M121" t="s">
        <v>145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189</v>
      </c>
      <c r="U121" t="s">
        <v>190</v>
      </c>
      <c r="V121" s="2">
        <f t="shared" si="14"/>
        <v>0.25</v>
      </c>
      <c r="W121" s="2">
        <f t="shared" si="15"/>
        <v>1884.3000000000002</v>
      </c>
      <c r="X121" s="2">
        <f>W121-R121</f>
        <v>366.61000000000013</v>
      </c>
      <c r="Y121" s="2">
        <f t="shared" si="16"/>
        <v>0.19456031417502526</v>
      </c>
      <c r="Z121" s="2">
        <f t="shared" si="17"/>
        <v>7</v>
      </c>
      <c r="AA121" s="2">
        <f t="shared" si="18"/>
        <v>6</v>
      </c>
      <c r="AB121" s="2">
        <f t="shared" si="19"/>
        <v>2024</v>
      </c>
      <c r="AC121" s="2" t="str">
        <f t="shared" si="20"/>
        <v>Valid</v>
      </c>
      <c r="AD121" s="2">
        <f t="shared" si="21"/>
        <v>0</v>
      </c>
      <c r="AE121" s="2">
        <f t="shared" si="22"/>
        <v>0</v>
      </c>
      <c r="AH121" t="str">
        <f t="shared" si="26"/>
        <v>Aditi Sen</v>
      </c>
      <c r="AI121" t="str">
        <f t="shared" si="26"/>
        <v>Small Business</v>
      </c>
      <c r="AJ121" t="str">
        <f t="shared" si="26"/>
        <v>South</v>
      </c>
      <c r="AK121" t="str">
        <f t="shared" si="25"/>
        <v>Kerala</v>
      </c>
      <c r="AL121" t="str">
        <f t="shared" si="25"/>
        <v>Kochi</v>
      </c>
      <c r="AM121" t="str">
        <f t="shared" si="25"/>
        <v>Furniture</v>
      </c>
      <c r="AN121" t="str">
        <f t="shared" si="25"/>
        <v>Chairs</v>
      </c>
      <c r="AO121" t="str">
        <f t="shared" si="23"/>
        <v>Standard Class</v>
      </c>
      <c r="AP121" t="str">
        <f t="shared" si="24"/>
        <v>Refunded</v>
      </c>
      <c r="AQ121" t="str">
        <f t="shared" si="24"/>
        <v>Returned</v>
      </c>
    </row>
    <row r="122" spans="1:43">
      <c r="A122" t="s">
        <v>594</v>
      </c>
      <c r="B122" s="3">
        <v>45514</v>
      </c>
      <c r="C122" s="3">
        <v>45522</v>
      </c>
      <c r="D122" t="s">
        <v>595</v>
      </c>
      <c r="E122" t="s">
        <v>222</v>
      </c>
      <c r="F122" t="s">
        <v>122</v>
      </c>
      <c r="G122" t="s">
        <v>123</v>
      </c>
      <c r="H122" t="s">
        <v>237</v>
      </c>
      <c r="I122" t="s">
        <v>238</v>
      </c>
      <c r="J122" t="s">
        <v>160</v>
      </c>
      <c r="K122" t="s">
        <v>266</v>
      </c>
      <c r="L122" t="s">
        <v>596</v>
      </c>
      <c r="M122" t="s">
        <v>145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117</v>
      </c>
      <c r="U122" t="s">
        <v>190</v>
      </c>
      <c r="V122" s="2">
        <f t="shared" si="14"/>
        <v>0.2</v>
      </c>
      <c r="W122" s="2">
        <f t="shared" si="15"/>
        <v>1458.9360000000001</v>
      </c>
      <c r="X122" s="2">
        <f>W122-R122</f>
        <v>565.7360000000001</v>
      </c>
      <c r="Y122" s="2">
        <f t="shared" si="16"/>
        <v>0.38777300717783375</v>
      </c>
      <c r="Z122" s="2">
        <f t="shared" si="17"/>
        <v>8</v>
      </c>
      <c r="AA122" s="2">
        <f t="shared" si="18"/>
        <v>8</v>
      </c>
      <c r="AB122" s="2">
        <f t="shared" si="19"/>
        <v>2024</v>
      </c>
      <c r="AC122" s="2" t="str">
        <f t="shared" si="20"/>
        <v>Valid</v>
      </c>
      <c r="AD122" s="2">
        <f t="shared" si="21"/>
        <v>0</v>
      </c>
      <c r="AE122" s="2">
        <f t="shared" si="22"/>
        <v>0</v>
      </c>
      <c r="AH122" t="str">
        <f t="shared" si="26"/>
        <v>Sneha Kapoor</v>
      </c>
      <c r="AI122" t="str">
        <f t="shared" si="26"/>
        <v>Small Business</v>
      </c>
      <c r="AJ122" t="str">
        <f t="shared" si="26"/>
        <v>East</v>
      </c>
      <c r="AK122" t="str">
        <f t="shared" si="25"/>
        <v>Bihar</v>
      </c>
      <c r="AL122" t="str">
        <f t="shared" si="25"/>
        <v>Patna</v>
      </c>
      <c r="AM122" t="str">
        <f t="shared" si="25"/>
        <v>Technology</v>
      </c>
      <c r="AN122" t="str">
        <f t="shared" si="25"/>
        <v>Phones</v>
      </c>
      <c r="AO122" t="str">
        <f t="shared" si="23"/>
        <v>Standard Class</v>
      </c>
      <c r="AP122" t="str">
        <f t="shared" si="24"/>
        <v>Paid</v>
      </c>
      <c r="AQ122" t="str">
        <f t="shared" si="24"/>
        <v>Returned</v>
      </c>
    </row>
    <row r="123" spans="1:43">
      <c r="A123" t="s">
        <v>597</v>
      </c>
      <c r="B123" s="3">
        <v>45891</v>
      </c>
      <c r="C123" s="3">
        <v>45895</v>
      </c>
      <c r="D123" t="s">
        <v>598</v>
      </c>
      <c r="E123" t="s">
        <v>375</v>
      </c>
      <c r="F123" t="s">
        <v>599</v>
      </c>
      <c r="G123" t="s">
        <v>140</v>
      </c>
      <c r="H123" t="s">
        <v>171</v>
      </c>
      <c r="I123" t="s">
        <v>172</v>
      </c>
      <c r="J123" t="s">
        <v>160</v>
      </c>
      <c r="K123" t="s">
        <v>385</v>
      </c>
      <c r="L123" t="s">
        <v>600</v>
      </c>
      <c r="M123" t="s">
        <v>116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189</v>
      </c>
      <c r="U123" t="s">
        <v>44</v>
      </c>
      <c r="V123" s="2">
        <f t="shared" si="14"/>
        <v>0</v>
      </c>
      <c r="W123" s="2">
        <f t="shared" si="15"/>
        <v>17414.599999999999</v>
      </c>
      <c r="X123" s="2">
        <f>W123-R123</f>
        <v>5653.6899999999987</v>
      </c>
      <c r="Y123" s="2">
        <f t="shared" si="16"/>
        <v>0.3246523032398102</v>
      </c>
      <c r="Z123" s="2">
        <f t="shared" si="17"/>
        <v>4</v>
      </c>
      <c r="AA123" s="2">
        <f t="shared" si="18"/>
        <v>8</v>
      </c>
      <c r="AB123" s="2">
        <f t="shared" si="19"/>
        <v>2025</v>
      </c>
      <c r="AC123" s="2" t="str">
        <f t="shared" si="20"/>
        <v>Valid</v>
      </c>
      <c r="AD123" s="2">
        <f t="shared" si="21"/>
        <v>0</v>
      </c>
      <c r="AE123" s="2">
        <f t="shared" si="22"/>
        <v>0</v>
      </c>
      <c r="AH123" t="str">
        <f t="shared" si="26"/>
        <v>Kabir Singh</v>
      </c>
      <c r="AI123" t="str">
        <f t="shared" si="26"/>
        <v>Small Business</v>
      </c>
      <c r="AJ123" t="str">
        <f t="shared" si="26"/>
        <v>South</v>
      </c>
      <c r="AK123" t="str">
        <f t="shared" si="25"/>
        <v>Andhra Pradesh</v>
      </c>
      <c r="AL123" t="str">
        <f t="shared" si="25"/>
        <v>Vijayawada</v>
      </c>
      <c r="AM123" t="str">
        <f t="shared" si="25"/>
        <v>Technology</v>
      </c>
      <c r="AN123" t="str">
        <f t="shared" si="25"/>
        <v>Machines</v>
      </c>
      <c r="AO123" t="str">
        <f t="shared" si="23"/>
        <v>Second Class</v>
      </c>
      <c r="AP123" t="str">
        <f t="shared" si="24"/>
        <v>Refunded</v>
      </c>
      <c r="AQ123" t="str">
        <f t="shared" si="24"/>
        <v>Cancelled</v>
      </c>
    </row>
    <row r="124" spans="1:43">
      <c r="A124" t="s">
        <v>601</v>
      </c>
      <c r="B124" s="3">
        <v>45626</v>
      </c>
      <c r="C124" s="3">
        <v>45394</v>
      </c>
      <c r="D124" t="s">
        <v>602</v>
      </c>
      <c r="E124" t="s">
        <v>148</v>
      </c>
      <c r="F124" t="s">
        <v>122</v>
      </c>
      <c r="G124" t="s">
        <v>123</v>
      </c>
      <c r="H124" t="s">
        <v>260</v>
      </c>
      <c r="I124" t="s">
        <v>261</v>
      </c>
      <c r="J124" t="s">
        <v>126</v>
      </c>
      <c r="K124" t="s">
        <v>152</v>
      </c>
      <c r="L124" t="s">
        <v>603</v>
      </c>
      <c r="M124" t="s">
        <v>116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117</v>
      </c>
      <c r="U124" t="s">
        <v>118</v>
      </c>
      <c r="V124" s="2">
        <f t="shared" si="14"/>
        <v>0</v>
      </c>
      <c r="W124" s="2">
        <f t="shared" si="15"/>
        <v>511.04999999999995</v>
      </c>
      <c r="X124" s="2">
        <f>W124-R124</f>
        <v>143.86999999999995</v>
      </c>
      <c r="Y124" s="2">
        <f t="shared" si="16"/>
        <v>0.28151844242246349</v>
      </c>
      <c r="Z124" s="2">
        <f t="shared" si="17"/>
        <v>-232</v>
      </c>
      <c r="AA124" s="2">
        <f t="shared" si="18"/>
        <v>11</v>
      </c>
      <c r="AB124" s="2">
        <f t="shared" si="19"/>
        <v>2024</v>
      </c>
      <c r="AC124" s="2" t="str">
        <f t="shared" si="20"/>
        <v>Invalid shipping record</v>
      </c>
      <c r="AD124" s="2">
        <f t="shared" si="21"/>
        <v>0</v>
      </c>
      <c r="AE124" s="2">
        <f t="shared" si="22"/>
        <v>0</v>
      </c>
      <c r="AH124" t="str">
        <f t="shared" si="26"/>
        <v>Ananya Rao</v>
      </c>
      <c r="AI124" t="str">
        <f t="shared" si="26"/>
        <v>Small Business</v>
      </c>
      <c r="AJ124" t="str">
        <f t="shared" si="26"/>
        <v>East</v>
      </c>
      <c r="AK124" t="str">
        <f t="shared" si="25"/>
        <v>Assam</v>
      </c>
      <c r="AL124" t="str">
        <f t="shared" si="25"/>
        <v>Guwahati</v>
      </c>
      <c r="AM124" t="str">
        <f t="shared" si="25"/>
        <v>Furniture</v>
      </c>
      <c r="AN124" t="str">
        <f t="shared" si="25"/>
        <v>Chairs</v>
      </c>
      <c r="AO124" t="str">
        <f t="shared" si="23"/>
        <v>Second Class</v>
      </c>
      <c r="AP124" t="str">
        <f t="shared" si="24"/>
        <v>Paid</v>
      </c>
      <c r="AQ124" t="str">
        <f t="shared" si="24"/>
        <v>Completed</v>
      </c>
    </row>
    <row r="125" spans="1:43">
      <c r="A125" t="s">
        <v>604</v>
      </c>
      <c r="B125" s="3">
        <v>45436</v>
      </c>
      <c r="C125" s="3">
        <v>45437</v>
      </c>
      <c r="D125" t="s">
        <v>605</v>
      </c>
      <c r="E125" t="s">
        <v>222</v>
      </c>
      <c r="F125" t="s">
        <v>122</v>
      </c>
      <c r="G125" t="s">
        <v>606</v>
      </c>
      <c r="H125" t="s">
        <v>211</v>
      </c>
      <c r="I125" t="s">
        <v>212</v>
      </c>
      <c r="J125" t="s">
        <v>160</v>
      </c>
      <c r="K125" t="s">
        <v>166</v>
      </c>
      <c r="L125" t="s">
        <v>607</v>
      </c>
      <c r="M125" t="s">
        <v>129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189</v>
      </c>
      <c r="U125" t="s">
        <v>44</v>
      </c>
      <c r="V125" s="2">
        <f t="shared" si="14"/>
        <v>0</v>
      </c>
      <c r="W125" s="2">
        <f t="shared" si="15"/>
        <v>634.13</v>
      </c>
      <c r="X125" s="2">
        <f>W125-R125</f>
        <v>180.77999999999997</v>
      </c>
      <c r="Y125" s="2">
        <f t="shared" si="16"/>
        <v>0.28508350022865969</v>
      </c>
      <c r="Z125" s="2">
        <f t="shared" si="17"/>
        <v>1</v>
      </c>
      <c r="AA125" s="2">
        <f t="shared" si="18"/>
        <v>5</v>
      </c>
      <c r="AB125" s="2">
        <f t="shared" si="19"/>
        <v>2024</v>
      </c>
      <c r="AC125" s="2" t="str">
        <f t="shared" si="20"/>
        <v>Conflicting Duplicate Order ID</v>
      </c>
      <c r="AD125" s="2">
        <f t="shared" si="21"/>
        <v>0</v>
      </c>
      <c r="AE125" s="2">
        <f t="shared" si="22"/>
        <v>0</v>
      </c>
      <c r="AH125" t="str">
        <f t="shared" si="26"/>
        <v>Sneha Kapoor</v>
      </c>
      <c r="AI125" t="str">
        <f t="shared" si="26"/>
        <v>Small Business</v>
      </c>
      <c r="AJ125" t="str">
        <f t="shared" si="26"/>
        <v>North</v>
      </c>
      <c r="AK125" t="str">
        <f t="shared" si="25"/>
        <v>Punjab</v>
      </c>
      <c r="AL125" t="str">
        <f t="shared" si="25"/>
        <v>Ludhiana</v>
      </c>
      <c r="AM125" t="str">
        <f t="shared" si="25"/>
        <v>Technology</v>
      </c>
      <c r="AN125" t="str">
        <f t="shared" si="25"/>
        <v>Copiers</v>
      </c>
      <c r="AO125" t="str">
        <f t="shared" si="23"/>
        <v>Same Day</v>
      </c>
      <c r="AP125" t="str">
        <f t="shared" si="24"/>
        <v>Refunded</v>
      </c>
      <c r="AQ125" t="str">
        <f t="shared" si="24"/>
        <v>Cancelled</v>
      </c>
    </row>
    <row r="126" spans="1:43">
      <c r="A126" t="s">
        <v>608</v>
      </c>
      <c r="B126" s="3">
        <v>45494</v>
      </c>
      <c r="C126" s="3">
        <v>45497</v>
      </c>
      <c r="D126" t="s">
        <v>609</v>
      </c>
      <c r="E126" t="s">
        <v>132</v>
      </c>
      <c r="F126" t="s">
        <v>177</v>
      </c>
      <c r="G126" t="s">
        <v>140</v>
      </c>
      <c r="H126" t="s">
        <v>270</v>
      </c>
      <c r="I126" t="s">
        <v>271</v>
      </c>
      <c r="J126" t="s">
        <v>160</v>
      </c>
      <c r="K126" t="s">
        <v>166</v>
      </c>
      <c r="L126" t="s">
        <v>610</v>
      </c>
      <c r="M126" t="s">
        <v>145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117</v>
      </c>
      <c r="U126" t="s">
        <v>118</v>
      </c>
      <c r="V126" s="2">
        <f t="shared" si="14"/>
        <v>-0.15</v>
      </c>
      <c r="W126" s="2">
        <f t="shared" si="15"/>
        <v>4813.3709999999992</v>
      </c>
      <c r="X126" s="2">
        <f>W126-R126</f>
        <v>1369.6309999999994</v>
      </c>
      <c r="Y126" s="2">
        <f t="shared" si="16"/>
        <v>0.28454715001191466</v>
      </c>
      <c r="Z126" s="2">
        <f t="shared" si="17"/>
        <v>3</v>
      </c>
      <c r="AA126" s="2">
        <f t="shared" si="18"/>
        <v>7</v>
      </c>
      <c r="AB126" s="2">
        <f t="shared" si="19"/>
        <v>2024</v>
      </c>
      <c r="AC126" s="2" t="str">
        <f t="shared" si="20"/>
        <v>Invalid</v>
      </c>
      <c r="AD126" s="2">
        <f t="shared" si="21"/>
        <v>1</v>
      </c>
      <c r="AE126" s="2">
        <f t="shared" si="22"/>
        <v>1</v>
      </c>
      <c r="AH126" t="str">
        <f t="shared" si="26"/>
        <v>Isha Nair</v>
      </c>
      <c r="AI126" t="str">
        <f t="shared" si="26"/>
        <v>Corporate</v>
      </c>
      <c r="AJ126" t="str">
        <f t="shared" si="26"/>
        <v>South</v>
      </c>
      <c r="AK126" t="str">
        <f t="shared" si="25"/>
        <v>Karnataka</v>
      </c>
      <c r="AL126" t="str">
        <f t="shared" si="25"/>
        <v>Bengaluru</v>
      </c>
      <c r="AM126" t="str">
        <f t="shared" si="25"/>
        <v>Technology</v>
      </c>
      <c r="AN126" t="str">
        <f t="shared" si="25"/>
        <v>Copiers</v>
      </c>
      <c r="AO126" t="str">
        <f t="shared" si="23"/>
        <v>Standard Class</v>
      </c>
      <c r="AP126" t="str">
        <f t="shared" si="24"/>
        <v>Paid</v>
      </c>
      <c r="AQ126" t="str">
        <f t="shared" si="24"/>
        <v>Completed</v>
      </c>
    </row>
    <row r="127" spans="1:43">
      <c r="A127" t="s">
        <v>611</v>
      </c>
      <c r="B127" s="3">
        <v>45855</v>
      </c>
      <c r="C127" s="3" t="s">
        <v>612</v>
      </c>
      <c r="D127" t="s">
        <v>613</v>
      </c>
      <c r="E127" t="s">
        <v>165</v>
      </c>
      <c r="F127" t="s">
        <v>122</v>
      </c>
      <c r="G127" t="s">
        <v>149</v>
      </c>
      <c r="H127" t="s">
        <v>111</v>
      </c>
      <c r="I127" t="s">
        <v>197</v>
      </c>
      <c r="J127" t="s">
        <v>126</v>
      </c>
      <c r="K127" t="s">
        <v>127</v>
      </c>
      <c r="L127" t="s">
        <v>614</v>
      </c>
      <c r="M127" t="s">
        <v>129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189</v>
      </c>
      <c r="U127" t="s">
        <v>190</v>
      </c>
      <c r="V127" s="2">
        <f t="shared" si="14"/>
        <v>0.25</v>
      </c>
      <c r="W127" s="2">
        <f t="shared" si="15"/>
        <v>14558.715</v>
      </c>
      <c r="X127" s="2">
        <f>W127-R127</f>
        <v>4967.2350000000006</v>
      </c>
      <c r="Y127" s="2">
        <f t="shared" si="16"/>
        <v>0.34118636157105903</v>
      </c>
      <c r="Z127" s="2" t="str">
        <f t="shared" si="17"/>
        <v/>
      </c>
      <c r="AA127" s="2">
        <f t="shared" si="18"/>
        <v>7</v>
      </c>
      <c r="AB127" s="2">
        <f t="shared" si="19"/>
        <v>2025</v>
      </c>
      <c r="AC127" s="2" t="str">
        <f t="shared" si="20"/>
        <v>Text Value Not Recognized as Date</v>
      </c>
      <c r="AD127" s="2">
        <f t="shared" si="21"/>
        <v>0</v>
      </c>
      <c r="AE127" s="2">
        <f t="shared" si="22"/>
        <v>0</v>
      </c>
      <c r="AH127" t="str">
        <f t="shared" si="26"/>
        <v>Neha Gupta</v>
      </c>
      <c r="AI127" t="str">
        <f t="shared" si="26"/>
        <v>Small Business</v>
      </c>
      <c r="AJ127" t="str">
        <f t="shared" si="26"/>
        <v>West</v>
      </c>
      <c r="AK127" t="str">
        <f t="shared" si="25"/>
        <v>Rajasthan</v>
      </c>
      <c r="AL127" t="str">
        <f t="shared" si="25"/>
        <v>Udaipur</v>
      </c>
      <c r="AM127" t="str">
        <f t="shared" si="25"/>
        <v>Furniture</v>
      </c>
      <c r="AN127" t="str">
        <f t="shared" si="25"/>
        <v>Tables</v>
      </c>
      <c r="AO127" t="str">
        <f t="shared" si="23"/>
        <v>Same Day</v>
      </c>
      <c r="AP127" t="str">
        <f t="shared" si="24"/>
        <v>Refunded</v>
      </c>
      <c r="AQ127" t="str">
        <f t="shared" si="24"/>
        <v>Returned</v>
      </c>
    </row>
    <row r="128" spans="1:43">
      <c r="A128" t="s">
        <v>615</v>
      </c>
      <c r="B128" s="3" t="s">
        <v>616</v>
      </c>
      <c r="C128" s="3">
        <v>45926</v>
      </c>
      <c r="D128" t="s">
        <v>617</v>
      </c>
      <c r="E128" t="s">
        <v>203</v>
      </c>
      <c r="F128" t="s">
        <v>177</v>
      </c>
      <c r="G128" t="s">
        <v>110</v>
      </c>
      <c r="H128" t="s">
        <v>465</v>
      </c>
      <c r="I128" t="s">
        <v>466</v>
      </c>
      <c r="J128" t="s">
        <v>160</v>
      </c>
      <c r="K128" t="s">
        <v>166</v>
      </c>
      <c r="L128" t="s">
        <v>618</v>
      </c>
      <c r="M128" t="s">
        <v>145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117</v>
      </c>
      <c r="U128" t="s">
        <v>118</v>
      </c>
      <c r="V128" s="2">
        <f t="shared" si="14"/>
        <v>0.1</v>
      </c>
      <c r="W128" s="2">
        <f t="shared" si="15"/>
        <v>4303.4220000000005</v>
      </c>
      <c r="X128" s="2">
        <f>W128-R128</f>
        <v>1734.8520000000003</v>
      </c>
      <c r="Y128" s="2">
        <f t="shared" si="16"/>
        <v>0.40313313451481175</v>
      </c>
      <c r="Z128" s="2" t="str">
        <f t="shared" si="17"/>
        <v/>
      </c>
      <c r="AA128" s="2" t="e">
        <f t="shared" si="18"/>
        <v>#VALUE!</v>
      </c>
      <c r="AB128" s="2" t="e">
        <f t="shared" si="19"/>
        <v>#VALUE!</v>
      </c>
      <c r="AC128" s="2" t="str">
        <f t="shared" si="20"/>
        <v>Text Value Not Recognized as Date</v>
      </c>
      <c r="AD128" s="2">
        <f t="shared" si="21"/>
        <v>0</v>
      </c>
      <c r="AE128" s="2">
        <f t="shared" si="22"/>
        <v>0</v>
      </c>
      <c r="AH128" t="str">
        <f t="shared" si="26"/>
        <v>Priya Menon</v>
      </c>
      <c r="AI128" t="str">
        <f t="shared" si="26"/>
        <v>Corporate</v>
      </c>
      <c r="AJ128" t="str">
        <f t="shared" si="26"/>
        <v>North</v>
      </c>
      <c r="AK128" t="str">
        <f t="shared" si="25"/>
        <v>Delhi</v>
      </c>
      <c r="AL128" t="str">
        <f t="shared" si="25"/>
        <v>New Delhi</v>
      </c>
      <c r="AM128" t="str">
        <f t="shared" si="25"/>
        <v>Technology</v>
      </c>
      <c r="AN128" t="str">
        <f t="shared" si="25"/>
        <v>Copiers</v>
      </c>
      <c r="AO128" t="str">
        <f t="shared" si="23"/>
        <v>Standard Class</v>
      </c>
      <c r="AP128" t="str">
        <f t="shared" si="24"/>
        <v>Paid</v>
      </c>
      <c r="AQ128" t="str">
        <f t="shared" si="24"/>
        <v>Completed</v>
      </c>
    </row>
    <row r="129" spans="1:43">
      <c r="A129" t="s">
        <v>619</v>
      </c>
      <c r="B129" s="3">
        <v>45687</v>
      </c>
      <c r="C129" s="3" t="s">
        <v>620</v>
      </c>
      <c r="D129" t="s">
        <v>621</v>
      </c>
      <c r="E129" t="s">
        <v>203</v>
      </c>
      <c r="F129" t="s">
        <v>177</v>
      </c>
      <c r="G129" t="s">
        <v>149</v>
      </c>
      <c r="H129" t="s">
        <v>158</v>
      </c>
      <c r="I129" t="s">
        <v>159</v>
      </c>
      <c r="J129" t="s">
        <v>113</v>
      </c>
      <c r="K129" t="s">
        <v>213</v>
      </c>
      <c r="L129" t="s">
        <v>622</v>
      </c>
      <c r="M129" t="s">
        <v>116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117</v>
      </c>
      <c r="U129" t="s">
        <v>118</v>
      </c>
      <c r="V129" s="2">
        <f t="shared" si="14"/>
        <v>0.05</v>
      </c>
      <c r="W129" s="2">
        <f t="shared" si="15"/>
        <v>5774.67</v>
      </c>
      <c r="X129" s="2">
        <f>W129-R129</f>
        <v>2256.31</v>
      </c>
      <c r="Y129" s="2">
        <f t="shared" si="16"/>
        <v>0.39072535746631409</v>
      </c>
      <c r="Z129" s="2" t="str">
        <f t="shared" si="17"/>
        <v/>
      </c>
      <c r="AA129" s="2">
        <f t="shared" si="18"/>
        <v>1</v>
      </c>
      <c r="AB129" s="2">
        <f t="shared" si="19"/>
        <v>2025</v>
      </c>
      <c r="AC129" s="2" t="str">
        <f t="shared" si="20"/>
        <v>Conflicting Duplicate Order ID</v>
      </c>
      <c r="AD129" s="2">
        <f t="shared" si="21"/>
        <v>0</v>
      </c>
      <c r="AE129" s="2">
        <f t="shared" si="22"/>
        <v>0</v>
      </c>
      <c r="AH129" t="str">
        <f t="shared" si="26"/>
        <v>Priya Menon</v>
      </c>
      <c r="AI129" t="str">
        <f t="shared" si="26"/>
        <v>Corporate</v>
      </c>
      <c r="AJ129" t="str">
        <f t="shared" si="26"/>
        <v>West</v>
      </c>
      <c r="AK129" t="str">
        <f t="shared" si="25"/>
        <v>Madhya Pradesh</v>
      </c>
      <c r="AL129" t="str">
        <f t="shared" si="25"/>
        <v>Indore</v>
      </c>
      <c r="AM129" t="str">
        <f t="shared" si="25"/>
        <v>Office Supplies</v>
      </c>
      <c r="AN129" t="str">
        <f t="shared" si="25"/>
        <v>Storage</v>
      </c>
      <c r="AO129" t="str">
        <f t="shared" si="23"/>
        <v>Second Class</v>
      </c>
      <c r="AP129" t="str">
        <f t="shared" si="24"/>
        <v>Paid</v>
      </c>
      <c r="AQ129" t="str">
        <f t="shared" si="24"/>
        <v>Completed</v>
      </c>
    </row>
    <row r="130" spans="1:43">
      <c r="A130" t="s">
        <v>623</v>
      </c>
      <c r="B130" s="3">
        <v>45639</v>
      </c>
      <c r="C130" s="3">
        <v>45642</v>
      </c>
      <c r="D130" t="s">
        <v>624</v>
      </c>
      <c r="E130" t="s">
        <v>165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143</v>
      </c>
      <c r="L130" t="s">
        <v>625</v>
      </c>
      <c r="M130" t="s">
        <v>145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117</v>
      </c>
      <c r="U130" t="s">
        <v>190</v>
      </c>
      <c r="V130" s="2">
        <f t="shared" si="14"/>
        <v>0.05</v>
      </c>
      <c r="W130" s="2">
        <f t="shared" si="15"/>
        <v>4386.3874999999998</v>
      </c>
      <c r="X130" s="2">
        <f>W130-R130</f>
        <v>1019.5074999999997</v>
      </c>
      <c r="Y130" s="2">
        <f t="shared" si="16"/>
        <v>0.2324253158208206</v>
      </c>
      <c r="Z130" s="2">
        <f t="shared" si="17"/>
        <v>3</v>
      </c>
      <c r="AA130" s="2">
        <f t="shared" si="18"/>
        <v>12</v>
      </c>
      <c r="AB130" s="2">
        <f t="shared" si="19"/>
        <v>2024</v>
      </c>
      <c r="AC130" s="2" t="str">
        <f t="shared" si="20"/>
        <v>Valid</v>
      </c>
      <c r="AD130" s="2">
        <f t="shared" si="21"/>
        <v>0</v>
      </c>
      <c r="AE130" s="2">
        <f t="shared" si="22"/>
        <v>0</v>
      </c>
      <c r="AH130" t="str">
        <f t="shared" si="26"/>
        <v>Neha Gupta</v>
      </c>
      <c r="AI130" t="str">
        <f t="shared" si="26"/>
        <v>Small Business</v>
      </c>
      <c r="AJ130" t="str">
        <f t="shared" si="26"/>
        <v>East</v>
      </c>
      <c r="AK130" t="str">
        <f t="shared" si="25"/>
        <v>Odisha</v>
      </c>
      <c r="AL130" t="str">
        <f t="shared" si="25"/>
        <v>Bhubaneswar</v>
      </c>
      <c r="AM130" t="str">
        <f t="shared" si="25"/>
        <v>Furniture</v>
      </c>
      <c r="AN130" t="str">
        <f t="shared" si="25"/>
        <v>Furnishings</v>
      </c>
      <c r="AO130" t="str">
        <f t="shared" si="23"/>
        <v>Standard Class</v>
      </c>
      <c r="AP130" t="str">
        <f t="shared" si="24"/>
        <v>Paid</v>
      </c>
      <c r="AQ130" t="str">
        <f t="shared" si="24"/>
        <v>Returned</v>
      </c>
    </row>
    <row r="131" spans="1:43">
      <c r="A131" t="s">
        <v>626</v>
      </c>
      <c r="B131" s="3">
        <v>45492</v>
      </c>
      <c r="C131" s="3" t="s">
        <v>627</v>
      </c>
      <c r="D131" t="s">
        <v>628</v>
      </c>
      <c r="E131" t="s">
        <v>132</v>
      </c>
      <c r="F131" t="s">
        <v>122</v>
      </c>
      <c r="G131" t="s">
        <v>149</v>
      </c>
      <c r="H131" t="s">
        <v>287</v>
      </c>
      <c r="I131" t="s">
        <v>288</v>
      </c>
      <c r="J131" t="s">
        <v>113</v>
      </c>
      <c r="K131" t="s">
        <v>246</v>
      </c>
      <c r="L131" t="s">
        <v>629</v>
      </c>
      <c r="M131" t="s">
        <v>145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117</v>
      </c>
      <c r="U131" t="s">
        <v>118</v>
      </c>
      <c r="V131" s="2">
        <f t="shared" ref="V131:V194" si="27">IF(ISBLANK(P131), 0, P131)</f>
        <v>0.05</v>
      </c>
      <c r="W131" s="2">
        <f t="shared" ref="W131:W194" si="28">N131 * O131 * (1 - P131)</f>
        <v>18229.5785</v>
      </c>
      <c r="X131" s="2">
        <f>W131-R131</f>
        <v>3090.4285</v>
      </c>
      <c r="Y131" s="2">
        <f t="shared" ref="Y131:Y194" si="29">IFERROR(X131 / W131, 0)</f>
        <v>0.16952824773211295</v>
      </c>
      <c r="Z131" s="2" t="str">
        <f t="shared" ref="Z131:Z194" si="30">IF(OR(ISBLANK(B131), ISBLANK(C131), ISTEXT(B131), ISTEXT(C131)), "", C131 - B131)</f>
        <v/>
      </c>
      <c r="AA131" s="2">
        <f t="shared" ref="AA131:AA194" si="31">MONTH(B131)</f>
        <v>7</v>
      </c>
      <c r="AB131" s="2">
        <f t="shared" ref="AB131:AB194" si="32">YEAR(B131)</f>
        <v>2024</v>
      </c>
      <c r="AC131" s="2" t="str">
        <f t="shared" ref="AC131:AC194" si="33">IF(COUNTIF(A:A, A131) &gt; 1, "Conflicting Duplicate Order ID",
 IF(OR(G131="Unknown", ISBLANK(G131)), "Missing region",
 IF(OR(M131="Unknown", ISBLANK(M131)), "Missing ship_mode",
 IF(OR(ISBLANK(B131), ISBLANK(C131)), "Missing Date",
 IF(OR(ISTEXT(B131), ISTEXT(C131)), "Text Value Not Recognized as Date",
 IF(C131 &lt; B131, "Invalid shipping record",
 IF(P131 &lt; 0, "Invalid",
 IF(P131 &gt; 0.7, "Invalid",
 "Valid"))))))))</f>
        <v>Text Value Not Recognized as Date</v>
      </c>
      <c r="AD131" s="2">
        <f t="shared" ref="AD131:AD194" si="34">IF(ABS(Q131 - W131) &gt; 0.01, 1, 0)</f>
        <v>0</v>
      </c>
      <c r="AE131" s="2">
        <f t="shared" ref="AE131:AE194" si="35">IF(ABS(S131 - X131) &gt; 0.01, 1, 0)</f>
        <v>0</v>
      </c>
      <c r="AH131" t="str">
        <f t="shared" si="26"/>
        <v>Isha Nair</v>
      </c>
      <c r="AI131" t="str">
        <f t="shared" si="26"/>
        <v>Small Business</v>
      </c>
      <c r="AJ131" t="str">
        <f t="shared" si="26"/>
        <v>West</v>
      </c>
      <c r="AK131" t="str">
        <f t="shared" si="25"/>
        <v>Goa</v>
      </c>
      <c r="AL131" t="str">
        <f t="shared" si="25"/>
        <v>Panaji</v>
      </c>
      <c r="AM131" t="str">
        <f t="shared" si="25"/>
        <v>Office Supplies</v>
      </c>
      <c r="AN131" t="str">
        <f t="shared" si="25"/>
        <v>Binders</v>
      </c>
      <c r="AO131" t="str">
        <f t="shared" ref="AO131:AO194" si="36">PROPER(TRIM(M131))</f>
        <v>Standard Class</v>
      </c>
      <c r="AP131" t="str">
        <f t="shared" ref="AP131:AQ194" si="37">PROPER(TRIM(T131))</f>
        <v>Paid</v>
      </c>
      <c r="AQ131" t="str">
        <f t="shared" si="37"/>
        <v>Completed</v>
      </c>
    </row>
    <row r="132" spans="1:43">
      <c r="A132" t="s">
        <v>630</v>
      </c>
      <c r="B132" s="3">
        <v>45318</v>
      </c>
      <c r="C132" s="3">
        <v>45324</v>
      </c>
      <c r="D132" t="s">
        <v>631</v>
      </c>
      <c r="E132" t="s">
        <v>139</v>
      </c>
      <c r="F132" t="s">
        <v>109</v>
      </c>
      <c r="G132" t="s">
        <v>149</v>
      </c>
      <c r="H132" t="s">
        <v>276</v>
      </c>
      <c r="I132" t="s">
        <v>277</v>
      </c>
      <c r="J132" t="s">
        <v>113</v>
      </c>
      <c r="K132" t="s">
        <v>178</v>
      </c>
      <c r="L132" t="s">
        <v>632</v>
      </c>
      <c r="M132" t="s">
        <v>129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199</v>
      </c>
      <c r="U132" t="s">
        <v>44</v>
      </c>
      <c r="V132" s="2">
        <f t="shared" si="27"/>
        <v>0.2</v>
      </c>
      <c r="W132" s="2">
        <f t="shared" si="28"/>
        <v>873.68</v>
      </c>
      <c r="X132" s="2">
        <f>W132-R132</f>
        <v>211.95999999999992</v>
      </c>
      <c r="Y132" s="2">
        <f t="shared" si="29"/>
        <v>0.24260598846259493</v>
      </c>
      <c r="Z132" s="2">
        <f t="shared" si="30"/>
        <v>6</v>
      </c>
      <c r="AA132" s="2">
        <f t="shared" si="31"/>
        <v>1</v>
      </c>
      <c r="AB132" s="2">
        <f t="shared" si="32"/>
        <v>2024</v>
      </c>
      <c r="AC132" s="2" t="str">
        <f t="shared" si="33"/>
        <v>Valid</v>
      </c>
      <c r="AD132" s="2">
        <f t="shared" si="34"/>
        <v>0</v>
      </c>
      <c r="AE132" s="2">
        <f t="shared" si="35"/>
        <v>0</v>
      </c>
      <c r="AH132" t="str">
        <f t="shared" si="26"/>
        <v>Arjun Bose</v>
      </c>
      <c r="AI132" t="str">
        <f t="shared" si="26"/>
        <v>Consumer</v>
      </c>
      <c r="AJ132" t="str">
        <f t="shared" si="26"/>
        <v>West</v>
      </c>
      <c r="AK132" t="str">
        <f t="shared" si="25"/>
        <v>Gujarat</v>
      </c>
      <c r="AL132" t="str">
        <f t="shared" si="25"/>
        <v>Ahmedabad</v>
      </c>
      <c r="AM132" t="str">
        <f t="shared" si="25"/>
        <v>Office Supplies</v>
      </c>
      <c r="AN132" t="str">
        <f t="shared" si="25"/>
        <v>Labels</v>
      </c>
      <c r="AO132" t="str">
        <f t="shared" si="36"/>
        <v>Same Day</v>
      </c>
      <c r="AP132" t="str">
        <f t="shared" si="37"/>
        <v>Pending</v>
      </c>
      <c r="AQ132" t="str">
        <f t="shared" si="37"/>
        <v>Cancelled</v>
      </c>
    </row>
    <row r="133" spans="1:43">
      <c r="A133" t="s">
        <v>633</v>
      </c>
      <c r="B133" s="3">
        <v>45929</v>
      </c>
      <c r="C133" s="3">
        <v>45934</v>
      </c>
      <c r="D133" t="s">
        <v>634</v>
      </c>
      <c r="E133" t="s">
        <v>148</v>
      </c>
      <c r="F133" t="s">
        <v>182</v>
      </c>
      <c r="G133" t="s">
        <v>123</v>
      </c>
      <c r="H133" t="s">
        <v>335</v>
      </c>
      <c r="I133" t="s">
        <v>336</v>
      </c>
      <c r="J133" t="s">
        <v>113</v>
      </c>
      <c r="K133" t="s">
        <v>114</v>
      </c>
      <c r="L133" t="s">
        <v>635</v>
      </c>
      <c r="M133" t="s">
        <v>129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117</v>
      </c>
      <c r="U133" t="s">
        <v>118</v>
      </c>
      <c r="V133" s="2">
        <f t="shared" si="27"/>
        <v>0.2</v>
      </c>
      <c r="W133" s="2">
        <f t="shared" si="28"/>
        <v>2692.152</v>
      </c>
      <c r="X133" s="2">
        <f>W133-R133</f>
        <v>647.66200000000003</v>
      </c>
      <c r="Y133" s="2">
        <f t="shared" si="29"/>
        <v>0.24057408348414205</v>
      </c>
      <c r="Z133" s="2">
        <f t="shared" si="30"/>
        <v>5</v>
      </c>
      <c r="AA133" s="2">
        <f t="shared" si="31"/>
        <v>9</v>
      </c>
      <c r="AB133" s="2">
        <f t="shared" si="32"/>
        <v>2025</v>
      </c>
      <c r="AC133" s="2" t="str">
        <f t="shared" si="33"/>
        <v>Valid</v>
      </c>
      <c r="AD133" s="2">
        <f t="shared" si="34"/>
        <v>0</v>
      </c>
      <c r="AE133" s="2">
        <f t="shared" si="35"/>
        <v>0</v>
      </c>
      <c r="AH133" t="str">
        <f t="shared" si="26"/>
        <v>Ananya Rao</v>
      </c>
      <c r="AI133" t="str">
        <f t="shared" si="26"/>
        <v>Home Office</v>
      </c>
      <c r="AJ133" t="str">
        <f t="shared" si="26"/>
        <v>East</v>
      </c>
      <c r="AK133" t="str">
        <f t="shared" si="25"/>
        <v>Jharkhand</v>
      </c>
      <c r="AL133" t="str">
        <f t="shared" si="25"/>
        <v>Ranchi</v>
      </c>
      <c r="AM133" t="str">
        <f t="shared" si="25"/>
        <v>Office Supplies</v>
      </c>
      <c r="AN133" t="str">
        <f t="shared" si="25"/>
        <v>Paper</v>
      </c>
      <c r="AO133" t="str">
        <f t="shared" si="36"/>
        <v>Same Day</v>
      </c>
      <c r="AP133" t="str">
        <f t="shared" si="37"/>
        <v>Paid</v>
      </c>
      <c r="AQ133" t="str">
        <f t="shared" si="37"/>
        <v>Completed</v>
      </c>
    </row>
    <row r="134" spans="1:43">
      <c r="A134" t="s">
        <v>636</v>
      </c>
      <c r="B134" s="3">
        <v>45600</v>
      </c>
      <c r="C134" s="3">
        <v>45600</v>
      </c>
      <c r="D134" t="s">
        <v>637</v>
      </c>
      <c r="E134" t="s">
        <v>375</v>
      </c>
      <c r="F134" t="s">
        <v>177</v>
      </c>
      <c r="G134" t="s">
        <v>123</v>
      </c>
      <c r="H134" t="s">
        <v>260</v>
      </c>
      <c r="I134" t="s">
        <v>261</v>
      </c>
      <c r="J134" t="s">
        <v>160</v>
      </c>
      <c r="K134" t="s">
        <v>385</v>
      </c>
      <c r="L134" t="s">
        <v>638</v>
      </c>
      <c r="M134" t="s">
        <v>135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248</v>
      </c>
      <c r="U134" t="s">
        <v>44</v>
      </c>
      <c r="V134" s="2">
        <f t="shared" si="27"/>
        <v>0</v>
      </c>
      <c r="W134" s="2">
        <f t="shared" si="28"/>
        <v>1066.1600000000001</v>
      </c>
      <c r="X134" s="2">
        <f>W134-R134</f>
        <v>409.86000000000013</v>
      </c>
      <c r="Y134" s="2">
        <f t="shared" si="29"/>
        <v>0.38442635251744589</v>
      </c>
      <c r="Z134" s="2">
        <f t="shared" si="30"/>
        <v>0</v>
      </c>
      <c r="AA134" s="2">
        <f t="shared" si="31"/>
        <v>11</v>
      </c>
      <c r="AB134" s="2">
        <f t="shared" si="32"/>
        <v>2024</v>
      </c>
      <c r="AC134" s="2" t="str">
        <f t="shared" si="33"/>
        <v>Valid</v>
      </c>
      <c r="AD134" s="2">
        <f t="shared" si="34"/>
        <v>0</v>
      </c>
      <c r="AE134" s="2">
        <f t="shared" si="35"/>
        <v>0</v>
      </c>
      <c r="AH134" t="str">
        <f t="shared" si="26"/>
        <v>Kabir Singh</v>
      </c>
      <c r="AI134" t="str">
        <f t="shared" si="26"/>
        <v>Corporate</v>
      </c>
      <c r="AJ134" t="str">
        <f t="shared" si="26"/>
        <v>East</v>
      </c>
      <c r="AK134" t="str">
        <f t="shared" si="25"/>
        <v>Assam</v>
      </c>
      <c r="AL134" t="str">
        <f t="shared" si="25"/>
        <v>Guwahati</v>
      </c>
      <c r="AM134" t="str">
        <f t="shared" si="25"/>
        <v>Technology</v>
      </c>
      <c r="AN134" t="str">
        <f t="shared" si="25"/>
        <v>Machines</v>
      </c>
      <c r="AO134" t="str">
        <f t="shared" si="36"/>
        <v>First Class</v>
      </c>
      <c r="AP134" t="str">
        <f t="shared" si="37"/>
        <v>Failed</v>
      </c>
      <c r="AQ134" t="str">
        <f t="shared" si="37"/>
        <v>Cancelled</v>
      </c>
    </row>
    <row r="135" spans="1:43">
      <c r="A135" t="s">
        <v>639</v>
      </c>
      <c r="B135" s="3">
        <v>45639</v>
      </c>
      <c r="C135" s="3">
        <v>45644</v>
      </c>
      <c r="D135" t="s">
        <v>640</v>
      </c>
      <c r="E135" t="s">
        <v>108</v>
      </c>
      <c r="F135" t="s">
        <v>109</v>
      </c>
      <c r="G135" t="s">
        <v>149</v>
      </c>
      <c r="H135" t="s">
        <v>287</v>
      </c>
      <c r="I135" t="s">
        <v>288</v>
      </c>
      <c r="J135" t="s">
        <v>160</v>
      </c>
      <c r="K135" t="s">
        <v>266</v>
      </c>
      <c r="L135" t="s">
        <v>641</v>
      </c>
      <c r="M135" t="s">
        <v>116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117</v>
      </c>
      <c r="U135" t="s">
        <v>118</v>
      </c>
      <c r="V135" s="2">
        <f t="shared" si="27"/>
        <v>0.15</v>
      </c>
      <c r="W135" s="2">
        <f t="shared" si="28"/>
        <v>22930.62</v>
      </c>
      <c r="X135" s="2">
        <f>W135-R135</f>
        <v>6055.07</v>
      </c>
      <c r="Y135" s="2">
        <f t="shared" si="29"/>
        <v>0.26406045715292475</v>
      </c>
      <c r="Z135" s="2">
        <f t="shared" si="30"/>
        <v>5</v>
      </c>
      <c r="AA135" s="2">
        <f t="shared" si="31"/>
        <v>12</v>
      </c>
      <c r="AB135" s="2">
        <f t="shared" si="32"/>
        <v>2024</v>
      </c>
      <c r="AC135" s="2" t="str">
        <f t="shared" si="33"/>
        <v>Conflicting Duplicate Order ID</v>
      </c>
      <c r="AD135" s="2">
        <f t="shared" si="34"/>
        <v>0</v>
      </c>
      <c r="AE135" s="2">
        <f t="shared" si="35"/>
        <v>0</v>
      </c>
      <c r="AH135" t="str">
        <f t="shared" si="26"/>
        <v>Karan Malhotra</v>
      </c>
      <c r="AI135" t="str">
        <f t="shared" si="26"/>
        <v>Consumer</v>
      </c>
      <c r="AJ135" t="str">
        <f t="shared" si="26"/>
        <v>West</v>
      </c>
      <c r="AK135" t="str">
        <f t="shared" si="25"/>
        <v>Goa</v>
      </c>
      <c r="AL135" t="str">
        <f t="shared" si="25"/>
        <v>Panaji</v>
      </c>
      <c r="AM135" t="str">
        <f t="shared" si="25"/>
        <v>Technology</v>
      </c>
      <c r="AN135" t="str">
        <f t="shared" si="25"/>
        <v>Phones</v>
      </c>
      <c r="AO135" t="str">
        <f t="shared" si="36"/>
        <v>Second Class</v>
      </c>
      <c r="AP135" t="str">
        <f t="shared" si="37"/>
        <v>Paid</v>
      </c>
      <c r="AQ135" t="str">
        <f t="shared" si="37"/>
        <v>Completed</v>
      </c>
    </row>
    <row r="136" spans="1:43">
      <c r="A136" t="s">
        <v>642</v>
      </c>
      <c r="B136" s="3">
        <v>45852</v>
      </c>
      <c r="C136" s="3">
        <v>45852</v>
      </c>
      <c r="D136" t="s">
        <v>643</v>
      </c>
      <c r="E136" t="s">
        <v>157</v>
      </c>
      <c r="F136" t="s">
        <v>182</v>
      </c>
      <c r="G136" t="s">
        <v>123</v>
      </c>
      <c r="H136" t="s">
        <v>186</v>
      </c>
      <c r="I136" t="s">
        <v>187</v>
      </c>
      <c r="J136" t="s">
        <v>126</v>
      </c>
      <c r="K136" t="s">
        <v>252</v>
      </c>
      <c r="L136" t="s">
        <v>644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199</v>
      </c>
      <c r="U136" t="s">
        <v>44</v>
      </c>
      <c r="V136" s="2">
        <f t="shared" si="27"/>
        <v>0.25</v>
      </c>
      <c r="W136" s="2">
        <f t="shared" si="28"/>
        <v>1436.625</v>
      </c>
      <c r="X136" s="2">
        <f>W136-R136</f>
        <v>524.10500000000002</v>
      </c>
      <c r="Y136" s="2">
        <f t="shared" si="29"/>
        <v>0.36481684503610895</v>
      </c>
      <c r="Z136" s="2">
        <f t="shared" si="30"/>
        <v>0</v>
      </c>
      <c r="AA136" s="2">
        <f t="shared" si="31"/>
        <v>7</v>
      </c>
      <c r="AB136" s="2">
        <f t="shared" si="32"/>
        <v>2025</v>
      </c>
      <c r="AC136" s="2" t="str">
        <f t="shared" si="33"/>
        <v>Missing ship_mode</v>
      </c>
      <c r="AD136" s="2">
        <f t="shared" si="34"/>
        <v>0</v>
      </c>
      <c r="AE136" s="2">
        <f t="shared" si="35"/>
        <v>0</v>
      </c>
      <c r="AH136" t="str">
        <f t="shared" si="26"/>
        <v>Vikram Iyer</v>
      </c>
      <c r="AI136" t="str">
        <f t="shared" si="26"/>
        <v>Home Office</v>
      </c>
      <c r="AJ136" t="str">
        <f t="shared" si="26"/>
        <v>East</v>
      </c>
      <c r="AK136" t="str">
        <f t="shared" si="25"/>
        <v>West Bengal</v>
      </c>
      <c r="AL136" t="str">
        <f t="shared" si="25"/>
        <v>Kolkata</v>
      </c>
      <c r="AM136" t="str">
        <f t="shared" si="25"/>
        <v>Furniture</v>
      </c>
      <c r="AN136" t="str">
        <f t="shared" si="25"/>
        <v>Bookcases</v>
      </c>
      <c r="AO136" t="s">
        <v>306</v>
      </c>
      <c r="AP136" t="str">
        <f t="shared" si="37"/>
        <v>Pending</v>
      </c>
      <c r="AQ136" t="str">
        <f t="shared" si="37"/>
        <v>Cancelled</v>
      </c>
    </row>
    <row r="137" spans="1:43">
      <c r="A137" t="s">
        <v>645</v>
      </c>
      <c r="B137" s="3">
        <v>45893</v>
      </c>
      <c r="C137" s="3">
        <v>45893</v>
      </c>
      <c r="D137" t="s">
        <v>646</v>
      </c>
      <c r="E137" t="s">
        <v>256</v>
      </c>
      <c r="F137" t="s">
        <v>122</v>
      </c>
      <c r="G137" t="s">
        <v>140</v>
      </c>
      <c r="H137" t="s">
        <v>282</v>
      </c>
      <c r="I137" t="s">
        <v>283</v>
      </c>
      <c r="J137" t="s">
        <v>126</v>
      </c>
      <c r="K137" t="s">
        <v>252</v>
      </c>
      <c r="L137" t="s">
        <v>647</v>
      </c>
      <c r="M137" t="s">
        <v>145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117</v>
      </c>
      <c r="U137" t="s">
        <v>118</v>
      </c>
      <c r="V137" s="2">
        <f t="shared" si="27"/>
        <v>0</v>
      </c>
      <c r="W137" s="2">
        <f t="shared" si="28"/>
        <v>3424.78</v>
      </c>
      <c r="X137" s="2">
        <f>W137-R137</f>
        <v>1473.3300000000002</v>
      </c>
      <c r="Y137" s="2">
        <f t="shared" si="29"/>
        <v>0.43019697615613267</v>
      </c>
      <c r="Z137" s="2">
        <f t="shared" si="30"/>
        <v>0</v>
      </c>
      <c r="AA137" s="2">
        <f t="shared" si="31"/>
        <v>8</v>
      </c>
      <c r="AB137" s="2">
        <f t="shared" si="32"/>
        <v>2025</v>
      </c>
      <c r="AC137" s="2" t="str">
        <f t="shared" si="33"/>
        <v>Valid</v>
      </c>
      <c r="AD137" s="2">
        <f t="shared" si="34"/>
        <v>0</v>
      </c>
      <c r="AE137" s="2">
        <f t="shared" si="35"/>
        <v>0</v>
      </c>
      <c r="AH137" t="str">
        <f t="shared" si="26"/>
        <v>Diya Patel</v>
      </c>
      <c r="AI137" t="str">
        <f t="shared" si="26"/>
        <v>Small Business</v>
      </c>
      <c r="AJ137" t="str">
        <f t="shared" si="26"/>
        <v>South</v>
      </c>
      <c r="AK137" t="str">
        <f t="shared" si="25"/>
        <v>Kerala</v>
      </c>
      <c r="AL137" t="str">
        <f t="shared" si="25"/>
        <v>Kochi</v>
      </c>
      <c r="AM137" t="str">
        <f t="shared" si="25"/>
        <v>Furniture</v>
      </c>
      <c r="AN137" t="str">
        <f t="shared" si="25"/>
        <v>Bookcases</v>
      </c>
      <c r="AO137" t="str">
        <f t="shared" si="36"/>
        <v>Standard Class</v>
      </c>
      <c r="AP137" t="str">
        <f t="shared" si="37"/>
        <v>Paid</v>
      </c>
      <c r="AQ137" t="str">
        <f t="shared" si="37"/>
        <v>Completed</v>
      </c>
    </row>
    <row r="138" spans="1:43">
      <c r="A138" t="s">
        <v>648</v>
      </c>
      <c r="B138" s="3">
        <v>45902</v>
      </c>
      <c r="C138" s="3" t="s">
        <v>649</v>
      </c>
      <c r="D138" t="s">
        <v>650</v>
      </c>
      <c r="E138" t="s">
        <v>121</v>
      </c>
      <c r="F138" t="s">
        <v>182</v>
      </c>
      <c r="G138" t="s">
        <v>123</v>
      </c>
      <c r="H138" t="s">
        <v>335</v>
      </c>
      <c r="I138" t="s">
        <v>336</v>
      </c>
      <c r="J138" t="s">
        <v>113</v>
      </c>
      <c r="K138" t="s">
        <v>246</v>
      </c>
      <c r="L138" t="s">
        <v>651</v>
      </c>
      <c r="M138" t="s">
        <v>652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117</v>
      </c>
      <c r="U138" t="s">
        <v>118</v>
      </c>
      <c r="V138" s="2">
        <f t="shared" si="27"/>
        <v>0.2</v>
      </c>
      <c r="W138" s="2">
        <f t="shared" si="28"/>
        <v>31178.376000000004</v>
      </c>
      <c r="X138" s="2">
        <f>W138-R138</f>
        <v>9757.2860000000037</v>
      </c>
      <c r="Y138" s="2">
        <f t="shared" si="29"/>
        <v>0.31295042435821552</v>
      </c>
      <c r="Z138" s="2" t="str">
        <f t="shared" si="30"/>
        <v/>
      </c>
      <c r="AA138" s="2">
        <f t="shared" si="31"/>
        <v>9</v>
      </c>
      <c r="AB138" s="2">
        <f t="shared" si="32"/>
        <v>2025</v>
      </c>
      <c r="AC138" s="2" t="str">
        <f t="shared" si="33"/>
        <v>Text Value Not Recognized as Date</v>
      </c>
      <c r="AD138" s="2">
        <f t="shared" si="34"/>
        <v>0</v>
      </c>
      <c r="AE138" s="2">
        <f t="shared" si="35"/>
        <v>0</v>
      </c>
      <c r="AH138" t="str">
        <f t="shared" si="26"/>
        <v>Mira Das</v>
      </c>
      <c r="AI138" t="str">
        <f t="shared" si="26"/>
        <v>Home Office</v>
      </c>
      <c r="AJ138" t="str">
        <f t="shared" si="26"/>
        <v>East</v>
      </c>
      <c r="AK138" t="str">
        <f t="shared" si="25"/>
        <v>Jharkhand</v>
      </c>
      <c r="AL138" t="str">
        <f t="shared" si="25"/>
        <v>Ranchi</v>
      </c>
      <c r="AM138" t="str">
        <f t="shared" si="25"/>
        <v>Office Supplies</v>
      </c>
      <c r="AN138" t="str">
        <f t="shared" si="25"/>
        <v>Binders</v>
      </c>
      <c r="AO138" t="str">
        <f t="shared" si="36"/>
        <v>Standard Class</v>
      </c>
      <c r="AP138" t="str">
        <f t="shared" si="37"/>
        <v>Paid</v>
      </c>
      <c r="AQ138" t="str">
        <f t="shared" si="37"/>
        <v>Completed</v>
      </c>
    </row>
    <row r="139" spans="1:43">
      <c r="A139" t="s">
        <v>653</v>
      </c>
      <c r="B139" s="3">
        <v>45666</v>
      </c>
      <c r="C139" s="3">
        <v>45666</v>
      </c>
      <c r="D139" t="s">
        <v>654</v>
      </c>
      <c r="E139" t="s">
        <v>222</v>
      </c>
      <c r="F139" t="s">
        <v>122</v>
      </c>
      <c r="G139" t="s">
        <v>110</v>
      </c>
      <c r="H139" t="s">
        <v>111</v>
      </c>
      <c r="I139" t="s">
        <v>112</v>
      </c>
      <c r="J139" t="s">
        <v>126</v>
      </c>
      <c r="K139" t="s">
        <v>152</v>
      </c>
      <c r="L139" t="s">
        <v>655</v>
      </c>
      <c r="M139" t="s">
        <v>129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117</v>
      </c>
      <c r="U139" t="s">
        <v>118</v>
      </c>
      <c r="V139" s="2">
        <f t="shared" si="27"/>
        <v>0.1</v>
      </c>
      <c r="W139" s="2">
        <f t="shared" si="28"/>
        <v>19202.904000000002</v>
      </c>
      <c r="X139" s="2">
        <f>W139-R139</f>
        <v>3676.2840000000015</v>
      </c>
      <c r="Y139" s="2">
        <f t="shared" si="29"/>
        <v>0.19144416906942829</v>
      </c>
      <c r="Z139" s="2">
        <f t="shared" si="30"/>
        <v>0</v>
      </c>
      <c r="AA139" s="2">
        <f t="shared" si="31"/>
        <v>1</v>
      </c>
      <c r="AB139" s="2">
        <f t="shared" si="32"/>
        <v>2025</v>
      </c>
      <c r="AC139" s="2" t="str">
        <f t="shared" si="33"/>
        <v>Valid</v>
      </c>
      <c r="AD139" s="2">
        <f t="shared" si="34"/>
        <v>0</v>
      </c>
      <c r="AE139" s="2">
        <f t="shared" si="35"/>
        <v>0</v>
      </c>
      <c r="AH139" t="str">
        <f t="shared" si="26"/>
        <v>Sneha Kapoor</v>
      </c>
      <c r="AI139" t="str">
        <f t="shared" si="26"/>
        <v>Small Business</v>
      </c>
      <c r="AJ139" t="str">
        <f t="shared" si="26"/>
        <v>North</v>
      </c>
      <c r="AK139" t="str">
        <f t="shared" si="25"/>
        <v>Rajasthan</v>
      </c>
      <c r="AL139" t="str">
        <f t="shared" si="25"/>
        <v>Jaipur</v>
      </c>
      <c r="AM139" t="str">
        <f t="shared" si="25"/>
        <v>Furniture</v>
      </c>
      <c r="AN139" t="str">
        <f t="shared" si="25"/>
        <v>Chairs</v>
      </c>
      <c r="AO139" t="str">
        <f t="shared" si="36"/>
        <v>Same Day</v>
      </c>
      <c r="AP139" t="str">
        <f t="shared" si="37"/>
        <v>Paid</v>
      </c>
      <c r="AQ139" t="str">
        <f t="shared" si="37"/>
        <v>Completed</v>
      </c>
    </row>
    <row r="140" spans="1:43">
      <c r="A140" t="s">
        <v>656</v>
      </c>
      <c r="B140" s="3">
        <v>45311</v>
      </c>
      <c r="C140" s="3" t="s">
        <v>657</v>
      </c>
      <c r="D140" t="s">
        <v>658</v>
      </c>
      <c r="E140" t="s">
        <v>256</v>
      </c>
      <c r="F140" t="s">
        <v>182</v>
      </c>
      <c r="G140" t="s">
        <v>123</v>
      </c>
      <c r="H140" t="s">
        <v>335</v>
      </c>
      <c r="I140" t="s">
        <v>336</v>
      </c>
      <c r="J140" t="s">
        <v>160</v>
      </c>
      <c r="K140" t="s">
        <v>385</v>
      </c>
      <c r="L140" t="s">
        <v>659</v>
      </c>
      <c r="M140" t="s">
        <v>145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117</v>
      </c>
      <c r="U140" t="s">
        <v>118</v>
      </c>
      <c r="V140" s="2">
        <f t="shared" si="27"/>
        <v>0.25</v>
      </c>
      <c r="W140" s="2">
        <f t="shared" si="28"/>
        <v>24018.300000000003</v>
      </c>
      <c r="X140" s="2">
        <f>W140-R140</f>
        <v>9947.5200000000023</v>
      </c>
      <c r="Y140" s="2">
        <f t="shared" si="29"/>
        <v>0.41416419979765434</v>
      </c>
      <c r="Z140" s="2" t="str">
        <f t="shared" si="30"/>
        <v/>
      </c>
      <c r="AA140" s="2">
        <f t="shared" si="31"/>
        <v>1</v>
      </c>
      <c r="AB140" s="2">
        <f t="shared" si="32"/>
        <v>2024</v>
      </c>
      <c r="AC140" s="2" t="str">
        <f t="shared" si="33"/>
        <v>Text Value Not Recognized as Date</v>
      </c>
      <c r="AD140" s="2">
        <f t="shared" si="34"/>
        <v>0</v>
      </c>
      <c r="AE140" s="2">
        <f t="shared" si="35"/>
        <v>0</v>
      </c>
      <c r="AH140" t="str">
        <f t="shared" si="26"/>
        <v>Diya Patel</v>
      </c>
      <c r="AI140" t="str">
        <f t="shared" si="26"/>
        <v>Home Office</v>
      </c>
      <c r="AJ140" t="str">
        <f t="shared" si="26"/>
        <v>East</v>
      </c>
      <c r="AK140" t="str">
        <f t="shared" si="25"/>
        <v>Jharkhand</v>
      </c>
      <c r="AL140" t="str">
        <f t="shared" si="25"/>
        <v>Ranchi</v>
      </c>
      <c r="AM140" t="str">
        <f t="shared" si="25"/>
        <v>Technology</v>
      </c>
      <c r="AN140" t="str">
        <f t="shared" si="25"/>
        <v>Machines</v>
      </c>
      <c r="AO140" t="str">
        <f t="shared" si="36"/>
        <v>Standard Class</v>
      </c>
      <c r="AP140" t="str">
        <f t="shared" si="37"/>
        <v>Paid</v>
      </c>
      <c r="AQ140" t="str">
        <f t="shared" si="37"/>
        <v>Completed</v>
      </c>
    </row>
    <row r="141" spans="1:43">
      <c r="A141" t="s">
        <v>660</v>
      </c>
      <c r="B141" s="3">
        <v>45718</v>
      </c>
      <c r="C141" s="3">
        <v>45841</v>
      </c>
      <c r="D141" t="s">
        <v>661</v>
      </c>
      <c r="E141" t="s">
        <v>165</v>
      </c>
      <c r="F141" t="s">
        <v>182</v>
      </c>
      <c r="G141" t="s">
        <v>140</v>
      </c>
      <c r="H141" t="s">
        <v>270</v>
      </c>
      <c r="I141" t="s">
        <v>271</v>
      </c>
      <c r="J141" t="s">
        <v>113</v>
      </c>
      <c r="K141" t="s">
        <v>178</v>
      </c>
      <c r="L141" t="s">
        <v>662</v>
      </c>
      <c r="M141" t="s">
        <v>145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117</v>
      </c>
      <c r="U141" t="s">
        <v>118</v>
      </c>
      <c r="V141" s="2">
        <f t="shared" si="27"/>
        <v>0</v>
      </c>
      <c r="W141" s="2">
        <f t="shared" si="28"/>
        <v>10301.040000000001</v>
      </c>
      <c r="X141" s="2">
        <f>W141-R141</f>
        <v>3736.9800000000005</v>
      </c>
      <c r="Y141" s="2">
        <f t="shared" si="29"/>
        <v>0.3627769623261341</v>
      </c>
      <c r="Z141" s="2">
        <f t="shared" si="30"/>
        <v>123</v>
      </c>
      <c r="AA141" s="2">
        <f t="shared" si="31"/>
        <v>3</v>
      </c>
      <c r="AB141" s="2">
        <f t="shared" si="32"/>
        <v>2025</v>
      </c>
      <c r="AC141" s="2" t="str">
        <f t="shared" si="33"/>
        <v>Valid</v>
      </c>
      <c r="AD141" s="2">
        <f t="shared" si="34"/>
        <v>0</v>
      </c>
      <c r="AE141" s="2">
        <f t="shared" si="35"/>
        <v>0</v>
      </c>
      <c r="AH141" t="str">
        <f t="shared" si="26"/>
        <v>Neha Gupta</v>
      </c>
      <c r="AI141" t="str">
        <f t="shared" si="26"/>
        <v>Home Office</v>
      </c>
      <c r="AJ141" t="str">
        <f t="shared" si="26"/>
        <v>South</v>
      </c>
      <c r="AK141" t="str">
        <f t="shared" si="25"/>
        <v>Karnataka</v>
      </c>
      <c r="AL141" t="str">
        <f t="shared" si="25"/>
        <v>Bengaluru</v>
      </c>
      <c r="AM141" t="str">
        <f t="shared" si="25"/>
        <v>Office Supplies</v>
      </c>
      <c r="AN141" t="str">
        <f t="shared" si="25"/>
        <v>Labels</v>
      </c>
      <c r="AO141" t="str">
        <f t="shared" si="36"/>
        <v>Standard Class</v>
      </c>
      <c r="AP141" t="str">
        <f t="shared" si="37"/>
        <v>Paid</v>
      </c>
      <c r="AQ141" t="str">
        <f t="shared" si="37"/>
        <v>Completed</v>
      </c>
    </row>
    <row r="142" spans="1:43">
      <c r="A142" t="s">
        <v>663</v>
      </c>
      <c r="B142" s="3" t="s">
        <v>664</v>
      </c>
      <c r="C142" s="3">
        <v>45444</v>
      </c>
      <c r="D142" t="s">
        <v>665</v>
      </c>
      <c r="E142" t="s">
        <v>121</v>
      </c>
      <c r="F142" t="s">
        <v>177</v>
      </c>
      <c r="G142" t="s">
        <v>140</v>
      </c>
      <c r="H142" t="s">
        <v>270</v>
      </c>
      <c r="I142" t="s">
        <v>271</v>
      </c>
      <c r="J142" t="s">
        <v>126</v>
      </c>
      <c r="K142" t="s">
        <v>252</v>
      </c>
      <c r="L142" t="s">
        <v>666</v>
      </c>
      <c r="M142" t="s">
        <v>129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117</v>
      </c>
      <c r="U142" t="s">
        <v>118</v>
      </c>
      <c r="V142" s="2">
        <f t="shared" si="27"/>
        <v>0</v>
      </c>
      <c r="W142" s="2">
        <f t="shared" si="28"/>
        <v>8743.6500000000015</v>
      </c>
      <c r="X142" s="2">
        <f>W142-R142</f>
        <v>2139.8900000000012</v>
      </c>
      <c r="Y142" s="2">
        <f t="shared" si="29"/>
        <v>0.24473646589239059</v>
      </c>
      <c r="Z142" s="2" t="str">
        <f t="shared" si="30"/>
        <v/>
      </c>
      <c r="AA142" s="2" t="e">
        <f t="shared" si="31"/>
        <v>#VALUE!</v>
      </c>
      <c r="AB142" s="2" t="e">
        <f t="shared" si="32"/>
        <v>#VALUE!</v>
      </c>
      <c r="AC142" s="2" t="str">
        <f t="shared" si="33"/>
        <v>Text Value Not Recognized as Date</v>
      </c>
      <c r="AD142" s="2">
        <f t="shared" si="34"/>
        <v>0</v>
      </c>
      <c r="AE142" s="2">
        <f t="shared" si="35"/>
        <v>0</v>
      </c>
      <c r="AH142" t="str">
        <f t="shared" si="26"/>
        <v>Mira Das</v>
      </c>
      <c r="AI142" t="str">
        <f t="shared" si="26"/>
        <v>Corporate</v>
      </c>
      <c r="AJ142" t="str">
        <f t="shared" si="26"/>
        <v>South</v>
      </c>
      <c r="AK142" t="str">
        <f t="shared" si="25"/>
        <v>Karnataka</v>
      </c>
      <c r="AL142" t="str">
        <f t="shared" si="25"/>
        <v>Bengaluru</v>
      </c>
      <c r="AM142" t="str">
        <f t="shared" si="25"/>
        <v>Furniture</v>
      </c>
      <c r="AN142" t="str">
        <f t="shared" si="25"/>
        <v>Bookcases</v>
      </c>
      <c r="AO142" t="str">
        <f t="shared" si="36"/>
        <v>Same Day</v>
      </c>
      <c r="AP142" t="str">
        <f t="shared" si="37"/>
        <v>Paid</v>
      </c>
      <c r="AQ142" t="str">
        <f t="shared" si="37"/>
        <v>Completed</v>
      </c>
    </row>
    <row r="143" spans="1:43">
      <c r="A143" t="s">
        <v>667</v>
      </c>
      <c r="B143" s="3">
        <v>45374</v>
      </c>
      <c r="C143" s="3">
        <v>45380</v>
      </c>
      <c r="D143" t="s">
        <v>668</v>
      </c>
      <c r="E143" t="s">
        <v>203</v>
      </c>
      <c r="F143" t="s">
        <v>177</v>
      </c>
      <c r="G143" t="s">
        <v>110</v>
      </c>
      <c r="H143" t="s">
        <v>465</v>
      </c>
      <c r="I143" t="s">
        <v>466</v>
      </c>
      <c r="J143" t="s">
        <v>126</v>
      </c>
      <c r="K143" t="s">
        <v>252</v>
      </c>
      <c r="L143" t="s">
        <v>669</v>
      </c>
      <c r="M143" t="s">
        <v>129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117</v>
      </c>
      <c r="U143" t="s">
        <v>190</v>
      </c>
      <c r="V143" s="2">
        <f t="shared" si="27"/>
        <v>0.1</v>
      </c>
      <c r="W143" s="2">
        <f t="shared" si="28"/>
        <v>3996.027</v>
      </c>
      <c r="X143" s="2">
        <f>W143-R143</f>
        <v>1136.5169999999998</v>
      </c>
      <c r="Y143" s="2">
        <f t="shared" si="29"/>
        <v>0.28441174196270441</v>
      </c>
      <c r="Z143" s="2">
        <f t="shared" si="30"/>
        <v>6</v>
      </c>
      <c r="AA143" s="2">
        <f t="shared" si="31"/>
        <v>3</v>
      </c>
      <c r="AB143" s="2">
        <f t="shared" si="32"/>
        <v>2024</v>
      </c>
      <c r="AC143" s="2" t="str">
        <f t="shared" si="33"/>
        <v>Valid</v>
      </c>
      <c r="AD143" s="2">
        <f t="shared" si="34"/>
        <v>0</v>
      </c>
      <c r="AE143" s="2">
        <f t="shared" si="35"/>
        <v>0</v>
      </c>
      <c r="AH143" t="str">
        <f t="shared" si="26"/>
        <v>Priya Menon</v>
      </c>
      <c r="AI143" t="str">
        <f t="shared" si="26"/>
        <v>Corporate</v>
      </c>
      <c r="AJ143" t="str">
        <f t="shared" si="26"/>
        <v>North</v>
      </c>
      <c r="AK143" t="str">
        <f t="shared" si="25"/>
        <v>Delhi</v>
      </c>
      <c r="AL143" t="str">
        <f t="shared" si="25"/>
        <v>New Delhi</v>
      </c>
      <c r="AM143" t="str">
        <f t="shared" si="25"/>
        <v>Furniture</v>
      </c>
      <c r="AN143" t="str">
        <f t="shared" si="25"/>
        <v>Bookcases</v>
      </c>
      <c r="AO143" t="str">
        <f t="shared" si="36"/>
        <v>Same Day</v>
      </c>
      <c r="AP143" t="str">
        <f t="shared" si="37"/>
        <v>Paid</v>
      </c>
      <c r="AQ143" t="str">
        <f t="shared" si="37"/>
        <v>Returned</v>
      </c>
    </row>
    <row r="144" spans="1:43">
      <c r="A144" t="s">
        <v>670</v>
      </c>
      <c r="B144" s="3">
        <v>45381</v>
      </c>
      <c r="C144" s="3">
        <v>45377</v>
      </c>
      <c r="D144" t="s">
        <v>671</v>
      </c>
      <c r="E144" t="s">
        <v>176</v>
      </c>
      <c r="F144" t="s">
        <v>182</v>
      </c>
      <c r="G144" t="s">
        <v>110</v>
      </c>
      <c r="H144" t="s">
        <v>111</v>
      </c>
      <c r="I144" t="s">
        <v>112</v>
      </c>
      <c r="J144" t="s">
        <v>160</v>
      </c>
      <c r="K144" t="s">
        <v>266</v>
      </c>
      <c r="L144" t="s">
        <v>672</v>
      </c>
      <c r="M144" t="s">
        <v>116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117</v>
      </c>
      <c r="U144" t="s">
        <v>118</v>
      </c>
      <c r="V144" s="2">
        <f t="shared" si="27"/>
        <v>0.15</v>
      </c>
      <c r="W144" s="2">
        <f t="shared" si="28"/>
        <v>3857.0449999999996</v>
      </c>
      <c r="X144" s="2">
        <f>W144-R144</f>
        <v>1087.7849999999994</v>
      </c>
      <c r="Y144" s="2">
        <f t="shared" si="29"/>
        <v>0.28202548842442843</v>
      </c>
      <c r="Z144" s="2">
        <f t="shared" si="30"/>
        <v>-4</v>
      </c>
      <c r="AA144" s="2">
        <f t="shared" si="31"/>
        <v>3</v>
      </c>
      <c r="AB144" s="2">
        <f t="shared" si="32"/>
        <v>2024</v>
      </c>
      <c r="AC144" s="2" t="str">
        <f t="shared" si="33"/>
        <v>Conflicting Duplicate Order ID</v>
      </c>
      <c r="AD144" s="2">
        <f t="shared" si="34"/>
        <v>0</v>
      </c>
      <c r="AE144" s="2">
        <f t="shared" si="35"/>
        <v>0</v>
      </c>
      <c r="AH144" t="str">
        <f t="shared" si="26"/>
        <v>Aditi Sen</v>
      </c>
      <c r="AI144" t="str">
        <f t="shared" si="26"/>
        <v>Home Office</v>
      </c>
      <c r="AJ144" t="str">
        <f t="shared" si="26"/>
        <v>North</v>
      </c>
      <c r="AK144" t="str">
        <f t="shared" si="25"/>
        <v>Rajasthan</v>
      </c>
      <c r="AL144" t="str">
        <f t="shared" si="25"/>
        <v>Jaipur</v>
      </c>
      <c r="AM144" t="str">
        <f t="shared" si="25"/>
        <v>Technology</v>
      </c>
      <c r="AN144" t="str">
        <f t="shared" si="25"/>
        <v>Phones</v>
      </c>
      <c r="AO144" t="str">
        <f t="shared" si="36"/>
        <v>Second Class</v>
      </c>
      <c r="AP144" t="str">
        <f t="shared" si="37"/>
        <v>Paid</v>
      </c>
      <c r="AQ144" t="str">
        <f t="shared" si="37"/>
        <v>Completed</v>
      </c>
    </row>
    <row r="145" spans="1:43">
      <c r="A145" t="s">
        <v>673</v>
      </c>
      <c r="B145" s="3">
        <v>45375</v>
      </c>
      <c r="C145" s="3">
        <v>45377</v>
      </c>
      <c r="D145" t="s">
        <v>674</v>
      </c>
      <c r="E145" t="s">
        <v>203</v>
      </c>
      <c r="F145" t="s">
        <v>109</v>
      </c>
      <c r="G145" t="s">
        <v>149</v>
      </c>
      <c r="H145" t="s">
        <v>276</v>
      </c>
      <c r="I145" t="s">
        <v>277</v>
      </c>
      <c r="J145" t="s">
        <v>113</v>
      </c>
      <c r="K145" t="s">
        <v>114</v>
      </c>
      <c r="L145" t="s">
        <v>675</v>
      </c>
      <c r="M145" t="s">
        <v>116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117</v>
      </c>
      <c r="U145" t="s">
        <v>190</v>
      </c>
      <c r="V145" s="2">
        <f t="shared" si="27"/>
        <v>0.1</v>
      </c>
      <c r="W145" s="2">
        <f t="shared" si="28"/>
        <v>3068.55</v>
      </c>
      <c r="X145" s="2">
        <f>W145-R145</f>
        <v>1152.3900000000001</v>
      </c>
      <c r="Y145" s="2">
        <f t="shared" si="29"/>
        <v>0.3755487119323459</v>
      </c>
      <c r="Z145" s="2">
        <f t="shared" si="30"/>
        <v>2</v>
      </c>
      <c r="AA145" s="2">
        <f t="shared" si="31"/>
        <v>3</v>
      </c>
      <c r="AB145" s="2">
        <f t="shared" si="32"/>
        <v>2024</v>
      </c>
      <c r="AC145" s="2" t="str">
        <f t="shared" si="33"/>
        <v>Valid</v>
      </c>
      <c r="AD145" s="2">
        <f t="shared" si="34"/>
        <v>0</v>
      </c>
      <c r="AE145" s="2">
        <f t="shared" si="35"/>
        <v>0</v>
      </c>
      <c r="AH145" t="str">
        <f t="shared" si="26"/>
        <v>Priya Menon</v>
      </c>
      <c r="AI145" t="str">
        <f t="shared" si="26"/>
        <v>Consumer</v>
      </c>
      <c r="AJ145" t="str">
        <f t="shared" si="26"/>
        <v>West</v>
      </c>
      <c r="AK145" t="str">
        <f t="shared" si="25"/>
        <v>Gujarat</v>
      </c>
      <c r="AL145" t="str">
        <f t="shared" si="25"/>
        <v>Ahmedabad</v>
      </c>
      <c r="AM145" t="str">
        <f t="shared" si="25"/>
        <v>Office Supplies</v>
      </c>
      <c r="AN145" t="str">
        <f t="shared" si="25"/>
        <v>Paper</v>
      </c>
      <c r="AO145" t="str">
        <f t="shared" si="36"/>
        <v>Second Class</v>
      </c>
      <c r="AP145" t="str">
        <f t="shared" si="37"/>
        <v>Paid</v>
      </c>
      <c r="AQ145" t="str">
        <f t="shared" si="37"/>
        <v>Returned</v>
      </c>
    </row>
    <row r="146" spans="1:43">
      <c r="A146" t="s">
        <v>676</v>
      </c>
      <c r="B146" s="3">
        <v>45479</v>
      </c>
      <c r="C146" s="3">
        <v>45458</v>
      </c>
      <c r="D146" t="s">
        <v>677</v>
      </c>
      <c r="E146" t="s">
        <v>375</v>
      </c>
      <c r="F146" t="s">
        <v>122</v>
      </c>
      <c r="G146" t="s">
        <v>140</v>
      </c>
      <c r="H146" t="s">
        <v>141</v>
      </c>
      <c r="I146" t="s">
        <v>142</v>
      </c>
      <c r="J146" t="s">
        <v>160</v>
      </c>
      <c r="K146" t="s">
        <v>161</v>
      </c>
      <c r="L146" t="s">
        <v>678</v>
      </c>
      <c r="M146" t="s">
        <v>135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189</v>
      </c>
      <c r="U146" t="s">
        <v>190</v>
      </c>
      <c r="V146" s="2">
        <f t="shared" si="27"/>
        <v>0.25</v>
      </c>
      <c r="W146" s="2">
        <f t="shared" si="28"/>
        <v>11276.947499999998</v>
      </c>
      <c r="X146" s="2">
        <f>W146-R146</f>
        <v>4368.1874999999982</v>
      </c>
      <c r="Y146" s="2">
        <f t="shared" si="29"/>
        <v>0.38735548782150481</v>
      </c>
      <c r="Z146" s="2">
        <f t="shared" si="30"/>
        <v>-21</v>
      </c>
      <c r="AA146" s="2">
        <f t="shared" si="31"/>
        <v>7</v>
      </c>
      <c r="AB146" s="2">
        <f t="shared" si="32"/>
        <v>2024</v>
      </c>
      <c r="AC146" s="2" t="str">
        <f t="shared" si="33"/>
        <v>Invalid shipping record</v>
      </c>
      <c r="AD146" s="2">
        <f t="shared" si="34"/>
        <v>0</v>
      </c>
      <c r="AE146" s="2">
        <f t="shared" si="35"/>
        <v>0</v>
      </c>
      <c r="AH146" t="str">
        <f t="shared" si="26"/>
        <v>Kabir Singh</v>
      </c>
      <c r="AI146" t="str">
        <f t="shared" si="26"/>
        <v>Small Business</v>
      </c>
      <c r="AJ146" t="str">
        <f t="shared" si="26"/>
        <v>South</v>
      </c>
      <c r="AK146" t="str">
        <f t="shared" si="25"/>
        <v>Telangana</v>
      </c>
      <c r="AL146" t="str">
        <f t="shared" si="25"/>
        <v>Hyderabad</v>
      </c>
      <c r="AM146" t="str">
        <f t="shared" si="25"/>
        <v>Technology</v>
      </c>
      <c r="AN146" t="str">
        <f t="shared" si="25"/>
        <v>Accessories</v>
      </c>
      <c r="AO146" t="str">
        <f t="shared" si="36"/>
        <v>First Class</v>
      </c>
      <c r="AP146" t="str">
        <f t="shared" si="37"/>
        <v>Refunded</v>
      </c>
      <c r="AQ146" t="str">
        <f t="shared" si="37"/>
        <v>Returned</v>
      </c>
    </row>
    <row r="147" spans="1:43">
      <c r="A147" t="s">
        <v>679</v>
      </c>
      <c r="B147" s="3">
        <v>45965</v>
      </c>
      <c r="C147" s="3">
        <v>45760</v>
      </c>
      <c r="D147" t="s">
        <v>680</v>
      </c>
      <c r="E147" t="s">
        <v>121</v>
      </c>
      <c r="F147" t="s">
        <v>122</v>
      </c>
      <c r="G147" t="s">
        <v>149</v>
      </c>
      <c r="H147" t="s">
        <v>287</v>
      </c>
      <c r="I147" t="s">
        <v>288</v>
      </c>
      <c r="J147" t="s">
        <v>113</v>
      </c>
      <c r="K147" t="s">
        <v>114</v>
      </c>
      <c r="L147" t="s">
        <v>681</v>
      </c>
      <c r="M147" t="s">
        <v>145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117</v>
      </c>
      <c r="U147" t="s">
        <v>118</v>
      </c>
      <c r="V147" s="2">
        <f t="shared" si="27"/>
        <v>0.1</v>
      </c>
      <c r="W147" s="2">
        <f t="shared" si="28"/>
        <v>15055.74</v>
      </c>
      <c r="X147" s="2">
        <f>W147-R147</f>
        <v>5246.91</v>
      </c>
      <c r="Y147" s="2">
        <f t="shared" si="29"/>
        <v>0.34849897779850075</v>
      </c>
      <c r="Z147" s="2">
        <f t="shared" si="30"/>
        <v>-205</v>
      </c>
      <c r="AA147" s="2">
        <f t="shared" si="31"/>
        <v>11</v>
      </c>
      <c r="AB147" s="2">
        <f t="shared" si="32"/>
        <v>2025</v>
      </c>
      <c r="AC147" s="2" t="str">
        <f t="shared" si="33"/>
        <v>Invalid shipping record</v>
      </c>
      <c r="AD147" s="2">
        <f t="shared" si="34"/>
        <v>0</v>
      </c>
      <c r="AE147" s="2">
        <f t="shared" si="35"/>
        <v>0</v>
      </c>
      <c r="AH147" t="str">
        <f t="shared" si="26"/>
        <v>Mira Das</v>
      </c>
      <c r="AI147" t="str">
        <f t="shared" si="26"/>
        <v>Small Business</v>
      </c>
      <c r="AJ147" t="str">
        <f t="shared" si="26"/>
        <v>West</v>
      </c>
      <c r="AK147" t="str">
        <f t="shared" si="25"/>
        <v>Goa</v>
      </c>
      <c r="AL147" t="str">
        <f t="shared" si="25"/>
        <v>Panaji</v>
      </c>
      <c r="AM147" t="str">
        <f t="shared" si="25"/>
        <v>Office Supplies</v>
      </c>
      <c r="AN147" t="str">
        <f t="shared" si="25"/>
        <v>Paper</v>
      </c>
      <c r="AO147" t="str">
        <f t="shared" si="36"/>
        <v>Standard Class</v>
      </c>
      <c r="AP147" t="str">
        <f t="shared" si="37"/>
        <v>Paid</v>
      </c>
      <c r="AQ147" t="str">
        <f t="shared" si="37"/>
        <v>Completed</v>
      </c>
    </row>
    <row r="148" spans="1:43">
      <c r="A148" t="s">
        <v>682</v>
      </c>
      <c r="B148" s="3">
        <v>45868</v>
      </c>
      <c r="C148" s="3">
        <v>45870</v>
      </c>
      <c r="D148" t="s">
        <v>683</v>
      </c>
      <c r="E148" t="s">
        <v>222</v>
      </c>
      <c r="F148" t="s">
        <v>122</v>
      </c>
      <c r="G148" t="s">
        <v>140</v>
      </c>
      <c r="H148" t="s">
        <v>357</v>
      </c>
      <c r="I148" t="s">
        <v>358</v>
      </c>
      <c r="J148" t="s">
        <v>113</v>
      </c>
      <c r="K148" t="s">
        <v>213</v>
      </c>
      <c r="L148" t="s">
        <v>684</v>
      </c>
      <c r="M148" t="s">
        <v>129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117</v>
      </c>
      <c r="U148" t="s">
        <v>118</v>
      </c>
      <c r="V148" s="2">
        <f t="shared" si="27"/>
        <v>0.1</v>
      </c>
      <c r="W148" s="2">
        <f t="shared" si="28"/>
        <v>25639.983</v>
      </c>
      <c r="X148" s="2">
        <f>W148-R148</f>
        <v>4004.9029999999984</v>
      </c>
      <c r="Y148" s="2">
        <f t="shared" si="29"/>
        <v>0.1561975684617263</v>
      </c>
      <c r="Z148" s="2">
        <f t="shared" si="30"/>
        <v>2</v>
      </c>
      <c r="AA148" s="2">
        <f t="shared" si="31"/>
        <v>7</v>
      </c>
      <c r="AB148" s="2">
        <f t="shared" si="32"/>
        <v>2025</v>
      </c>
      <c r="AC148" s="2" t="str">
        <f t="shared" si="33"/>
        <v>Valid</v>
      </c>
      <c r="AD148" s="2">
        <f t="shared" si="34"/>
        <v>0</v>
      </c>
      <c r="AE148" s="2">
        <f t="shared" si="35"/>
        <v>0</v>
      </c>
      <c r="AH148" t="str">
        <f t="shared" si="26"/>
        <v>Sneha Kapoor</v>
      </c>
      <c r="AI148" t="str">
        <f t="shared" si="26"/>
        <v>Small Business</v>
      </c>
      <c r="AJ148" t="str">
        <f t="shared" si="26"/>
        <v>South</v>
      </c>
      <c r="AK148" t="str">
        <f t="shared" si="25"/>
        <v>Tamil Nadu</v>
      </c>
      <c r="AL148" t="str">
        <f t="shared" si="25"/>
        <v>Chennai</v>
      </c>
      <c r="AM148" t="str">
        <f t="shared" si="25"/>
        <v>Office Supplies</v>
      </c>
      <c r="AN148" t="str">
        <f t="shared" si="25"/>
        <v>Storage</v>
      </c>
      <c r="AO148" t="str">
        <f t="shared" si="36"/>
        <v>Same Day</v>
      </c>
      <c r="AP148" t="str">
        <f t="shared" si="37"/>
        <v>Paid</v>
      </c>
      <c r="AQ148" t="str">
        <f t="shared" si="37"/>
        <v>Completed</v>
      </c>
    </row>
    <row r="149" spans="1:43">
      <c r="A149" t="s">
        <v>685</v>
      </c>
      <c r="B149" s="3" t="s">
        <v>686</v>
      </c>
      <c r="C149" s="3">
        <v>45656</v>
      </c>
      <c r="D149" t="s">
        <v>687</v>
      </c>
      <c r="E149" t="s">
        <v>203</v>
      </c>
      <c r="F149" t="s">
        <v>182</v>
      </c>
      <c r="G149" t="s">
        <v>149</v>
      </c>
      <c r="H149" t="s">
        <v>287</v>
      </c>
      <c r="I149" t="s">
        <v>288</v>
      </c>
      <c r="J149" t="s">
        <v>126</v>
      </c>
      <c r="K149" t="s">
        <v>143</v>
      </c>
      <c r="L149" t="s">
        <v>688</v>
      </c>
      <c r="M149" t="s">
        <v>135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117</v>
      </c>
      <c r="U149" t="s">
        <v>118</v>
      </c>
      <c r="V149" s="2">
        <f t="shared" si="27"/>
        <v>0.1</v>
      </c>
      <c r="W149" s="2">
        <f t="shared" si="28"/>
        <v>2779.92</v>
      </c>
      <c r="X149" s="2">
        <f>W149-R149</f>
        <v>1035.8700000000001</v>
      </c>
      <c r="Y149" s="2">
        <f t="shared" si="29"/>
        <v>0.37262583095916435</v>
      </c>
      <c r="Z149" s="2" t="str">
        <f t="shared" si="30"/>
        <v/>
      </c>
      <c r="AA149" s="2" t="e">
        <f t="shared" si="31"/>
        <v>#VALUE!</v>
      </c>
      <c r="AB149" s="2" t="e">
        <f t="shared" si="32"/>
        <v>#VALUE!</v>
      </c>
      <c r="AC149" s="2" t="str">
        <f t="shared" si="33"/>
        <v>Text Value Not Recognized as Date</v>
      </c>
      <c r="AD149" s="2">
        <f t="shared" si="34"/>
        <v>0</v>
      </c>
      <c r="AE149" s="2">
        <f t="shared" si="35"/>
        <v>0</v>
      </c>
      <c r="AH149" t="str">
        <f t="shared" si="26"/>
        <v>Priya Menon</v>
      </c>
      <c r="AI149" t="str">
        <f t="shared" si="26"/>
        <v>Home Office</v>
      </c>
      <c r="AJ149" t="str">
        <f t="shared" si="26"/>
        <v>West</v>
      </c>
      <c r="AK149" t="str">
        <f t="shared" si="25"/>
        <v>Goa</v>
      </c>
      <c r="AL149" t="str">
        <f t="shared" si="25"/>
        <v>Panaji</v>
      </c>
      <c r="AM149" t="str">
        <f t="shared" si="25"/>
        <v>Furniture</v>
      </c>
      <c r="AN149" t="str">
        <f t="shared" si="25"/>
        <v>Furnishings</v>
      </c>
      <c r="AO149" t="str">
        <f t="shared" si="36"/>
        <v>First Class</v>
      </c>
      <c r="AP149" t="str">
        <f t="shared" si="37"/>
        <v>Paid</v>
      </c>
      <c r="AQ149" t="str">
        <f t="shared" si="37"/>
        <v>Completed</v>
      </c>
    </row>
    <row r="150" spans="1:43">
      <c r="A150" t="s">
        <v>689</v>
      </c>
      <c r="B150" s="3">
        <v>45697</v>
      </c>
      <c r="C150" s="3" t="s">
        <v>690</v>
      </c>
      <c r="D150" t="s">
        <v>691</v>
      </c>
      <c r="E150" t="s">
        <v>121</v>
      </c>
      <c r="F150" t="s">
        <v>182</v>
      </c>
      <c r="G150" t="s">
        <v>149</v>
      </c>
      <c r="H150" t="s">
        <v>158</v>
      </c>
      <c r="I150" t="s">
        <v>159</v>
      </c>
      <c r="J150" t="s">
        <v>160</v>
      </c>
      <c r="K150" t="s">
        <v>266</v>
      </c>
      <c r="L150" t="s">
        <v>692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117</v>
      </c>
      <c r="U150" t="s">
        <v>118</v>
      </c>
      <c r="V150" s="2">
        <f t="shared" si="27"/>
        <v>0.25</v>
      </c>
      <c r="W150" s="2">
        <f t="shared" si="28"/>
        <v>10176.42</v>
      </c>
      <c r="X150" s="2">
        <f>W150-R150</f>
        <v>2571.9499999999998</v>
      </c>
      <c r="Y150" s="2">
        <f t="shared" si="29"/>
        <v>0.252736227474888</v>
      </c>
      <c r="Z150" s="2" t="str">
        <f t="shared" si="30"/>
        <v/>
      </c>
      <c r="AA150" s="2">
        <f t="shared" si="31"/>
        <v>2</v>
      </c>
      <c r="AB150" s="2">
        <f t="shared" si="32"/>
        <v>2025</v>
      </c>
      <c r="AC150" s="2" t="str">
        <f t="shared" si="33"/>
        <v>Missing ship_mode</v>
      </c>
      <c r="AD150" s="2">
        <f t="shared" si="34"/>
        <v>0</v>
      </c>
      <c r="AE150" s="2">
        <f t="shared" si="35"/>
        <v>0</v>
      </c>
      <c r="AH150" t="str">
        <f t="shared" si="26"/>
        <v>Mira Das</v>
      </c>
      <c r="AI150" t="str">
        <f t="shared" si="26"/>
        <v>Home Office</v>
      </c>
      <c r="AJ150" t="str">
        <f t="shared" si="26"/>
        <v>West</v>
      </c>
      <c r="AK150" t="str">
        <f t="shared" si="25"/>
        <v>Madhya Pradesh</v>
      </c>
      <c r="AL150" t="str">
        <f t="shared" si="25"/>
        <v>Indore</v>
      </c>
      <c r="AM150" t="str">
        <f t="shared" si="25"/>
        <v>Technology</v>
      </c>
      <c r="AN150" t="str">
        <f t="shared" si="25"/>
        <v>Phones</v>
      </c>
      <c r="AO150" t="s">
        <v>306</v>
      </c>
      <c r="AP150" t="str">
        <f t="shared" si="37"/>
        <v>Paid</v>
      </c>
      <c r="AQ150" t="str">
        <f t="shared" si="37"/>
        <v>Completed</v>
      </c>
    </row>
    <row r="151" spans="1:43">
      <c r="A151" t="s">
        <v>693</v>
      </c>
      <c r="B151" s="3" t="s">
        <v>694</v>
      </c>
      <c r="C151" s="3" t="s">
        <v>694</v>
      </c>
      <c r="D151" t="s">
        <v>695</v>
      </c>
      <c r="E151" t="s">
        <v>218</v>
      </c>
      <c r="F151" t="s">
        <v>122</v>
      </c>
      <c r="G151" t="s">
        <v>696</v>
      </c>
      <c r="H151" t="s">
        <v>111</v>
      </c>
      <c r="I151" t="s">
        <v>197</v>
      </c>
      <c r="J151" t="s">
        <v>160</v>
      </c>
      <c r="K151" t="s">
        <v>166</v>
      </c>
      <c r="L151" t="s">
        <v>697</v>
      </c>
      <c r="M151" t="s">
        <v>129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117</v>
      </c>
      <c r="U151" t="s">
        <v>118</v>
      </c>
      <c r="V151" s="2">
        <f t="shared" si="27"/>
        <v>0.25</v>
      </c>
      <c r="W151" s="2">
        <f t="shared" si="28"/>
        <v>13269.952499999999</v>
      </c>
      <c r="X151" s="2">
        <f>W151-R151</f>
        <v>4292.8524999999991</v>
      </c>
      <c r="Y151" s="2">
        <f t="shared" si="29"/>
        <v>0.32350172315989822</v>
      </c>
      <c r="Z151" s="2" t="str">
        <f t="shared" si="30"/>
        <v/>
      </c>
      <c r="AA151" s="2" t="e">
        <f t="shared" si="31"/>
        <v>#VALUE!</v>
      </c>
      <c r="AB151" s="2" t="e">
        <f t="shared" si="32"/>
        <v>#VALUE!</v>
      </c>
      <c r="AC151" s="2" t="str">
        <f t="shared" si="33"/>
        <v>Text Value Not Recognized as Date</v>
      </c>
      <c r="AD151" s="2">
        <f t="shared" si="34"/>
        <v>0</v>
      </c>
      <c r="AE151" s="2">
        <f t="shared" si="35"/>
        <v>0</v>
      </c>
      <c r="AH151" t="str">
        <f t="shared" si="26"/>
        <v>Aarav Sharma</v>
      </c>
      <c r="AI151" t="str">
        <f t="shared" si="26"/>
        <v>Small Business</v>
      </c>
      <c r="AJ151" t="str">
        <f t="shared" si="26"/>
        <v>West</v>
      </c>
      <c r="AK151" t="str">
        <f t="shared" si="25"/>
        <v>Rajasthan</v>
      </c>
      <c r="AL151" t="str">
        <f t="shared" si="25"/>
        <v>Udaipur</v>
      </c>
      <c r="AM151" t="str">
        <f t="shared" si="25"/>
        <v>Technology</v>
      </c>
      <c r="AN151" t="str">
        <f t="shared" si="25"/>
        <v>Copiers</v>
      </c>
      <c r="AO151" t="str">
        <f t="shared" si="36"/>
        <v>Same Day</v>
      </c>
      <c r="AP151" t="str">
        <f t="shared" si="37"/>
        <v>Paid</v>
      </c>
      <c r="AQ151" t="str">
        <f t="shared" si="37"/>
        <v>Completed</v>
      </c>
    </row>
    <row r="152" spans="1:43">
      <c r="A152" t="s">
        <v>698</v>
      </c>
      <c r="B152" s="3">
        <v>45385</v>
      </c>
      <c r="C152" s="3">
        <v>45363</v>
      </c>
      <c r="D152" t="s">
        <v>699</v>
      </c>
      <c r="E152" t="s">
        <v>139</v>
      </c>
      <c r="F152" t="s">
        <v>109</v>
      </c>
      <c r="H152" t="s">
        <v>276</v>
      </c>
      <c r="I152" t="s">
        <v>277</v>
      </c>
      <c r="J152" t="s">
        <v>126</v>
      </c>
      <c r="K152" t="s">
        <v>252</v>
      </c>
      <c r="L152" t="s">
        <v>700</v>
      </c>
      <c r="M152" t="s">
        <v>135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117</v>
      </c>
      <c r="U152" t="s">
        <v>118</v>
      </c>
      <c r="V152" s="2">
        <f t="shared" si="27"/>
        <v>0.1</v>
      </c>
      <c r="W152" s="2">
        <f t="shared" si="28"/>
        <v>1398.7079999999999</v>
      </c>
      <c r="X152" s="2">
        <f>W152-R152</f>
        <v>341.78799999999978</v>
      </c>
      <c r="Y152" s="2">
        <f t="shared" si="29"/>
        <v>0.24435979489643286</v>
      </c>
      <c r="Z152" s="2">
        <f t="shared" si="30"/>
        <v>-22</v>
      </c>
      <c r="AA152" s="2">
        <f t="shared" si="31"/>
        <v>4</v>
      </c>
      <c r="AB152" s="2">
        <f t="shared" si="32"/>
        <v>2024</v>
      </c>
      <c r="AC152" s="2" t="str">
        <f t="shared" si="33"/>
        <v>Missing region</v>
      </c>
      <c r="AD152" s="2">
        <f t="shared" si="34"/>
        <v>0</v>
      </c>
      <c r="AE152" s="2">
        <f t="shared" si="35"/>
        <v>0</v>
      </c>
      <c r="AH152" t="str">
        <f t="shared" si="26"/>
        <v>Arjun Bose</v>
      </c>
      <c r="AI152" t="str">
        <f t="shared" si="26"/>
        <v>Consumer</v>
      </c>
      <c r="AJ152" t="s">
        <v>306</v>
      </c>
      <c r="AK152" t="str">
        <f t="shared" si="25"/>
        <v>Gujarat</v>
      </c>
      <c r="AL152" t="str">
        <f t="shared" si="25"/>
        <v>Ahmedabad</v>
      </c>
      <c r="AM152" t="str">
        <f t="shared" si="25"/>
        <v>Furniture</v>
      </c>
      <c r="AN152" t="str">
        <f t="shared" si="25"/>
        <v>Bookcases</v>
      </c>
      <c r="AO152" t="str">
        <f t="shared" si="36"/>
        <v>First Class</v>
      </c>
      <c r="AP152" t="str">
        <f t="shared" si="37"/>
        <v>Paid</v>
      </c>
      <c r="AQ152" t="str">
        <f t="shared" si="37"/>
        <v>Completed</v>
      </c>
    </row>
    <row r="153" spans="1:43">
      <c r="A153" t="s">
        <v>701</v>
      </c>
      <c r="B153" s="3">
        <v>45470</v>
      </c>
      <c r="C153" s="3">
        <v>45470</v>
      </c>
      <c r="D153" t="s">
        <v>702</v>
      </c>
      <c r="E153" t="s">
        <v>165</v>
      </c>
      <c r="F153" t="s">
        <v>182</v>
      </c>
      <c r="H153" t="s">
        <v>158</v>
      </c>
      <c r="I153" t="s">
        <v>159</v>
      </c>
      <c r="J153" t="s">
        <v>160</v>
      </c>
      <c r="K153" t="s">
        <v>166</v>
      </c>
      <c r="L153" t="s">
        <v>703</v>
      </c>
      <c r="M153" t="s">
        <v>145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199</v>
      </c>
      <c r="U153" t="s">
        <v>190</v>
      </c>
      <c r="V153" s="2">
        <f t="shared" si="27"/>
        <v>0</v>
      </c>
      <c r="W153" s="2">
        <f t="shared" si="28"/>
        <v>7718.22</v>
      </c>
      <c r="X153" s="2">
        <f>W153-R153</f>
        <v>2362.29</v>
      </c>
      <c r="Y153" s="2">
        <f t="shared" si="29"/>
        <v>0.30606668376905555</v>
      </c>
      <c r="Z153" s="2">
        <f t="shared" si="30"/>
        <v>0</v>
      </c>
      <c r="AA153" s="2">
        <f t="shared" si="31"/>
        <v>6</v>
      </c>
      <c r="AB153" s="2">
        <f t="shared" si="32"/>
        <v>2024</v>
      </c>
      <c r="AC153" s="2" t="str">
        <f t="shared" si="33"/>
        <v>Missing region</v>
      </c>
      <c r="AD153" s="2">
        <f t="shared" si="34"/>
        <v>0</v>
      </c>
      <c r="AE153" s="2">
        <f t="shared" si="35"/>
        <v>0</v>
      </c>
      <c r="AH153" t="str">
        <f t="shared" si="26"/>
        <v>Neha Gupta</v>
      </c>
      <c r="AI153" t="str">
        <f t="shared" si="26"/>
        <v>Home Office</v>
      </c>
      <c r="AJ153" t="s">
        <v>306</v>
      </c>
      <c r="AK153" t="str">
        <f t="shared" si="25"/>
        <v>Madhya Pradesh</v>
      </c>
      <c r="AL153" t="str">
        <f t="shared" si="25"/>
        <v>Indore</v>
      </c>
      <c r="AM153" t="str">
        <f t="shared" si="25"/>
        <v>Technology</v>
      </c>
      <c r="AN153" t="str">
        <f t="shared" si="25"/>
        <v>Copiers</v>
      </c>
      <c r="AO153" t="str">
        <f t="shared" si="36"/>
        <v>Standard Class</v>
      </c>
      <c r="AP153" t="str">
        <f t="shared" si="37"/>
        <v>Pending</v>
      </c>
      <c r="AQ153" t="str">
        <f t="shared" si="37"/>
        <v>Returned</v>
      </c>
    </row>
    <row r="154" spans="1:43">
      <c r="A154" t="s">
        <v>704</v>
      </c>
      <c r="B154" s="3">
        <v>45457</v>
      </c>
      <c r="C154" s="3">
        <v>45460</v>
      </c>
      <c r="D154" t="s">
        <v>705</v>
      </c>
      <c r="E154" t="s">
        <v>375</v>
      </c>
      <c r="F154" t="s">
        <v>122</v>
      </c>
      <c r="G154" t="s">
        <v>140</v>
      </c>
      <c r="H154" t="s">
        <v>282</v>
      </c>
      <c r="I154" t="s">
        <v>283</v>
      </c>
      <c r="J154" t="s">
        <v>126</v>
      </c>
      <c r="K154" t="s">
        <v>127</v>
      </c>
      <c r="L154" t="s">
        <v>706</v>
      </c>
      <c r="M154" t="s">
        <v>116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199</v>
      </c>
      <c r="U154" t="s">
        <v>190</v>
      </c>
      <c r="V154" s="2">
        <f t="shared" si="27"/>
        <v>0.1</v>
      </c>
      <c r="W154" s="2">
        <f t="shared" si="28"/>
        <v>5875.4160000000002</v>
      </c>
      <c r="X154" s="2">
        <f>W154-R154</f>
        <v>1494.866</v>
      </c>
      <c r="Y154" s="2">
        <f t="shared" si="29"/>
        <v>0.25442726098032886</v>
      </c>
      <c r="Z154" s="2">
        <f t="shared" si="30"/>
        <v>3</v>
      </c>
      <c r="AA154" s="2">
        <f t="shared" si="31"/>
        <v>6</v>
      </c>
      <c r="AB154" s="2">
        <f t="shared" si="32"/>
        <v>2024</v>
      </c>
      <c r="AC154" s="2" t="str">
        <f t="shared" si="33"/>
        <v>Valid</v>
      </c>
      <c r="AD154" s="2">
        <f t="shared" si="34"/>
        <v>0</v>
      </c>
      <c r="AE154" s="2">
        <f t="shared" si="35"/>
        <v>0</v>
      </c>
      <c r="AH154" t="str">
        <f t="shared" si="26"/>
        <v>Kabir Singh</v>
      </c>
      <c r="AI154" t="str">
        <f t="shared" si="26"/>
        <v>Small Business</v>
      </c>
      <c r="AJ154" t="str">
        <f t="shared" si="26"/>
        <v>South</v>
      </c>
      <c r="AK154" t="str">
        <f t="shared" si="25"/>
        <v>Kerala</v>
      </c>
      <c r="AL154" t="str">
        <f t="shared" si="25"/>
        <v>Kochi</v>
      </c>
      <c r="AM154" t="str">
        <f t="shared" si="25"/>
        <v>Furniture</v>
      </c>
      <c r="AN154" t="str">
        <f t="shared" si="25"/>
        <v>Tables</v>
      </c>
      <c r="AO154" t="str">
        <f t="shared" si="36"/>
        <v>Second Class</v>
      </c>
      <c r="AP154" t="str">
        <f t="shared" si="37"/>
        <v>Pending</v>
      </c>
      <c r="AQ154" t="str">
        <f t="shared" si="37"/>
        <v>Returned</v>
      </c>
    </row>
    <row r="155" spans="1:43">
      <c r="A155" t="s">
        <v>707</v>
      </c>
      <c r="B155" s="3">
        <v>45923</v>
      </c>
      <c r="C155" s="3">
        <v>45925</v>
      </c>
      <c r="D155" t="s">
        <v>708</v>
      </c>
      <c r="E155" t="s">
        <v>176</v>
      </c>
      <c r="F155" t="s">
        <v>109</v>
      </c>
      <c r="G155" t="s">
        <v>123</v>
      </c>
      <c r="H155" t="s">
        <v>124</v>
      </c>
      <c r="I155" t="s">
        <v>125</v>
      </c>
      <c r="J155" t="s">
        <v>113</v>
      </c>
      <c r="K155" t="s">
        <v>178</v>
      </c>
      <c r="L155" t="s">
        <v>709</v>
      </c>
      <c r="M155" t="s">
        <v>145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189</v>
      </c>
      <c r="U155" t="s">
        <v>190</v>
      </c>
      <c r="V155" s="2">
        <f t="shared" si="27"/>
        <v>0</v>
      </c>
      <c r="W155" s="2">
        <f t="shared" si="28"/>
        <v>22962.17</v>
      </c>
      <c r="X155" s="2">
        <f>W155-R155</f>
        <v>7245.6699999999983</v>
      </c>
      <c r="Y155" s="2">
        <f t="shared" si="29"/>
        <v>0.31554813852523517</v>
      </c>
      <c r="Z155" s="2">
        <f t="shared" si="30"/>
        <v>2</v>
      </c>
      <c r="AA155" s="2">
        <f t="shared" si="31"/>
        <v>9</v>
      </c>
      <c r="AB155" s="2">
        <f t="shared" si="32"/>
        <v>2025</v>
      </c>
      <c r="AC155" s="2" t="str">
        <f t="shared" si="33"/>
        <v>Valid</v>
      </c>
      <c r="AD155" s="2">
        <f t="shared" si="34"/>
        <v>0</v>
      </c>
      <c r="AE155" s="2">
        <f t="shared" si="35"/>
        <v>0</v>
      </c>
      <c r="AH155" t="str">
        <f t="shared" si="26"/>
        <v>Aditi Sen</v>
      </c>
      <c r="AI155" t="str">
        <f t="shared" si="26"/>
        <v>Consumer</v>
      </c>
      <c r="AJ155" t="str">
        <f t="shared" si="26"/>
        <v>East</v>
      </c>
      <c r="AK155" t="str">
        <f t="shared" si="25"/>
        <v>Odisha</v>
      </c>
      <c r="AL155" t="str">
        <f t="shared" si="25"/>
        <v>Bhubaneswar</v>
      </c>
      <c r="AM155" t="str">
        <f t="shared" si="25"/>
        <v>Office Supplies</v>
      </c>
      <c r="AN155" t="str">
        <f t="shared" si="25"/>
        <v>Labels</v>
      </c>
      <c r="AO155" t="str">
        <f t="shared" si="36"/>
        <v>Standard Class</v>
      </c>
      <c r="AP155" t="str">
        <f t="shared" si="37"/>
        <v>Refunded</v>
      </c>
      <c r="AQ155" t="str">
        <f t="shared" si="37"/>
        <v>Returned</v>
      </c>
    </row>
    <row r="156" spans="1:43">
      <c r="A156" t="s">
        <v>710</v>
      </c>
      <c r="B156" s="3">
        <v>45334</v>
      </c>
      <c r="C156" s="3">
        <v>45333</v>
      </c>
      <c r="D156" t="s">
        <v>578</v>
      </c>
      <c r="E156" t="s">
        <v>203</v>
      </c>
      <c r="F156" t="s">
        <v>109</v>
      </c>
      <c r="G156" t="s">
        <v>140</v>
      </c>
      <c r="H156" t="s">
        <v>357</v>
      </c>
      <c r="I156" t="s">
        <v>358</v>
      </c>
      <c r="J156" t="s">
        <v>126</v>
      </c>
      <c r="K156" t="s">
        <v>252</v>
      </c>
      <c r="L156" t="s">
        <v>711</v>
      </c>
      <c r="M156" t="s">
        <v>129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117</v>
      </c>
      <c r="U156" t="s">
        <v>118</v>
      </c>
      <c r="V156" s="2">
        <f t="shared" si="27"/>
        <v>0.15</v>
      </c>
      <c r="W156" s="2">
        <f t="shared" si="28"/>
        <v>2209.252</v>
      </c>
      <c r="X156" s="2">
        <f>W156-R156</f>
        <v>685.47199999999998</v>
      </c>
      <c r="Y156" s="2">
        <f t="shared" si="29"/>
        <v>0.31027334138432372</v>
      </c>
      <c r="Z156" s="2">
        <f t="shared" si="30"/>
        <v>-1</v>
      </c>
      <c r="AA156" s="2">
        <f t="shared" si="31"/>
        <v>2</v>
      </c>
      <c r="AB156" s="2">
        <f t="shared" si="32"/>
        <v>2024</v>
      </c>
      <c r="AC156" s="2" t="str">
        <f t="shared" si="33"/>
        <v>Invalid shipping record</v>
      </c>
      <c r="AD156" s="2">
        <f t="shared" si="34"/>
        <v>0</v>
      </c>
      <c r="AE156" s="2">
        <f t="shared" si="35"/>
        <v>0</v>
      </c>
      <c r="AH156" t="str">
        <f t="shared" si="26"/>
        <v>Priya Menon</v>
      </c>
      <c r="AI156" t="str">
        <f t="shared" si="26"/>
        <v>Consumer</v>
      </c>
      <c r="AJ156" t="str">
        <f t="shared" si="26"/>
        <v>South</v>
      </c>
      <c r="AK156" t="str">
        <f t="shared" si="25"/>
        <v>Tamil Nadu</v>
      </c>
      <c r="AL156" t="str">
        <f t="shared" si="25"/>
        <v>Chennai</v>
      </c>
      <c r="AM156" t="str">
        <f t="shared" si="25"/>
        <v>Furniture</v>
      </c>
      <c r="AN156" t="str">
        <f t="shared" si="25"/>
        <v>Bookcases</v>
      </c>
      <c r="AO156" t="str">
        <f t="shared" si="36"/>
        <v>Same Day</v>
      </c>
      <c r="AP156" t="str">
        <f t="shared" si="37"/>
        <v>Paid</v>
      </c>
      <c r="AQ156" t="str">
        <f t="shared" si="37"/>
        <v>Completed</v>
      </c>
    </row>
    <row r="157" spans="1:43">
      <c r="A157" t="s">
        <v>712</v>
      </c>
      <c r="B157" s="3">
        <v>45683</v>
      </c>
      <c r="C157" s="3">
        <v>45691</v>
      </c>
      <c r="D157" t="s">
        <v>713</v>
      </c>
      <c r="E157" t="s">
        <v>108</v>
      </c>
      <c r="F157" t="s">
        <v>177</v>
      </c>
      <c r="G157" t="s">
        <v>149</v>
      </c>
      <c r="H157" t="s">
        <v>111</v>
      </c>
      <c r="I157" t="s">
        <v>197</v>
      </c>
      <c r="J157" t="s">
        <v>126</v>
      </c>
      <c r="K157" t="s">
        <v>143</v>
      </c>
      <c r="L157" t="s">
        <v>714</v>
      </c>
      <c r="M157" t="s">
        <v>129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189</v>
      </c>
      <c r="U157" t="s">
        <v>190</v>
      </c>
      <c r="V157" s="2">
        <f t="shared" si="27"/>
        <v>0.1</v>
      </c>
      <c r="W157" s="2">
        <f t="shared" si="28"/>
        <v>7720.1640000000007</v>
      </c>
      <c r="X157" s="2">
        <f>W157-R157</f>
        <v>1839.1640000000007</v>
      </c>
      <c r="Y157" s="2">
        <f t="shared" si="29"/>
        <v>0.23822861794127695</v>
      </c>
      <c r="Z157" s="2">
        <f t="shared" si="30"/>
        <v>8</v>
      </c>
      <c r="AA157" s="2">
        <f t="shared" si="31"/>
        <v>1</v>
      </c>
      <c r="AB157" s="2">
        <f t="shared" si="32"/>
        <v>2025</v>
      </c>
      <c r="AC157" s="2" t="str">
        <f t="shared" si="33"/>
        <v>Valid</v>
      </c>
      <c r="AD157" s="2">
        <f t="shared" si="34"/>
        <v>0</v>
      </c>
      <c r="AE157" s="2">
        <f t="shared" si="35"/>
        <v>0</v>
      </c>
      <c r="AH157" t="str">
        <f t="shared" si="26"/>
        <v>Karan Malhotra</v>
      </c>
      <c r="AI157" t="str">
        <f t="shared" si="26"/>
        <v>Corporate</v>
      </c>
      <c r="AJ157" t="str">
        <f t="shared" si="26"/>
        <v>West</v>
      </c>
      <c r="AK157" t="str">
        <f t="shared" si="25"/>
        <v>Rajasthan</v>
      </c>
      <c r="AL157" t="str">
        <f t="shared" si="25"/>
        <v>Udaipur</v>
      </c>
      <c r="AM157" t="str">
        <f t="shared" si="25"/>
        <v>Furniture</v>
      </c>
      <c r="AN157" t="str">
        <f t="shared" si="25"/>
        <v>Furnishings</v>
      </c>
      <c r="AO157" t="str">
        <f t="shared" si="36"/>
        <v>Same Day</v>
      </c>
      <c r="AP157" t="str">
        <f t="shared" si="37"/>
        <v>Refunded</v>
      </c>
      <c r="AQ157" t="str">
        <f t="shared" si="37"/>
        <v>Returned</v>
      </c>
    </row>
    <row r="158" spans="1:43">
      <c r="A158" t="s">
        <v>715</v>
      </c>
      <c r="B158" s="3" t="s">
        <v>716</v>
      </c>
      <c r="C158" s="3">
        <v>45743</v>
      </c>
      <c r="D158" t="s">
        <v>717</v>
      </c>
      <c r="E158" t="s">
        <v>157</v>
      </c>
      <c r="F158" t="s">
        <v>122</v>
      </c>
      <c r="G158" t="s">
        <v>123</v>
      </c>
      <c r="H158" t="s">
        <v>237</v>
      </c>
      <c r="I158" t="s">
        <v>238</v>
      </c>
      <c r="J158" t="s">
        <v>160</v>
      </c>
      <c r="K158" t="s">
        <v>385</v>
      </c>
      <c r="L158" t="s">
        <v>718</v>
      </c>
      <c r="M158" t="s">
        <v>116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117</v>
      </c>
      <c r="U158" t="s">
        <v>118</v>
      </c>
      <c r="V158" s="2">
        <f t="shared" si="27"/>
        <v>0.25</v>
      </c>
      <c r="W158" s="2">
        <f t="shared" si="28"/>
        <v>12103.192500000001</v>
      </c>
      <c r="X158" s="2">
        <f>W158-R158</f>
        <v>5385.3225000000011</v>
      </c>
      <c r="Y158" s="2">
        <f t="shared" si="29"/>
        <v>0.44495057812225997</v>
      </c>
      <c r="Z158" s="2" t="str">
        <f t="shared" si="30"/>
        <v/>
      </c>
      <c r="AA158" s="2" t="e">
        <f t="shared" si="31"/>
        <v>#VALUE!</v>
      </c>
      <c r="AB158" s="2" t="e">
        <f t="shared" si="32"/>
        <v>#VALUE!</v>
      </c>
      <c r="AC158" s="2" t="str">
        <f t="shared" si="33"/>
        <v>Text Value Not Recognized as Date</v>
      </c>
      <c r="AD158" s="2">
        <f t="shared" si="34"/>
        <v>0</v>
      </c>
      <c r="AE158" s="2">
        <f t="shared" si="35"/>
        <v>0</v>
      </c>
      <c r="AH158" t="str">
        <f t="shared" si="26"/>
        <v>Vikram Iyer</v>
      </c>
      <c r="AI158" t="str">
        <f t="shared" si="26"/>
        <v>Small Business</v>
      </c>
      <c r="AJ158" t="str">
        <f t="shared" si="26"/>
        <v>East</v>
      </c>
      <c r="AK158" t="str">
        <f t="shared" si="25"/>
        <v>Bihar</v>
      </c>
      <c r="AL158" t="str">
        <f t="shared" si="25"/>
        <v>Patna</v>
      </c>
      <c r="AM158" t="str">
        <f t="shared" si="25"/>
        <v>Technology</v>
      </c>
      <c r="AN158" t="str">
        <f t="shared" si="25"/>
        <v>Machines</v>
      </c>
      <c r="AO158" t="str">
        <f t="shared" si="36"/>
        <v>Second Class</v>
      </c>
      <c r="AP158" t="str">
        <f t="shared" si="37"/>
        <v>Paid</v>
      </c>
      <c r="AQ158" t="str">
        <f t="shared" si="37"/>
        <v>Completed</v>
      </c>
    </row>
    <row r="159" spans="1:43">
      <c r="A159" t="s">
        <v>719</v>
      </c>
      <c r="B159" s="3">
        <v>45587</v>
      </c>
      <c r="C159" s="3" t="s">
        <v>720</v>
      </c>
      <c r="D159" t="s">
        <v>721</v>
      </c>
      <c r="E159" t="s">
        <v>232</v>
      </c>
      <c r="F159" t="s">
        <v>122</v>
      </c>
      <c r="G159" t="s">
        <v>140</v>
      </c>
      <c r="H159" t="s">
        <v>171</v>
      </c>
      <c r="I159" t="s">
        <v>172</v>
      </c>
      <c r="J159" t="s">
        <v>126</v>
      </c>
      <c r="K159" t="s">
        <v>252</v>
      </c>
      <c r="L159" t="s">
        <v>722</v>
      </c>
      <c r="M159" t="s">
        <v>145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117</v>
      </c>
      <c r="U159" t="s">
        <v>118</v>
      </c>
      <c r="V159" s="2">
        <f t="shared" si="27"/>
        <v>0.15</v>
      </c>
      <c r="W159" s="2">
        <f t="shared" si="28"/>
        <v>2335.3919999999998</v>
      </c>
      <c r="X159" s="2">
        <f>W159-R159</f>
        <v>869.24199999999973</v>
      </c>
      <c r="Y159" s="2">
        <f t="shared" si="29"/>
        <v>0.3722038955344541</v>
      </c>
      <c r="Z159" s="2" t="str">
        <f t="shared" si="30"/>
        <v/>
      </c>
      <c r="AA159" s="2">
        <f t="shared" si="31"/>
        <v>10</v>
      </c>
      <c r="AB159" s="2">
        <f t="shared" si="32"/>
        <v>2024</v>
      </c>
      <c r="AC159" s="2" t="str">
        <f t="shared" si="33"/>
        <v>Text Value Not Recognized as Date</v>
      </c>
      <c r="AD159" s="2">
        <f t="shared" si="34"/>
        <v>0</v>
      </c>
      <c r="AE159" s="2">
        <f t="shared" si="35"/>
        <v>0</v>
      </c>
      <c r="AH159" t="str">
        <f t="shared" si="26"/>
        <v>Rohan Mehta</v>
      </c>
      <c r="AI159" t="str">
        <f t="shared" si="26"/>
        <v>Small Business</v>
      </c>
      <c r="AJ159" t="str">
        <f t="shared" si="26"/>
        <v>South</v>
      </c>
      <c r="AK159" t="str">
        <f t="shared" si="25"/>
        <v>Andhra Pradesh</v>
      </c>
      <c r="AL159" t="str">
        <f t="shared" si="25"/>
        <v>Vijayawada</v>
      </c>
      <c r="AM159" t="str">
        <f t="shared" si="25"/>
        <v>Furniture</v>
      </c>
      <c r="AN159" t="str">
        <f t="shared" si="25"/>
        <v>Bookcases</v>
      </c>
      <c r="AO159" t="str">
        <f t="shared" si="36"/>
        <v>Standard Class</v>
      </c>
      <c r="AP159" t="str">
        <f t="shared" si="37"/>
        <v>Paid</v>
      </c>
      <c r="AQ159" t="str">
        <f t="shared" si="37"/>
        <v>Completed</v>
      </c>
    </row>
    <row r="160" spans="1:43">
      <c r="A160" t="s">
        <v>723</v>
      </c>
      <c r="B160" s="3">
        <v>45544</v>
      </c>
      <c r="C160" s="3">
        <v>45546</v>
      </c>
      <c r="D160" t="s">
        <v>724</v>
      </c>
      <c r="E160" t="s">
        <v>165</v>
      </c>
      <c r="F160" t="s">
        <v>182</v>
      </c>
      <c r="G160" t="s">
        <v>140</v>
      </c>
      <c r="H160" t="s">
        <v>141</v>
      </c>
      <c r="I160" t="s">
        <v>142</v>
      </c>
      <c r="J160" t="s">
        <v>126</v>
      </c>
      <c r="K160" t="s">
        <v>252</v>
      </c>
      <c r="L160" t="s">
        <v>725</v>
      </c>
      <c r="M160" t="s">
        <v>135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117</v>
      </c>
      <c r="U160" t="s">
        <v>118</v>
      </c>
      <c r="V160" s="2">
        <f t="shared" si="27"/>
        <v>0.05</v>
      </c>
      <c r="W160" s="2">
        <f t="shared" si="28"/>
        <v>3989.5629999999996</v>
      </c>
      <c r="X160" s="2">
        <f>W160-R160</f>
        <v>1608.1829999999995</v>
      </c>
      <c r="Y160" s="2">
        <f t="shared" si="29"/>
        <v>0.40309753223598666</v>
      </c>
      <c r="Z160" s="2">
        <f t="shared" si="30"/>
        <v>2</v>
      </c>
      <c r="AA160" s="2">
        <f t="shared" si="31"/>
        <v>9</v>
      </c>
      <c r="AB160" s="2">
        <f t="shared" si="32"/>
        <v>2024</v>
      </c>
      <c r="AC160" s="2" t="str">
        <f t="shared" si="33"/>
        <v>Valid</v>
      </c>
      <c r="AD160" s="2">
        <f t="shared" si="34"/>
        <v>0</v>
      </c>
      <c r="AE160" s="2">
        <f t="shared" si="35"/>
        <v>0</v>
      </c>
      <c r="AH160" t="str">
        <f t="shared" si="26"/>
        <v>Neha Gupta</v>
      </c>
      <c r="AI160" t="str">
        <f t="shared" si="26"/>
        <v>Home Office</v>
      </c>
      <c r="AJ160" t="str">
        <f t="shared" si="26"/>
        <v>South</v>
      </c>
      <c r="AK160" t="str">
        <f t="shared" si="25"/>
        <v>Telangana</v>
      </c>
      <c r="AL160" t="str">
        <f t="shared" si="25"/>
        <v>Hyderabad</v>
      </c>
      <c r="AM160" t="str">
        <f t="shared" si="25"/>
        <v>Furniture</v>
      </c>
      <c r="AN160" t="str">
        <f t="shared" si="25"/>
        <v>Bookcases</v>
      </c>
      <c r="AO160" t="str">
        <f t="shared" si="36"/>
        <v>First Class</v>
      </c>
      <c r="AP160" t="str">
        <f t="shared" si="37"/>
        <v>Paid</v>
      </c>
      <c r="AQ160" t="str">
        <f t="shared" si="37"/>
        <v>Completed</v>
      </c>
    </row>
    <row r="161" spans="1:43">
      <c r="A161" t="s">
        <v>726</v>
      </c>
      <c r="B161" s="3">
        <v>45687</v>
      </c>
      <c r="C161" s="3">
        <v>45749</v>
      </c>
      <c r="D161" t="s">
        <v>727</v>
      </c>
      <c r="E161" t="s">
        <v>203</v>
      </c>
      <c r="F161" t="s">
        <v>177</v>
      </c>
      <c r="G161" t="s">
        <v>110</v>
      </c>
      <c r="H161" t="s">
        <v>344</v>
      </c>
      <c r="I161" t="s">
        <v>345</v>
      </c>
      <c r="J161" t="s">
        <v>126</v>
      </c>
      <c r="K161" t="s">
        <v>152</v>
      </c>
      <c r="L161" t="s">
        <v>728</v>
      </c>
      <c r="M161" t="s">
        <v>129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199</v>
      </c>
      <c r="U161" t="s">
        <v>44</v>
      </c>
      <c r="V161" s="2">
        <f t="shared" si="27"/>
        <v>0.15</v>
      </c>
      <c r="W161" s="2">
        <f t="shared" si="28"/>
        <v>33893.324999999997</v>
      </c>
      <c r="X161" s="2">
        <f>W161-R161</f>
        <v>8142.9749999999985</v>
      </c>
      <c r="Y161" s="2">
        <f t="shared" si="29"/>
        <v>0.24025305867748292</v>
      </c>
      <c r="Z161" s="2">
        <f t="shared" si="30"/>
        <v>62</v>
      </c>
      <c r="AA161" s="2">
        <f t="shared" si="31"/>
        <v>1</v>
      </c>
      <c r="AB161" s="2">
        <f t="shared" si="32"/>
        <v>2025</v>
      </c>
      <c r="AC161" s="2" t="str">
        <f t="shared" si="33"/>
        <v>Valid</v>
      </c>
      <c r="AD161" s="2">
        <f t="shared" si="34"/>
        <v>0</v>
      </c>
      <c r="AE161" s="2">
        <f t="shared" si="35"/>
        <v>0</v>
      </c>
      <c r="AH161" t="str">
        <f t="shared" si="26"/>
        <v>Priya Menon</v>
      </c>
      <c r="AI161" t="str">
        <f t="shared" si="26"/>
        <v>Corporate</v>
      </c>
      <c r="AJ161" t="str">
        <f t="shared" si="26"/>
        <v>North</v>
      </c>
      <c r="AK161" t="str">
        <f t="shared" si="25"/>
        <v>Haryana</v>
      </c>
      <c r="AL161" t="str">
        <f t="shared" si="25"/>
        <v>Gurugram</v>
      </c>
      <c r="AM161" t="str">
        <f t="shared" si="25"/>
        <v>Furniture</v>
      </c>
      <c r="AN161" t="str">
        <f t="shared" si="25"/>
        <v>Chairs</v>
      </c>
      <c r="AO161" t="str">
        <f t="shared" si="36"/>
        <v>Same Day</v>
      </c>
      <c r="AP161" t="str">
        <f t="shared" si="37"/>
        <v>Pending</v>
      </c>
      <c r="AQ161" t="str">
        <f t="shared" si="37"/>
        <v>Cancelled</v>
      </c>
    </row>
    <row r="162" spans="1:43">
      <c r="A162" t="s">
        <v>729</v>
      </c>
      <c r="B162" s="3">
        <v>45879</v>
      </c>
      <c r="C162" s="3">
        <v>45936</v>
      </c>
      <c r="D162" t="s">
        <v>730</v>
      </c>
      <c r="E162" t="s">
        <v>157</v>
      </c>
      <c r="F162" t="s">
        <v>122</v>
      </c>
      <c r="G162" t="s">
        <v>149</v>
      </c>
      <c r="H162" t="s">
        <v>150</v>
      </c>
      <c r="I162" t="s">
        <v>151</v>
      </c>
      <c r="J162" t="s">
        <v>113</v>
      </c>
      <c r="K162" t="s">
        <v>114</v>
      </c>
      <c r="L162" t="s">
        <v>731</v>
      </c>
      <c r="M162" t="s">
        <v>116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199</v>
      </c>
      <c r="U162" t="s">
        <v>44</v>
      </c>
      <c r="V162" s="2">
        <f t="shared" si="27"/>
        <v>0.05</v>
      </c>
      <c r="W162" s="2">
        <f t="shared" si="28"/>
        <v>4789.5960000000005</v>
      </c>
      <c r="X162" s="2">
        <f>W162-R162</f>
        <v>751.95600000000059</v>
      </c>
      <c r="Y162" s="2">
        <f t="shared" si="29"/>
        <v>0.1569977927157114</v>
      </c>
      <c r="Z162" s="2">
        <f t="shared" si="30"/>
        <v>57</v>
      </c>
      <c r="AA162" s="2">
        <f t="shared" si="31"/>
        <v>8</v>
      </c>
      <c r="AB162" s="2">
        <f t="shared" si="32"/>
        <v>2025</v>
      </c>
      <c r="AC162" s="2" t="str">
        <f t="shared" si="33"/>
        <v>Valid</v>
      </c>
      <c r="AD162" s="2">
        <f t="shared" si="34"/>
        <v>0</v>
      </c>
      <c r="AE162" s="2">
        <f t="shared" si="35"/>
        <v>0</v>
      </c>
      <c r="AH162" t="str">
        <f t="shared" si="26"/>
        <v>Vikram Iyer</v>
      </c>
      <c r="AI162" t="str">
        <f t="shared" si="26"/>
        <v>Small Business</v>
      </c>
      <c r="AJ162" t="str">
        <f t="shared" si="26"/>
        <v>West</v>
      </c>
      <c r="AK162" t="str">
        <f t="shared" si="25"/>
        <v>Maharashtra</v>
      </c>
      <c r="AL162" t="str">
        <f t="shared" si="25"/>
        <v>Mumbai</v>
      </c>
      <c r="AM162" t="str">
        <f t="shared" si="25"/>
        <v>Office Supplies</v>
      </c>
      <c r="AN162" t="str">
        <f t="shared" si="25"/>
        <v>Paper</v>
      </c>
      <c r="AO162" t="str">
        <f t="shared" si="36"/>
        <v>Second Class</v>
      </c>
      <c r="AP162" t="str">
        <f t="shared" si="37"/>
        <v>Pending</v>
      </c>
      <c r="AQ162" t="str">
        <f t="shared" si="37"/>
        <v>Cancelled</v>
      </c>
    </row>
    <row r="163" spans="1:43">
      <c r="A163" t="s">
        <v>732</v>
      </c>
      <c r="B163" s="3">
        <v>45862</v>
      </c>
      <c r="C163" s="3" t="s">
        <v>733</v>
      </c>
      <c r="D163" t="s">
        <v>734</v>
      </c>
      <c r="E163" t="s">
        <v>139</v>
      </c>
      <c r="F163" t="s">
        <v>735</v>
      </c>
      <c r="G163" t="s">
        <v>149</v>
      </c>
      <c r="H163" t="s">
        <v>111</v>
      </c>
      <c r="I163" t="s">
        <v>197</v>
      </c>
      <c r="J163" t="s">
        <v>113</v>
      </c>
      <c r="K163" t="s">
        <v>246</v>
      </c>
      <c r="L163" t="s">
        <v>736</v>
      </c>
      <c r="M163" t="s">
        <v>145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199</v>
      </c>
      <c r="U163" t="s">
        <v>44</v>
      </c>
      <c r="V163" s="2">
        <f t="shared" si="27"/>
        <v>0</v>
      </c>
      <c r="W163" s="2">
        <f t="shared" si="28"/>
        <v>1643.41</v>
      </c>
      <c r="X163" s="2">
        <f>W163-R163</f>
        <v>736.0100000000001</v>
      </c>
      <c r="Y163" s="2">
        <f t="shared" si="29"/>
        <v>0.44785537388722235</v>
      </c>
      <c r="Z163" s="2" t="str">
        <f t="shared" si="30"/>
        <v/>
      </c>
      <c r="AA163" s="2">
        <f t="shared" si="31"/>
        <v>7</v>
      </c>
      <c r="AB163" s="2">
        <f t="shared" si="32"/>
        <v>2025</v>
      </c>
      <c r="AC163" s="2" t="str">
        <f t="shared" si="33"/>
        <v>Text Value Not Recognized as Date</v>
      </c>
      <c r="AD163" s="2">
        <f t="shared" si="34"/>
        <v>0</v>
      </c>
      <c r="AE163" s="2">
        <f t="shared" si="35"/>
        <v>0</v>
      </c>
      <c r="AH163" t="str">
        <f t="shared" si="26"/>
        <v>Arjun Bose</v>
      </c>
      <c r="AI163" t="str">
        <f t="shared" si="26"/>
        <v>Consumer</v>
      </c>
      <c r="AJ163" t="str">
        <f t="shared" si="26"/>
        <v>West</v>
      </c>
      <c r="AK163" t="str">
        <f t="shared" si="25"/>
        <v>Rajasthan</v>
      </c>
      <c r="AL163" t="str">
        <f t="shared" si="25"/>
        <v>Udaipur</v>
      </c>
      <c r="AM163" t="str">
        <f t="shared" si="25"/>
        <v>Office Supplies</v>
      </c>
      <c r="AN163" t="str">
        <f t="shared" si="25"/>
        <v>Binders</v>
      </c>
      <c r="AO163" t="str">
        <f t="shared" si="36"/>
        <v>Standard Class</v>
      </c>
      <c r="AP163" t="str">
        <f t="shared" si="37"/>
        <v>Pending</v>
      </c>
      <c r="AQ163" t="str">
        <f t="shared" si="37"/>
        <v>Cancelled</v>
      </c>
    </row>
    <row r="164" spans="1:43">
      <c r="A164" t="s">
        <v>737</v>
      </c>
      <c r="B164" s="3">
        <v>45360</v>
      </c>
      <c r="C164" s="3">
        <v>45365</v>
      </c>
      <c r="D164" t="s">
        <v>738</v>
      </c>
      <c r="E164" t="s">
        <v>165</v>
      </c>
      <c r="F164" t="s">
        <v>122</v>
      </c>
      <c r="G164" t="s">
        <v>149</v>
      </c>
      <c r="H164" t="s">
        <v>287</v>
      </c>
      <c r="I164" t="s">
        <v>288</v>
      </c>
      <c r="J164" t="s">
        <v>126</v>
      </c>
      <c r="K164" t="s">
        <v>143</v>
      </c>
      <c r="L164" t="s">
        <v>739</v>
      </c>
      <c r="M164" t="s">
        <v>116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199</v>
      </c>
      <c r="U164" t="s">
        <v>190</v>
      </c>
      <c r="V164" s="2">
        <f t="shared" si="27"/>
        <v>0</v>
      </c>
      <c r="W164" s="2">
        <f t="shared" si="28"/>
        <v>35782.720000000001</v>
      </c>
      <c r="X164" s="2">
        <f>W164-R164</f>
        <v>9358.3100000000013</v>
      </c>
      <c r="Y164" s="2">
        <f t="shared" si="29"/>
        <v>0.2615315437171909</v>
      </c>
      <c r="Z164" s="2">
        <f t="shared" si="30"/>
        <v>5</v>
      </c>
      <c r="AA164" s="2">
        <f t="shared" si="31"/>
        <v>3</v>
      </c>
      <c r="AB164" s="2">
        <f t="shared" si="32"/>
        <v>2024</v>
      </c>
      <c r="AC164" s="2" t="str">
        <f t="shared" si="33"/>
        <v>Valid</v>
      </c>
      <c r="AD164" s="2">
        <f t="shared" si="34"/>
        <v>1</v>
      </c>
      <c r="AE164" s="2">
        <f t="shared" si="35"/>
        <v>0</v>
      </c>
      <c r="AH164" t="str">
        <f t="shared" si="26"/>
        <v>Neha Gupta</v>
      </c>
      <c r="AI164" t="str">
        <f t="shared" si="26"/>
        <v>Small Business</v>
      </c>
      <c r="AJ164" t="str">
        <f t="shared" si="26"/>
        <v>West</v>
      </c>
      <c r="AK164" t="str">
        <f t="shared" si="25"/>
        <v>Goa</v>
      </c>
      <c r="AL164" t="str">
        <f t="shared" si="25"/>
        <v>Panaji</v>
      </c>
      <c r="AM164" t="str">
        <f t="shared" si="25"/>
        <v>Furniture</v>
      </c>
      <c r="AN164" t="str">
        <f t="shared" si="25"/>
        <v>Furnishings</v>
      </c>
      <c r="AO164" t="str">
        <f t="shared" si="36"/>
        <v>Second Class</v>
      </c>
      <c r="AP164" t="str">
        <f t="shared" si="37"/>
        <v>Pending</v>
      </c>
      <c r="AQ164" t="str">
        <f t="shared" si="37"/>
        <v>Returned</v>
      </c>
    </row>
    <row r="165" spans="1:43">
      <c r="A165" t="s">
        <v>740</v>
      </c>
      <c r="B165" s="3">
        <v>45921</v>
      </c>
      <c r="C165" s="3">
        <v>45926</v>
      </c>
      <c r="D165" t="s">
        <v>741</v>
      </c>
      <c r="E165" t="s">
        <v>232</v>
      </c>
      <c r="F165" t="s">
        <v>182</v>
      </c>
      <c r="G165" t="s">
        <v>149</v>
      </c>
      <c r="H165" t="s">
        <v>276</v>
      </c>
      <c r="I165" t="s">
        <v>277</v>
      </c>
      <c r="J165" t="s">
        <v>126</v>
      </c>
      <c r="K165" t="s">
        <v>127</v>
      </c>
      <c r="L165" t="s">
        <v>742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199</v>
      </c>
      <c r="U165" t="s">
        <v>190</v>
      </c>
      <c r="V165" s="2">
        <f t="shared" si="27"/>
        <v>0.1</v>
      </c>
      <c r="W165" s="2">
        <f t="shared" si="28"/>
        <v>15679.332</v>
      </c>
      <c r="X165" s="2">
        <f>W165-R165</f>
        <v>3201.5120000000006</v>
      </c>
      <c r="Y165" s="2">
        <f t="shared" si="29"/>
        <v>0.20418675999717339</v>
      </c>
      <c r="Z165" s="2">
        <f t="shared" si="30"/>
        <v>5</v>
      </c>
      <c r="AA165" s="2">
        <f t="shared" si="31"/>
        <v>9</v>
      </c>
      <c r="AB165" s="2">
        <f t="shared" si="32"/>
        <v>2025</v>
      </c>
      <c r="AC165" s="2" t="str">
        <f t="shared" si="33"/>
        <v>Missing ship_mode</v>
      </c>
      <c r="AD165" s="2">
        <f t="shared" si="34"/>
        <v>0</v>
      </c>
      <c r="AE165" s="2">
        <f t="shared" si="35"/>
        <v>0</v>
      </c>
      <c r="AH165" t="str">
        <f t="shared" si="26"/>
        <v>Rohan Mehta</v>
      </c>
      <c r="AI165" t="str">
        <f t="shared" si="26"/>
        <v>Home Office</v>
      </c>
      <c r="AJ165" t="str">
        <f t="shared" si="26"/>
        <v>West</v>
      </c>
      <c r="AK165" t="str">
        <f t="shared" si="25"/>
        <v>Gujarat</v>
      </c>
      <c r="AL165" t="str">
        <f t="shared" si="25"/>
        <v>Ahmedabad</v>
      </c>
      <c r="AM165" t="str">
        <f t="shared" si="25"/>
        <v>Furniture</v>
      </c>
      <c r="AN165" t="str">
        <f t="shared" si="25"/>
        <v>Tables</v>
      </c>
      <c r="AO165" t="s">
        <v>306</v>
      </c>
      <c r="AP165" t="str">
        <f t="shared" si="37"/>
        <v>Pending</v>
      </c>
      <c r="AQ165" t="str">
        <f t="shared" si="37"/>
        <v>Returned</v>
      </c>
    </row>
    <row r="166" spans="1:43">
      <c r="A166" t="s">
        <v>743</v>
      </c>
      <c r="B166" s="3">
        <v>45909</v>
      </c>
      <c r="C166" s="3">
        <v>45914</v>
      </c>
      <c r="D166" t="s">
        <v>744</v>
      </c>
      <c r="E166" t="s">
        <v>207</v>
      </c>
      <c r="F166" t="s">
        <v>122</v>
      </c>
      <c r="G166" t="s">
        <v>123</v>
      </c>
      <c r="H166" t="s">
        <v>186</v>
      </c>
      <c r="I166" t="s">
        <v>187</v>
      </c>
      <c r="J166" t="s">
        <v>126</v>
      </c>
      <c r="K166" t="s">
        <v>252</v>
      </c>
      <c r="L166" t="s">
        <v>745</v>
      </c>
      <c r="M166" t="s">
        <v>116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117</v>
      </c>
      <c r="U166" t="s">
        <v>118</v>
      </c>
      <c r="V166" s="2">
        <f t="shared" si="27"/>
        <v>0.25</v>
      </c>
      <c r="W166" s="2">
        <f t="shared" si="28"/>
        <v>2365.8150000000001</v>
      </c>
      <c r="X166" s="2">
        <f>W166-R166</f>
        <v>817.82500000000005</v>
      </c>
      <c r="Y166" s="2">
        <f t="shared" si="29"/>
        <v>0.34568425679945392</v>
      </c>
      <c r="Z166" s="2">
        <f t="shared" si="30"/>
        <v>5</v>
      </c>
      <c r="AA166" s="2">
        <f t="shared" si="31"/>
        <v>9</v>
      </c>
      <c r="AB166" s="2">
        <f t="shared" si="32"/>
        <v>2025</v>
      </c>
      <c r="AC166" s="2" t="str">
        <f t="shared" si="33"/>
        <v>Valid</v>
      </c>
      <c r="AD166" s="2">
        <f t="shared" si="34"/>
        <v>0</v>
      </c>
      <c r="AE166" s="2">
        <f t="shared" si="35"/>
        <v>0</v>
      </c>
      <c r="AH166" t="str">
        <f t="shared" si="26"/>
        <v>Rahul Verma</v>
      </c>
      <c r="AI166" t="str">
        <f t="shared" si="26"/>
        <v>Small Business</v>
      </c>
      <c r="AJ166" t="str">
        <f t="shared" si="26"/>
        <v>East</v>
      </c>
      <c r="AK166" t="str">
        <f t="shared" si="25"/>
        <v>West Bengal</v>
      </c>
      <c r="AL166" t="str">
        <f t="shared" si="25"/>
        <v>Kolkata</v>
      </c>
      <c r="AM166" t="str">
        <f t="shared" si="25"/>
        <v>Furniture</v>
      </c>
      <c r="AN166" t="str">
        <f t="shared" ref="AN166:AN229" si="38">PROPER(TRIM(K166))</f>
        <v>Bookcases</v>
      </c>
      <c r="AO166" t="str">
        <f t="shared" si="36"/>
        <v>Second Class</v>
      </c>
      <c r="AP166" t="str">
        <f t="shared" si="37"/>
        <v>Paid</v>
      </c>
      <c r="AQ166" t="str">
        <f t="shared" si="37"/>
        <v>Completed</v>
      </c>
    </row>
    <row r="167" spans="1:43">
      <c r="A167" t="s">
        <v>746</v>
      </c>
      <c r="B167" s="3">
        <v>45618</v>
      </c>
      <c r="C167" s="3" t="s">
        <v>747</v>
      </c>
      <c r="D167" t="s">
        <v>748</v>
      </c>
      <c r="E167" t="s">
        <v>121</v>
      </c>
      <c r="F167" t="s">
        <v>182</v>
      </c>
      <c r="G167" t="s">
        <v>123</v>
      </c>
      <c r="H167" t="s">
        <v>237</v>
      </c>
      <c r="I167" t="s">
        <v>238</v>
      </c>
      <c r="J167" t="s">
        <v>126</v>
      </c>
      <c r="K167" t="s">
        <v>152</v>
      </c>
      <c r="L167" t="s">
        <v>749</v>
      </c>
      <c r="M167" t="s">
        <v>145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117</v>
      </c>
      <c r="U167" t="s">
        <v>118</v>
      </c>
      <c r="V167" s="2">
        <f t="shared" si="27"/>
        <v>0.25</v>
      </c>
      <c r="W167" s="2">
        <f t="shared" si="28"/>
        <v>10268.969999999999</v>
      </c>
      <c r="X167" s="2">
        <f>W167-R167</f>
        <v>3798.0499999999993</v>
      </c>
      <c r="Y167" s="2">
        <f t="shared" si="29"/>
        <v>0.36985695741637181</v>
      </c>
      <c r="Z167" s="2" t="str">
        <f t="shared" si="30"/>
        <v/>
      </c>
      <c r="AA167" s="2">
        <f t="shared" si="31"/>
        <v>11</v>
      </c>
      <c r="AB167" s="2">
        <f t="shared" si="32"/>
        <v>2024</v>
      </c>
      <c r="AC167" s="2" t="str">
        <f t="shared" si="33"/>
        <v>Text Value Not Recognized as Date</v>
      </c>
      <c r="AD167" s="2">
        <f t="shared" si="34"/>
        <v>0</v>
      </c>
      <c r="AE167" s="2">
        <f t="shared" si="35"/>
        <v>0</v>
      </c>
      <c r="AH167" t="str">
        <f t="shared" si="26"/>
        <v>Mira Das</v>
      </c>
      <c r="AI167" t="str">
        <f t="shared" si="26"/>
        <v>Home Office</v>
      </c>
      <c r="AJ167" t="str">
        <f t="shared" si="26"/>
        <v>East</v>
      </c>
      <c r="AK167" t="str">
        <f t="shared" si="26"/>
        <v>Bihar</v>
      </c>
      <c r="AL167" t="str">
        <f t="shared" si="26"/>
        <v>Patna</v>
      </c>
      <c r="AM167" t="str">
        <f t="shared" si="26"/>
        <v>Furniture</v>
      </c>
      <c r="AN167" t="str">
        <f t="shared" si="38"/>
        <v>Chairs</v>
      </c>
      <c r="AO167" t="str">
        <f t="shared" si="36"/>
        <v>Standard Class</v>
      </c>
      <c r="AP167" t="str">
        <f t="shared" si="37"/>
        <v>Paid</v>
      </c>
      <c r="AQ167" t="str">
        <f t="shared" si="37"/>
        <v>Completed</v>
      </c>
    </row>
    <row r="168" spans="1:43">
      <c r="A168" t="s">
        <v>750</v>
      </c>
      <c r="B168" s="3" t="s">
        <v>751</v>
      </c>
      <c r="C168" s="3" t="s">
        <v>169</v>
      </c>
      <c r="D168" t="s">
        <v>752</v>
      </c>
      <c r="E168" t="s">
        <v>108</v>
      </c>
      <c r="F168" t="s">
        <v>122</v>
      </c>
      <c r="G168" t="s">
        <v>149</v>
      </c>
      <c r="H168" t="s">
        <v>276</v>
      </c>
      <c r="I168" t="s">
        <v>277</v>
      </c>
      <c r="J168" t="s">
        <v>753</v>
      </c>
      <c r="K168" t="s">
        <v>178</v>
      </c>
      <c r="L168" t="s">
        <v>754</v>
      </c>
      <c r="M168" t="s">
        <v>135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117</v>
      </c>
      <c r="U168" t="s">
        <v>118</v>
      </c>
      <c r="V168" s="2">
        <f t="shared" si="27"/>
        <v>0.2</v>
      </c>
      <c r="W168" s="2">
        <f t="shared" si="28"/>
        <v>2046.28</v>
      </c>
      <c r="X168" s="2">
        <f>W168-R168</f>
        <v>596.74</v>
      </c>
      <c r="Y168" s="2">
        <f t="shared" si="29"/>
        <v>0.29162186992982386</v>
      </c>
      <c r="Z168" s="2" t="str">
        <f t="shared" si="30"/>
        <v/>
      </c>
      <c r="AA168" s="2" t="e">
        <f t="shared" si="31"/>
        <v>#VALUE!</v>
      </c>
      <c r="AB168" s="2" t="e">
        <f t="shared" si="32"/>
        <v>#VALUE!</v>
      </c>
      <c r="AC168" s="2" t="str">
        <f t="shared" si="33"/>
        <v>Text Value Not Recognized as Date</v>
      </c>
      <c r="AD168" s="2">
        <f t="shared" si="34"/>
        <v>0</v>
      </c>
      <c r="AE168" s="2">
        <f t="shared" si="35"/>
        <v>0</v>
      </c>
      <c r="AH168" t="str">
        <f t="shared" ref="AH168:AM231" si="39">PROPER(TRIM(E168))</f>
        <v>Karan Malhotra</v>
      </c>
      <c r="AI168" t="str">
        <f t="shared" si="39"/>
        <v>Small Business</v>
      </c>
      <c r="AJ168" t="str">
        <f t="shared" si="39"/>
        <v>West</v>
      </c>
      <c r="AK168" t="str">
        <f t="shared" si="39"/>
        <v>Gujarat</v>
      </c>
      <c r="AL168" t="str">
        <f t="shared" si="39"/>
        <v>Ahmedabad</v>
      </c>
      <c r="AM168" t="str">
        <f t="shared" si="39"/>
        <v>Office Supplies</v>
      </c>
      <c r="AN168" t="str">
        <f t="shared" si="38"/>
        <v>Labels</v>
      </c>
      <c r="AO168" t="str">
        <f t="shared" si="36"/>
        <v>First Class</v>
      </c>
      <c r="AP168" t="str">
        <f t="shared" si="37"/>
        <v>Paid</v>
      </c>
      <c r="AQ168" t="str">
        <f t="shared" si="37"/>
        <v>Completed</v>
      </c>
    </row>
    <row r="169" spans="1:43">
      <c r="A169" t="s">
        <v>755</v>
      </c>
      <c r="B169" s="3">
        <v>45887</v>
      </c>
      <c r="C169" s="3">
        <v>45887</v>
      </c>
      <c r="D169" t="s">
        <v>756</v>
      </c>
      <c r="E169" t="s">
        <v>139</v>
      </c>
      <c r="F169" t="s">
        <v>182</v>
      </c>
      <c r="G169" t="s">
        <v>140</v>
      </c>
      <c r="H169" t="s">
        <v>270</v>
      </c>
      <c r="I169" t="s">
        <v>271</v>
      </c>
      <c r="J169" t="s">
        <v>113</v>
      </c>
      <c r="K169" t="s">
        <v>213</v>
      </c>
      <c r="L169" t="s">
        <v>757</v>
      </c>
      <c r="M169" t="s">
        <v>135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117</v>
      </c>
      <c r="U169" t="s">
        <v>190</v>
      </c>
      <c r="V169" s="2">
        <f t="shared" si="27"/>
        <v>0.15</v>
      </c>
      <c r="W169" s="2">
        <f t="shared" si="28"/>
        <v>23186.6145</v>
      </c>
      <c r="X169" s="2">
        <f>W169-R169</f>
        <v>5280.0744999999988</v>
      </c>
      <c r="Y169" s="2">
        <f t="shared" si="29"/>
        <v>0.22772080417345961</v>
      </c>
      <c r="Z169" s="2">
        <f t="shared" si="30"/>
        <v>0</v>
      </c>
      <c r="AA169" s="2">
        <f t="shared" si="31"/>
        <v>8</v>
      </c>
      <c r="AB169" s="2">
        <f t="shared" si="32"/>
        <v>2025</v>
      </c>
      <c r="AC169" s="2" t="str">
        <f t="shared" si="33"/>
        <v>Valid</v>
      </c>
      <c r="AD169" s="2">
        <f t="shared" si="34"/>
        <v>0</v>
      </c>
      <c r="AE169" s="2">
        <f t="shared" si="35"/>
        <v>0</v>
      </c>
      <c r="AH169" t="str">
        <f t="shared" si="39"/>
        <v>Arjun Bose</v>
      </c>
      <c r="AI169" t="str">
        <f t="shared" si="39"/>
        <v>Home Office</v>
      </c>
      <c r="AJ169" t="str">
        <f t="shared" si="39"/>
        <v>South</v>
      </c>
      <c r="AK169" t="str">
        <f t="shared" si="39"/>
        <v>Karnataka</v>
      </c>
      <c r="AL169" t="str">
        <f t="shared" si="39"/>
        <v>Bengaluru</v>
      </c>
      <c r="AM169" t="str">
        <f t="shared" si="39"/>
        <v>Office Supplies</v>
      </c>
      <c r="AN169" t="str">
        <f t="shared" si="38"/>
        <v>Storage</v>
      </c>
      <c r="AO169" t="str">
        <f t="shared" si="36"/>
        <v>First Class</v>
      </c>
      <c r="AP169" t="str">
        <f t="shared" si="37"/>
        <v>Paid</v>
      </c>
      <c r="AQ169" t="str">
        <f t="shared" si="37"/>
        <v>Returned</v>
      </c>
    </row>
    <row r="170" spans="1:43">
      <c r="A170" t="s">
        <v>758</v>
      </c>
      <c r="B170" s="3">
        <v>45677</v>
      </c>
      <c r="C170" s="3">
        <v>45680</v>
      </c>
      <c r="D170" t="s">
        <v>759</v>
      </c>
      <c r="E170" t="s">
        <v>375</v>
      </c>
      <c r="F170" t="s">
        <v>109</v>
      </c>
      <c r="G170" t="s">
        <v>149</v>
      </c>
      <c r="H170" t="s">
        <v>150</v>
      </c>
      <c r="I170" t="s">
        <v>151</v>
      </c>
      <c r="J170" t="s">
        <v>160</v>
      </c>
      <c r="K170" t="s">
        <v>161</v>
      </c>
      <c r="L170" t="s">
        <v>760</v>
      </c>
      <c r="M170" t="s">
        <v>129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117</v>
      </c>
      <c r="U170" t="s">
        <v>44</v>
      </c>
      <c r="V170" s="2">
        <f t="shared" si="27"/>
        <v>0.2</v>
      </c>
      <c r="W170" s="2">
        <f t="shared" si="28"/>
        <v>2557.08</v>
      </c>
      <c r="X170" s="2">
        <f>W170-R170</f>
        <v>531.38999999999987</v>
      </c>
      <c r="Y170" s="2">
        <f t="shared" si="29"/>
        <v>0.2078112534609789</v>
      </c>
      <c r="Z170" s="2">
        <f t="shared" si="30"/>
        <v>3</v>
      </c>
      <c r="AA170" s="2">
        <f t="shared" si="31"/>
        <v>1</v>
      </c>
      <c r="AB170" s="2">
        <f t="shared" si="32"/>
        <v>2025</v>
      </c>
      <c r="AC170" s="2" t="str">
        <f t="shared" si="33"/>
        <v>Valid</v>
      </c>
      <c r="AD170" s="2">
        <f t="shared" si="34"/>
        <v>0</v>
      </c>
      <c r="AE170" s="2">
        <f t="shared" si="35"/>
        <v>0</v>
      </c>
      <c r="AH170" t="str">
        <f t="shared" si="39"/>
        <v>Kabir Singh</v>
      </c>
      <c r="AI170" t="str">
        <f t="shared" si="39"/>
        <v>Consumer</v>
      </c>
      <c r="AJ170" t="str">
        <f t="shared" si="39"/>
        <v>West</v>
      </c>
      <c r="AK170" t="str">
        <f t="shared" si="39"/>
        <v>Maharashtra</v>
      </c>
      <c r="AL170" t="str">
        <f t="shared" si="39"/>
        <v>Mumbai</v>
      </c>
      <c r="AM170" t="str">
        <f t="shared" si="39"/>
        <v>Technology</v>
      </c>
      <c r="AN170" t="str">
        <f t="shared" si="38"/>
        <v>Accessories</v>
      </c>
      <c r="AO170" t="str">
        <f t="shared" si="36"/>
        <v>Same Day</v>
      </c>
      <c r="AP170" t="str">
        <f t="shared" si="37"/>
        <v>Paid</v>
      </c>
      <c r="AQ170" t="str">
        <f t="shared" si="37"/>
        <v>Cancelled</v>
      </c>
    </row>
    <row r="171" spans="1:43">
      <c r="A171" t="s">
        <v>761</v>
      </c>
      <c r="B171" s="3">
        <v>45913</v>
      </c>
      <c r="C171" s="3">
        <v>45913</v>
      </c>
      <c r="D171" t="s">
        <v>762</v>
      </c>
      <c r="E171" t="s">
        <v>256</v>
      </c>
      <c r="F171" t="s">
        <v>109</v>
      </c>
      <c r="G171" t="s">
        <v>123</v>
      </c>
      <c r="H171" t="s">
        <v>260</v>
      </c>
      <c r="I171" t="s">
        <v>261</v>
      </c>
      <c r="J171" t="s">
        <v>113</v>
      </c>
      <c r="K171" t="s">
        <v>133</v>
      </c>
      <c r="L171" t="s">
        <v>763</v>
      </c>
      <c r="M171" t="s">
        <v>145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199</v>
      </c>
      <c r="U171" t="s">
        <v>190</v>
      </c>
      <c r="V171" s="2">
        <f t="shared" si="27"/>
        <v>0.05</v>
      </c>
      <c r="W171" s="2">
        <f t="shared" si="28"/>
        <v>5577.6399999999994</v>
      </c>
      <c r="X171" s="2">
        <f>W171-R171</f>
        <v>2036.3499999999995</v>
      </c>
      <c r="Y171" s="2">
        <f t="shared" si="29"/>
        <v>0.36509168752375548</v>
      </c>
      <c r="Z171" s="2">
        <f t="shared" si="30"/>
        <v>0</v>
      </c>
      <c r="AA171" s="2">
        <f t="shared" si="31"/>
        <v>9</v>
      </c>
      <c r="AB171" s="2">
        <f t="shared" si="32"/>
        <v>2025</v>
      </c>
      <c r="AC171" s="2" t="str">
        <f t="shared" si="33"/>
        <v>Valid</v>
      </c>
      <c r="AD171" s="2">
        <f t="shared" si="34"/>
        <v>0</v>
      </c>
      <c r="AE171" s="2">
        <f t="shared" si="35"/>
        <v>0</v>
      </c>
      <c r="AH171" t="str">
        <f t="shared" si="39"/>
        <v>Diya Patel</v>
      </c>
      <c r="AI171" t="str">
        <f t="shared" si="39"/>
        <v>Consumer</v>
      </c>
      <c r="AJ171" t="str">
        <f t="shared" si="39"/>
        <v>East</v>
      </c>
      <c r="AK171" t="str">
        <f t="shared" si="39"/>
        <v>Assam</v>
      </c>
      <c r="AL171" t="str">
        <f t="shared" si="39"/>
        <v>Guwahati</v>
      </c>
      <c r="AM171" t="str">
        <f t="shared" si="39"/>
        <v>Office Supplies</v>
      </c>
      <c r="AN171" t="str">
        <f t="shared" si="38"/>
        <v>Art</v>
      </c>
      <c r="AO171" t="str">
        <f t="shared" si="36"/>
        <v>Standard Class</v>
      </c>
      <c r="AP171" t="str">
        <f t="shared" si="37"/>
        <v>Pending</v>
      </c>
      <c r="AQ171" t="str">
        <f t="shared" si="37"/>
        <v>Returned</v>
      </c>
    </row>
    <row r="172" spans="1:43">
      <c r="A172" t="s">
        <v>764</v>
      </c>
      <c r="B172" s="3">
        <v>45847</v>
      </c>
      <c r="C172" s="3">
        <v>45915</v>
      </c>
      <c r="D172" t="s">
        <v>765</v>
      </c>
      <c r="E172" t="s">
        <v>232</v>
      </c>
      <c r="F172" t="s">
        <v>177</v>
      </c>
      <c r="G172" t="s">
        <v>123</v>
      </c>
      <c r="H172" t="s">
        <v>237</v>
      </c>
      <c r="I172" t="s">
        <v>238</v>
      </c>
      <c r="J172" t="s">
        <v>160</v>
      </c>
      <c r="K172" t="s">
        <v>166</v>
      </c>
      <c r="L172" t="s">
        <v>766</v>
      </c>
      <c r="M172" t="s">
        <v>145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117</v>
      </c>
      <c r="U172" t="s">
        <v>118</v>
      </c>
      <c r="V172" s="2">
        <f t="shared" si="27"/>
        <v>0</v>
      </c>
      <c r="W172" s="2">
        <f t="shared" si="28"/>
        <v>5133.96</v>
      </c>
      <c r="X172" s="2">
        <f>W172-R172</f>
        <v>1203.96</v>
      </c>
      <c r="Y172" s="2">
        <f t="shared" si="29"/>
        <v>0.23450903396208775</v>
      </c>
      <c r="Z172" s="2">
        <f t="shared" si="30"/>
        <v>68</v>
      </c>
      <c r="AA172" s="2">
        <f t="shared" si="31"/>
        <v>7</v>
      </c>
      <c r="AB172" s="2">
        <f t="shared" si="32"/>
        <v>2025</v>
      </c>
      <c r="AC172" s="2" t="str">
        <f t="shared" si="33"/>
        <v>Conflicting Duplicate Order ID</v>
      </c>
      <c r="AD172" s="2">
        <f t="shared" si="34"/>
        <v>0</v>
      </c>
      <c r="AE172" s="2">
        <f t="shared" si="35"/>
        <v>0</v>
      </c>
      <c r="AH172" t="str">
        <f t="shared" si="39"/>
        <v>Rohan Mehta</v>
      </c>
      <c r="AI172" t="str">
        <f t="shared" si="39"/>
        <v>Corporate</v>
      </c>
      <c r="AJ172" t="str">
        <f t="shared" si="39"/>
        <v>East</v>
      </c>
      <c r="AK172" t="str">
        <f t="shared" si="39"/>
        <v>Bihar</v>
      </c>
      <c r="AL172" t="str">
        <f t="shared" si="39"/>
        <v>Patna</v>
      </c>
      <c r="AM172" t="str">
        <f t="shared" si="39"/>
        <v>Technology</v>
      </c>
      <c r="AN172" t="str">
        <f t="shared" si="38"/>
        <v>Copiers</v>
      </c>
      <c r="AO172" t="str">
        <f t="shared" si="36"/>
        <v>Standard Class</v>
      </c>
      <c r="AP172" t="str">
        <f t="shared" si="37"/>
        <v>Paid</v>
      </c>
      <c r="AQ172" t="str">
        <f t="shared" si="37"/>
        <v>Completed</v>
      </c>
    </row>
    <row r="173" spans="1:43">
      <c r="A173" t="s">
        <v>767</v>
      </c>
      <c r="B173" s="3">
        <v>45711</v>
      </c>
      <c r="C173" s="3">
        <v>45713</v>
      </c>
      <c r="D173" t="s">
        <v>768</v>
      </c>
      <c r="E173" t="s">
        <v>108</v>
      </c>
      <c r="F173" t="s">
        <v>177</v>
      </c>
      <c r="G173" t="s">
        <v>123</v>
      </c>
      <c r="H173" t="s">
        <v>237</v>
      </c>
      <c r="I173" t="s">
        <v>238</v>
      </c>
      <c r="J173" t="s">
        <v>113</v>
      </c>
      <c r="K173" t="s">
        <v>178</v>
      </c>
      <c r="L173" t="s">
        <v>769</v>
      </c>
      <c r="M173" t="s">
        <v>129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117</v>
      </c>
      <c r="U173" t="s">
        <v>118</v>
      </c>
      <c r="V173" s="2">
        <f t="shared" si="27"/>
        <v>0.25</v>
      </c>
      <c r="W173" s="2">
        <f t="shared" si="28"/>
        <v>15923.512500000001</v>
      </c>
      <c r="X173" s="2">
        <f>W173-R173</f>
        <v>4631.7125000000015</v>
      </c>
      <c r="Y173" s="2">
        <f t="shared" si="29"/>
        <v>0.29087253832971849</v>
      </c>
      <c r="Z173" s="2">
        <f t="shared" si="30"/>
        <v>2</v>
      </c>
      <c r="AA173" s="2">
        <f t="shared" si="31"/>
        <v>2</v>
      </c>
      <c r="AB173" s="2">
        <f t="shared" si="32"/>
        <v>2025</v>
      </c>
      <c r="AC173" s="2" t="str">
        <f t="shared" si="33"/>
        <v>Valid</v>
      </c>
      <c r="AD173" s="2">
        <f t="shared" si="34"/>
        <v>0</v>
      </c>
      <c r="AE173" s="2">
        <f t="shared" si="35"/>
        <v>0</v>
      </c>
      <c r="AH173" t="str">
        <f t="shared" si="39"/>
        <v>Karan Malhotra</v>
      </c>
      <c r="AI173" t="str">
        <f t="shared" si="39"/>
        <v>Corporate</v>
      </c>
      <c r="AJ173" t="str">
        <f t="shared" si="39"/>
        <v>East</v>
      </c>
      <c r="AK173" t="str">
        <f t="shared" si="39"/>
        <v>Bihar</v>
      </c>
      <c r="AL173" t="str">
        <f t="shared" si="39"/>
        <v>Patna</v>
      </c>
      <c r="AM173" t="str">
        <f t="shared" si="39"/>
        <v>Office Supplies</v>
      </c>
      <c r="AN173" t="str">
        <f t="shared" si="38"/>
        <v>Labels</v>
      </c>
      <c r="AO173" t="str">
        <f t="shared" si="36"/>
        <v>Same Day</v>
      </c>
      <c r="AP173" t="str">
        <f t="shared" si="37"/>
        <v>Paid</v>
      </c>
      <c r="AQ173" t="str">
        <f t="shared" si="37"/>
        <v>Completed</v>
      </c>
    </row>
    <row r="174" spans="1:43">
      <c r="A174" t="s">
        <v>770</v>
      </c>
      <c r="B174" s="3">
        <v>45696</v>
      </c>
      <c r="C174" s="3">
        <v>45938</v>
      </c>
      <c r="D174" t="s">
        <v>771</v>
      </c>
      <c r="E174" t="s">
        <v>108</v>
      </c>
      <c r="F174" t="s">
        <v>177</v>
      </c>
      <c r="G174" t="s">
        <v>110</v>
      </c>
      <c r="H174" t="s">
        <v>465</v>
      </c>
      <c r="I174" t="s">
        <v>466</v>
      </c>
      <c r="J174" t="s">
        <v>126</v>
      </c>
      <c r="K174" t="s">
        <v>143</v>
      </c>
      <c r="L174" t="s">
        <v>772</v>
      </c>
      <c r="M174" t="s">
        <v>129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189</v>
      </c>
      <c r="U174" t="s">
        <v>190</v>
      </c>
      <c r="V174" s="2">
        <f t="shared" si="27"/>
        <v>0.1</v>
      </c>
      <c r="W174" s="2">
        <f t="shared" si="28"/>
        <v>23997.221999999998</v>
      </c>
      <c r="X174" s="2">
        <f>W174-R174</f>
        <v>7862.5919999999987</v>
      </c>
      <c r="Y174" s="2">
        <f t="shared" si="29"/>
        <v>0.32764592501582057</v>
      </c>
      <c r="Z174" s="2">
        <f t="shared" si="30"/>
        <v>242</v>
      </c>
      <c r="AA174" s="2">
        <f t="shared" si="31"/>
        <v>2</v>
      </c>
      <c r="AB174" s="2">
        <f t="shared" si="32"/>
        <v>2025</v>
      </c>
      <c r="AC174" s="2" t="str">
        <f t="shared" si="33"/>
        <v>Valid</v>
      </c>
      <c r="AD174" s="2">
        <f t="shared" si="34"/>
        <v>0</v>
      </c>
      <c r="AE174" s="2">
        <f t="shared" si="35"/>
        <v>0</v>
      </c>
      <c r="AH174" t="str">
        <f t="shared" si="39"/>
        <v>Karan Malhotra</v>
      </c>
      <c r="AI174" t="str">
        <f t="shared" si="39"/>
        <v>Corporate</v>
      </c>
      <c r="AJ174" t="str">
        <f t="shared" si="39"/>
        <v>North</v>
      </c>
      <c r="AK174" t="str">
        <f t="shared" si="39"/>
        <v>Delhi</v>
      </c>
      <c r="AL174" t="str">
        <f t="shared" si="39"/>
        <v>New Delhi</v>
      </c>
      <c r="AM174" t="str">
        <f t="shared" si="39"/>
        <v>Furniture</v>
      </c>
      <c r="AN174" t="str">
        <f t="shared" si="38"/>
        <v>Furnishings</v>
      </c>
      <c r="AO174" t="str">
        <f t="shared" si="36"/>
        <v>Same Day</v>
      </c>
      <c r="AP174" t="str">
        <f t="shared" si="37"/>
        <v>Refunded</v>
      </c>
      <c r="AQ174" t="str">
        <f t="shared" si="37"/>
        <v>Returned</v>
      </c>
    </row>
    <row r="175" spans="1:43">
      <c r="A175" t="s">
        <v>773</v>
      </c>
      <c r="B175" s="3">
        <v>45327</v>
      </c>
      <c r="C175" s="3">
        <v>45420</v>
      </c>
      <c r="D175" t="s">
        <v>774</v>
      </c>
      <c r="E175" t="s">
        <v>775</v>
      </c>
      <c r="F175" t="s">
        <v>182</v>
      </c>
      <c r="G175" t="s">
        <v>110</v>
      </c>
      <c r="H175" t="s">
        <v>211</v>
      </c>
      <c r="I175" t="s">
        <v>212</v>
      </c>
      <c r="J175" t="s">
        <v>160</v>
      </c>
      <c r="K175" t="s">
        <v>166</v>
      </c>
      <c r="L175" t="s">
        <v>776</v>
      </c>
      <c r="M175" t="s">
        <v>116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117</v>
      </c>
      <c r="U175" t="s">
        <v>118</v>
      </c>
      <c r="V175" s="2">
        <f t="shared" si="27"/>
        <v>0.25</v>
      </c>
      <c r="W175" s="2">
        <f t="shared" si="28"/>
        <v>1734.1875</v>
      </c>
      <c r="X175" s="2">
        <f>W175-R175</f>
        <v>348.11750000000006</v>
      </c>
      <c r="Y175" s="2">
        <f t="shared" si="29"/>
        <v>0.20073809781237614</v>
      </c>
      <c r="Z175" s="2">
        <f t="shared" si="30"/>
        <v>93</v>
      </c>
      <c r="AA175" s="2">
        <f t="shared" si="31"/>
        <v>2</v>
      </c>
      <c r="AB175" s="2">
        <f t="shared" si="32"/>
        <v>2024</v>
      </c>
      <c r="AC175" s="2" t="str">
        <f t="shared" si="33"/>
        <v>Valid</v>
      </c>
      <c r="AD175" s="2">
        <f t="shared" si="34"/>
        <v>0</v>
      </c>
      <c r="AE175" s="2">
        <f t="shared" si="35"/>
        <v>0</v>
      </c>
      <c r="AH175" t="str">
        <f t="shared" si="39"/>
        <v>Priya Menon</v>
      </c>
      <c r="AI175" t="str">
        <f t="shared" si="39"/>
        <v>Home Office</v>
      </c>
      <c r="AJ175" t="str">
        <f t="shared" si="39"/>
        <v>North</v>
      </c>
      <c r="AK175" t="str">
        <f t="shared" si="39"/>
        <v>Punjab</v>
      </c>
      <c r="AL175" t="str">
        <f t="shared" si="39"/>
        <v>Ludhiana</v>
      </c>
      <c r="AM175" t="str">
        <f t="shared" si="39"/>
        <v>Technology</v>
      </c>
      <c r="AN175" t="str">
        <f t="shared" si="38"/>
        <v>Copiers</v>
      </c>
      <c r="AO175" t="str">
        <f t="shared" si="36"/>
        <v>Second Class</v>
      </c>
      <c r="AP175" t="str">
        <f t="shared" si="37"/>
        <v>Paid</v>
      </c>
      <c r="AQ175" t="str">
        <f t="shared" si="37"/>
        <v>Completed</v>
      </c>
    </row>
    <row r="176" spans="1:43">
      <c r="A176" t="s">
        <v>777</v>
      </c>
      <c r="B176" s="3">
        <v>45928</v>
      </c>
      <c r="C176" s="3">
        <v>45757</v>
      </c>
      <c r="D176" t="s">
        <v>778</v>
      </c>
      <c r="E176" t="s">
        <v>108</v>
      </c>
      <c r="F176" t="s">
        <v>122</v>
      </c>
      <c r="G176" t="s">
        <v>140</v>
      </c>
      <c r="H176" t="s">
        <v>270</v>
      </c>
      <c r="I176" t="s">
        <v>271</v>
      </c>
      <c r="J176" t="s">
        <v>126</v>
      </c>
      <c r="K176" t="s">
        <v>252</v>
      </c>
      <c r="L176" t="s">
        <v>779</v>
      </c>
      <c r="M176" t="s">
        <v>135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199</v>
      </c>
      <c r="U176" t="s">
        <v>190</v>
      </c>
      <c r="V176" s="2">
        <f t="shared" si="27"/>
        <v>0.15</v>
      </c>
      <c r="W176" s="2">
        <f t="shared" si="28"/>
        <v>8264.7029999999995</v>
      </c>
      <c r="X176" s="2">
        <f>W176-R176</f>
        <v>3495.9529999999995</v>
      </c>
      <c r="Y176" s="2">
        <f t="shared" si="29"/>
        <v>0.42299801940856191</v>
      </c>
      <c r="Z176" s="2">
        <f t="shared" si="30"/>
        <v>-171</v>
      </c>
      <c r="AA176" s="2">
        <f t="shared" si="31"/>
        <v>9</v>
      </c>
      <c r="AB176" s="2">
        <f t="shared" si="32"/>
        <v>2025</v>
      </c>
      <c r="AC176" s="2" t="str">
        <f t="shared" si="33"/>
        <v>Invalid shipping record</v>
      </c>
      <c r="AD176" s="2">
        <f t="shared" si="34"/>
        <v>0</v>
      </c>
      <c r="AE176" s="2">
        <f t="shared" si="35"/>
        <v>0</v>
      </c>
      <c r="AH176" t="str">
        <f t="shared" si="39"/>
        <v>Karan Malhotra</v>
      </c>
      <c r="AI176" t="str">
        <f t="shared" si="39"/>
        <v>Small Business</v>
      </c>
      <c r="AJ176" t="str">
        <f t="shared" si="39"/>
        <v>South</v>
      </c>
      <c r="AK176" t="str">
        <f t="shared" si="39"/>
        <v>Karnataka</v>
      </c>
      <c r="AL176" t="str">
        <f t="shared" si="39"/>
        <v>Bengaluru</v>
      </c>
      <c r="AM176" t="str">
        <f t="shared" si="39"/>
        <v>Furniture</v>
      </c>
      <c r="AN176" t="str">
        <f t="shared" si="38"/>
        <v>Bookcases</v>
      </c>
      <c r="AO176" t="str">
        <f t="shared" si="36"/>
        <v>First Class</v>
      </c>
      <c r="AP176" t="str">
        <f t="shared" si="37"/>
        <v>Pending</v>
      </c>
      <c r="AQ176" t="str">
        <f t="shared" si="37"/>
        <v>Returned</v>
      </c>
    </row>
    <row r="177" spans="1:43">
      <c r="A177" t="s">
        <v>780</v>
      </c>
      <c r="B177" s="3">
        <v>45318</v>
      </c>
      <c r="C177" s="3">
        <v>45325</v>
      </c>
      <c r="D177" t="s">
        <v>781</v>
      </c>
      <c r="E177" t="s">
        <v>139</v>
      </c>
      <c r="F177" t="s">
        <v>122</v>
      </c>
      <c r="G177" t="s">
        <v>123</v>
      </c>
      <c r="H177" t="s">
        <v>237</v>
      </c>
      <c r="I177" t="s">
        <v>238</v>
      </c>
      <c r="J177" t="s">
        <v>160</v>
      </c>
      <c r="K177" t="s">
        <v>385</v>
      </c>
      <c r="L177" t="s">
        <v>782</v>
      </c>
      <c r="M177" t="s">
        <v>129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117</v>
      </c>
      <c r="U177" t="s">
        <v>190</v>
      </c>
      <c r="V177" s="2">
        <f t="shared" si="27"/>
        <v>0.15</v>
      </c>
      <c r="W177" s="2">
        <f t="shared" si="28"/>
        <v>15906.849000000002</v>
      </c>
      <c r="X177" s="2">
        <f>W177-R177</f>
        <v>4892.3890000000029</v>
      </c>
      <c r="Y177" s="2">
        <f t="shared" si="29"/>
        <v>0.30756493633654297</v>
      </c>
      <c r="Z177" s="2">
        <f t="shared" si="30"/>
        <v>7</v>
      </c>
      <c r="AA177" s="2">
        <f t="shared" si="31"/>
        <v>1</v>
      </c>
      <c r="AB177" s="2">
        <f t="shared" si="32"/>
        <v>2024</v>
      </c>
      <c r="AC177" s="2" t="str">
        <f t="shared" si="33"/>
        <v>Valid</v>
      </c>
      <c r="AD177" s="2">
        <f t="shared" si="34"/>
        <v>0</v>
      </c>
      <c r="AE177" s="2">
        <f t="shared" si="35"/>
        <v>0</v>
      </c>
      <c r="AH177" t="str">
        <f t="shared" si="39"/>
        <v>Arjun Bose</v>
      </c>
      <c r="AI177" t="str">
        <f t="shared" si="39"/>
        <v>Small Business</v>
      </c>
      <c r="AJ177" t="str">
        <f t="shared" si="39"/>
        <v>East</v>
      </c>
      <c r="AK177" t="str">
        <f t="shared" si="39"/>
        <v>Bihar</v>
      </c>
      <c r="AL177" t="str">
        <f t="shared" si="39"/>
        <v>Patna</v>
      </c>
      <c r="AM177" t="str">
        <f t="shared" si="39"/>
        <v>Technology</v>
      </c>
      <c r="AN177" t="str">
        <f t="shared" si="38"/>
        <v>Machines</v>
      </c>
      <c r="AO177" t="str">
        <f t="shared" si="36"/>
        <v>Same Day</v>
      </c>
      <c r="AP177" t="str">
        <f t="shared" si="37"/>
        <v>Paid</v>
      </c>
      <c r="AQ177" t="str">
        <f t="shared" si="37"/>
        <v>Returned</v>
      </c>
    </row>
    <row r="178" spans="1:43">
      <c r="A178" t="s">
        <v>783</v>
      </c>
      <c r="B178" s="3" t="s">
        <v>784</v>
      </c>
      <c r="C178" s="3">
        <v>45742</v>
      </c>
      <c r="D178" t="s">
        <v>785</v>
      </c>
      <c r="E178" t="s">
        <v>157</v>
      </c>
      <c r="F178" t="s">
        <v>177</v>
      </c>
      <c r="G178" t="s">
        <v>123</v>
      </c>
      <c r="H178" t="s">
        <v>335</v>
      </c>
      <c r="I178" t="s">
        <v>336</v>
      </c>
      <c r="J178" t="s">
        <v>126</v>
      </c>
      <c r="K178" t="s">
        <v>252</v>
      </c>
      <c r="L178" t="s">
        <v>786</v>
      </c>
      <c r="M178" t="s">
        <v>145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117</v>
      </c>
      <c r="U178" t="s">
        <v>118</v>
      </c>
      <c r="V178" s="2">
        <f t="shared" si="27"/>
        <v>0.15</v>
      </c>
      <c r="W178" s="2">
        <f t="shared" si="28"/>
        <v>24229.011999999999</v>
      </c>
      <c r="X178" s="2">
        <f>W178-R178</f>
        <v>10318.371999999999</v>
      </c>
      <c r="Y178" s="2">
        <f t="shared" si="29"/>
        <v>0.42586845885420338</v>
      </c>
      <c r="Z178" s="2" t="str">
        <f t="shared" si="30"/>
        <v/>
      </c>
      <c r="AA178" s="2" t="e">
        <f t="shared" si="31"/>
        <v>#VALUE!</v>
      </c>
      <c r="AB178" s="2" t="e">
        <f t="shared" si="32"/>
        <v>#VALUE!</v>
      </c>
      <c r="AC178" s="2" t="str">
        <f t="shared" si="33"/>
        <v>Text Value Not Recognized as Date</v>
      </c>
      <c r="AD178" s="2">
        <f t="shared" si="34"/>
        <v>0</v>
      </c>
      <c r="AE178" s="2">
        <f t="shared" si="35"/>
        <v>0</v>
      </c>
      <c r="AH178" t="str">
        <f t="shared" si="39"/>
        <v>Vikram Iyer</v>
      </c>
      <c r="AI178" t="str">
        <f t="shared" si="39"/>
        <v>Corporate</v>
      </c>
      <c r="AJ178" t="str">
        <f t="shared" si="39"/>
        <v>East</v>
      </c>
      <c r="AK178" t="str">
        <f t="shared" si="39"/>
        <v>Jharkhand</v>
      </c>
      <c r="AL178" t="str">
        <f t="shared" si="39"/>
        <v>Ranchi</v>
      </c>
      <c r="AM178" t="str">
        <f t="shared" si="39"/>
        <v>Furniture</v>
      </c>
      <c r="AN178" t="str">
        <f t="shared" si="38"/>
        <v>Bookcases</v>
      </c>
      <c r="AO178" t="str">
        <f t="shared" si="36"/>
        <v>Standard Class</v>
      </c>
      <c r="AP178" t="str">
        <f t="shared" si="37"/>
        <v>Paid</v>
      </c>
      <c r="AQ178" t="str">
        <f t="shared" si="37"/>
        <v>Completed</v>
      </c>
    </row>
    <row r="179" spans="1:43">
      <c r="A179" t="s">
        <v>787</v>
      </c>
      <c r="B179" s="3">
        <v>45297</v>
      </c>
      <c r="C179" s="3">
        <v>45446</v>
      </c>
      <c r="D179" t="s">
        <v>788</v>
      </c>
      <c r="E179" t="s">
        <v>222</v>
      </c>
      <c r="F179" t="s">
        <v>182</v>
      </c>
      <c r="H179" t="s">
        <v>237</v>
      </c>
      <c r="I179" t="s">
        <v>238</v>
      </c>
      <c r="J179" t="s">
        <v>113</v>
      </c>
      <c r="K179" t="s">
        <v>133</v>
      </c>
      <c r="L179" t="s">
        <v>789</v>
      </c>
      <c r="M179" t="s">
        <v>129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117</v>
      </c>
      <c r="U179" t="s">
        <v>118</v>
      </c>
      <c r="V179" s="2">
        <f t="shared" si="27"/>
        <v>0</v>
      </c>
      <c r="W179" s="2">
        <f t="shared" si="28"/>
        <v>31039.599999999999</v>
      </c>
      <c r="X179" s="2">
        <f>W179-R179</f>
        <v>10172.879999999997</v>
      </c>
      <c r="Y179" s="2">
        <f t="shared" si="29"/>
        <v>0.32773875952009685</v>
      </c>
      <c r="Z179" s="2">
        <f t="shared" si="30"/>
        <v>149</v>
      </c>
      <c r="AA179" s="2">
        <f t="shared" si="31"/>
        <v>1</v>
      </c>
      <c r="AB179" s="2">
        <f t="shared" si="32"/>
        <v>2024</v>
      </c>
      <c r="AC179" s="2" t="str">
        <f t="shared" si="33"/>
        <v>Missing region</v>
      </c>
      <c r="AD179" s="2">
        <f t="shared" si="34"/>
        <v>0</v>
      </c>
      <c r="AE179" s="2">
        <f t="shared" si="35"/>
        <v>0</v>
      </c>
      <c r="AH179" t="str">
        <f t="shared" si="39"/>
        <v>Sneha Kapoor</v>
      </c>
      <c r="AI179" t="str">
        <f t="shared" si="39"/>
        <v>Home Office</v>
      </c>
      <c r="AJ179" t="s">
        <v>306</v>
      </c>
      <c r="AK179" t="str">
        <f t="shared" si="39"/>
        <v>Bihar</v>
      </c>
      <c r="AL179" t="str">
        <f t="shared" si="39"/>
        <v>Patna</v>
      </c>
      <c r="AM179" t="str">
        <f t="shared" si="39"/>
        <v>Office Supplies</v>
      </c>
      <c r="AN179" t="str">
        <f t="shared" si="38"/>
        <v>Art</v>
      </c>
      <c r="AO179" t="str">
        <f t="shared" si="36"/>
        <v>Same Day</v>
      </c>
      <c r="AP179" t="str">
        <f t="shared" si="37"/>
        <v>Paid</v>
      </c>
      <c r="AQ179" t="str">
        <f t="shared" si="37"/>
        <v>Completed</v>
      </c>
    </row>
    <row r="180" spans="1:43">
      <c r="A180" t="s">
        <v>790</v>
      </c>
      <c r="B180" s="3" t="s">
        <v>791</v>
      </c>
      <c r="C180" s="3">
        <v>45565</v>
      </c>
      <c r="D180" t="s">
        <v>792</v>
      </c>
      <c r="E180" t="s">
        <v>132</v>
      </c>
      <c r="F180" t="s">
        <v>177</v>
      </c>
      <c r="G180" t="s">
        <v>140</v>
      </c>
      <c r="H180" t="s">
        <v>141</v>
      </c>
      <c r="I180" t="s">
        <v>142</v>
      </c>
      <c r="J180" t="s">
        <v>113</v>
      </c>
      <c r="K180" t="s">
        <v>133</v>
      </c>
      <c r="L180" t="s">
        <v>793</v>
      </c>
      <c r="M180" t="s">
        <v>145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117</v>
      </c>
      <c r="U180" t="s">
        <v>118</v>
      </c>
      <c r="V180" s="2">
        <f t="shared" si="27"/>
        <v>0</v>
      </c>
      <c r="W180" s="2">
        <f t="shared" si="28"/>
        <v>13126.96</v>
      </c>
      <c r="X180" s="2">
        <f>W180-R180</f>
        <v>2394.5199999999986</v>
      </c>
      <c r="Y180" s="2">
        <f t="shared" si="29"/>
        <v>0.18241237879905162</v>
      </c>
      <c r="Z180" s="2" t="str">
        <f t="shared" si="30"/>
        <v/>
      </c>
      <c r="AA180" s="2" t="e">
        <f t="shared" si="31"/>
        <v>#VALUE!</v>
      </c>
      <c r="AB180" s="2" t="e">
        <f t="shared" si="32"/>
        <v>#VALUE!</v>
      </c>
      <c r="AC180" s="2" t="str">
        <f t="shared" si="33"/>
        <v>Text Value Not Recognized as Date</v>
      </c>
      <c r="AD180" s="2">
        <f t="shared" si="34"/>
        <v>0</v>
      </c>
      <c r="AE180" s="2">
        <f t="shared" si="35"/>
        <v>0</v>
      </c>
      <c r="AH180" t="str">
        <f t="shared" si="39"/>
        <v>Isha Nair</v>
      </c>
      <c r="AI180" t="str">
        <f t="shared" si="39"/>
        <v>Corporate</v>
      </c>
      <c r="AJ180" t="str">
        <f t="shared" si="39"/>
        <v>South</v>
      </c>
      <c r="AK180" t="str">
        <f t="shared" si="39"/>
        <v>Telangana</v>
      </c>
      <c r="AL180" t="str">
        <f t="shared" si="39"/>
        <v>Hyderabad</v>
      </c>
      <c r="AM180" t="str">
        <f t="shared" si="39"/>
        <v>Office Supplies</v>
      </c>
      <c r="AN180" t="str">
        <f t="shared" si="38"/>
        <v>Art</v>
      </c>
      <c r="AO180" t="str">
        <f t="shared" si="36"/>
        <v>Standard Class</v>
      </c>
      <c r="AP180" t="str">
        <f t="shared" si="37"/>
        <v>Paid</v>
      </c>
      <c r="AQ180" t="str">
        <f t="shared" si="37"/>
        <v>Completed</v>
      </c>
    </row>
    <row r="181" spans="1:43">
      <c r="A181" t="s">
        <v>794</v>
      </c>
      <c r="B181" s="3">
        <v>45366</v>
      </c>
      <c r="C181" s="3">
        <v>45370</v>
      </c>
      <c r="D181" t="s">
        <v>795</v>
      </c>
      <c r="E181" t="s">
        <v>148</v>
      </c>
      <c r="F181" t="s">
        <v>122</v>
      </c>
      <c r="G181" t="s">
        <v>140</v>
      </c>
      <c r="H181" t="s">
        <v>357</v>
      </c>
      <c r="I181" t="s">
        <v>358</v>
      </c>
      <c r="J181" t="s">
        <v>126</v>
      </c>
      <c r="K181" t="s">
        <v>143</v>
      </c>
      <c r="L181" t="s">
        <v>796</v>
      </c>
      <c r="M181" t="s">
        <v>145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189</v>
      </c>
      <c r="U181" t="s">
        <v>190</v>
      </c>
      <c r="V181" s="2">
        <f t="shared" si="27"/>
        <v>0.25</v>
      </c>
      <c r="W181" s="2">
        <f t="shared" si="28"/>
        <v>9558.9000000000015</v>
      </c>
      <c r="X181" s="2">
        <f>W181-R181</f>
        <v>4042.1400000000012</v>
      </c>
      <c r="Y181" s="2">
        <f t="shared" si="29"/>
        <v>0.42286664783604816</v>
      </c>
      <c r="Z181" s="2">
        <f t="shared" si="30"/>
        <v>4</v>
      </c>
      <c r="AA181" s="2">
        <f t="shared" si="31"/>
        <v>3</v>
      </c>
      <c r="AB181" s="2">
        <f t="shared" si="32"/>
        <v>2024</v>
      </c>
      <c r="AC181" s="2" t="str">
        <f t="shared" si="33"/>
        <v>Valid</v>
      </c>
      <c r="AD181" s="2">
        <f t="shared" si="34"/>
        <v>0</v>
      </c>
      <c r="AE181" s="2">
        <f t="shared" si="35"/>
        <v>0</v>
      </c>
      <c r="AH181" t="str">
        <f t="shared" si="39"/>
        <v>Ananya Rao</v>
      </c>
      <c r="AI181" t="str">
        <f t="shared" si="39"/>
        <v>Small Business</v>
      </c>
      <c r="AJ181" t="str">
        <f t="shared" si="39"/>
        <v>South</v>
      </c>
      <c r="AK181" t="str">
        <f t="shared" si="39"/>
        <v>Tamil Nadu</v>
      </c>
      <c r="AL181" t="str">
        <f t="shared" si="39"/>
        <v>Chennai</v>
      </c>
      <c r="AM181" t="str">
        <f t="shared" si="39"/>
        <v>Furniture</v>
      </c>
      <c r="AN181" t="str">
        <f t="shared" si="38"/>
        <v>Furnishings</v>
      </c>
      <c r="AO181" t="str">
        <f t="shared" si="36"/>
        <v>Standard Class</v>
      </c>
      <c r="AP181" t="str">
        <f t="shared" si="37"/>
        <v>Refunded</v>
      </c>
      <c r="AQ181" t="str">
        <f t="shared" si="37"/>
        <v>Returned</v>
      </c>
    </row>
    <row r="182" spans="1:43">
      <c r="A182" t="s">
        <v>797</v>
      </c>
      <c r="B182" s="3">
        <v>45530</v>
      </c>
      <c r="C182" s="3" t="s">
        <v>798</v>
      </c>
      <c r="D182" t="s">
        <v>799</v>
      </c>
      <c r="E182" t="s">
        <v>121</v>
      </c>
      <c r="F182" t="s">
        <v>182</v>
      </c>
      <c r="G182" t="s">
        <v>110</v>
      </c>
      <c r="H182" t="s">
        <v>227</v>
      </c>
      <c r="I182" t="s">
        <v>228</v>
      </c>
      <c r="J182" t="s">
        <v>753</v>
      </c>
      <c r="K182" t="s">
        <v>246</v>
      </c>
      <c r="L182" t="s">
        <v>800</v>
      </c>
      <c r="M182" t="s">
        <v>135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117</v>
      </c>
      <c r="U182" t="s">
        <v>118</v>
      </c>
      <c r="V182" s="2">
        <f t="shared" si="27"/>
        <v>0.1</v>
      </c>
      <c r="W182" s="2">
        <f t="shared" si="28"/>
        <v>5320.9170000000004</v>
      </c>
      <c r="X182" s="2">
        <f>W182-R182</f>
        <v>2279.4170000000004</v>
      </c>
      <c r="Y182" s="2">
        <f t="shared" si="29"/>
        <v>0.42838800154183954</v>
      </c>
      <c r="Z182" s="2" t="str">
        <f t="shared" si="30"/>
        <v/>
      </c>
      <c r="AA182" s="2">
        <f t="shared" si="31"/>
        <v>8</v>
      </c>
      <c r="AB182" s="2">
        <f t="shared" si="32"/>
        <v>2024</v>
      </c>
      <c r="AC182" s="2" t="str">
        <f t="shared" si="33"/>
        <v>Text Value Not Recognized as Date</v>
      </c>
      <c r="AD182" s="2">
        <f t="shared" si="34"/>
        <v>0</v>
      </c>
      <c r="AE182" s="2">
        <f t="shared" si="35"/>
        <v>0</v>
      </c>
      <c r="AH182" t="str">
        <f t="shared" si="39"/>
        <v>Mira Das</v>
      </c>
      <c r="AI182" t="str">
        <f t="shared" si="39"/>
        <v>Home Office</v>
      </c>
      <c r="AJ182" t="str">
        <f t="shared" si="39"/>
        <v>North</v>
      </c>
      <c r="AK182" t="str">
        <f t="shared" si="39"/>
        <v>Uttar Pradesh</v>
      </c>
      <c r="AL182" t="str">
        <f t="shared" si="39"/>
        <v>Noida</v>
      </c>
      <c r="AM182" t="str">
        <f t="shared" si="39"/>
        <v>Office Supplies</v>
      </c>
      <c r="AN182" t="str">
        <f t="shared" si="38"/>
        <v>Binders</v>
      </c>
      <c r="AO182" t="str">
        <f t="shared" si="36"/>
        <v>First Class</v>
      </c>
      <c r="AP182" t="str">
        <f t="shared" si="37"/>
        <v>Paid</v>
      </c>
      <c r="AQ182" t="str">
        <f t="shared" si="37"/>
        <v>Completed</v>
      </c>
    </row>
    <row r="183" spans="1:43">
      <c r="A183" t="s">
        <v>801</v>
      </c>
      <c r="B183" s="3">
        <v>45909</v>
      </c>
      <c r="C183" s="3">
        <v>45939</v>
      </c>
      <c r="D183" t="s">
        <v>802</v>
      </c>
      <c r="E183" t="s">
        <v>203</v>
      </c>
      <c r="F183" t="s">
        <v>182</v>
      </c>
      <c r="G183" t="s">
        <v>140</v>
      </c>
      <c r="H183" t="s">
        <v>357</v>
      </c>
      <c r="I183" t="s">
        <v>358</v>
      </c>
      <c r="J183" t="s">
        <v>113</v>
      </c>
      <c r="K183" t="s">
        <v>133</v>
      </c>
      <c r="L183" t="s">
        <v>803</v>
      </c>
      <c r="M183" t="s">
        <v>116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117</v>
      </c>
      <c r="U183" t="s">
        <v>118</v>
      </c>
      <c r="V183" s="2">
        <f t="shared" si="27"/>
        <v>0</v>
      </c>
      <c r="W183" s="2">
        <f t="shared" si="28"/>
        <v>10205.799999999999</v>
      </c>
      <c r="X183" s="2">
        <f>W183-R183</f>
        <v>4219.4899999999989</v>
      </c>
      <c r="Y183" s="2">
        <f t="shared" si="29"/>
        <v>0.41344039663720622</v>
      </c>
      <c r="Z183" s="2">
        <f t="shared" si="30"/>
        <v>30</v>
      </c>
      <c r="AA183" s="2">
        <f t="shared" si="31"/>
        <v>9</v>
      </c>
      <c r="AB183" s="2">
        <f t="shared" si="32"/>
        <v>2025</v>
      </c>
      <c r="AC183" s="2" t="str">
        <f t="shared" si="33"/>
        <v>Valid</v>
      </c>
      <c r="AD183" s="2">
        <f t="shared" si="34"/>
        <v>0</v>
      </c>
      <c r="AE183" s="2">
        <f t="shared" si="35"/>
        <v>0</v>
      </c>
      <c r="AH183" t="str">
        <f t="shared" si="39"/>
        <v>Priya Menon</v>
      </c>
      <c r="AI183" t="str">
        <f t="shared" si="39"/>
        <v>Home Office</v>
      </c>
      <c r="AJ183" t="str">
        <f t="shared" si="39"/>
        <v>South</v>
      </c>
      <c r="AK183" t="str">
        <f t="shared" si="39"/>
        <v>Tamil Nadu</v>
      </c>
      <c r="AL183" t="str">
        <f t="shared" si="39"/>
        <v>Chennai</v>
      </c>
      <c r="AM183" t="str">
        <f t="shared" si="39"/>
        <v>Office Supplies</v>
      </c>
      <c r="AN183" t="str">
        <f t="shared" si="38"/>
        <v>Art</v>
      </c>
      <c r="AO183" t="str">
        <f t="shared" si="36"/>
        <v>Second Class</v>
      </c>
      <c r="AP183" t="str">
        <f t="shared" si="37"/>
        <v>Paid</v>
      </c>
      <c r="AQ183" t="str">
        <f t="shared" si="37"/>
        <v>Completed</v>
      </c>
    </row>
    <row r="184" spans="1:43">
      <c r="A184" t="s">
        <v>804</v>
      </c>
      <c r="B184" s="3">
        <v>45581</v>
      </c>
      <c r="C184" s="3">
        <v>45581</v>
      </c>
      <c r="D184" t="s">
        <v>805</v>
      </c>
      <c r="E184" t="s">
        <v>148</v>
      </c>
      <c r="F184" t="s">
        <v>182</v>
      </c>
      <c r="G184" t="s">
        <v>123</v>
      </c>
      <c r="H184" t="s">
        <v>237</v>
      </c>
      <c r="I184" t="s">
        <v>238</v>
      </c>
      <c r="J184" t="s">
        <v>160</v>
      </c>
      <c r="K184" t="s">
        <v>385</v>
      </c>
      <c r="L184" t="s">
        <v>806</v>
      </c>
      <c r="M184" t="s">
        <v>145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117</v>
      </c>
      <c r="U184" t="s">
        <v>118</v>
      </c>
      <c r="V184" s="2">
        <f t="shared" si="27"/>
        <v>0</v>
      </c>
      <c r="W184" s="2">
        <f t="shared" si="28"/>
        <v>5430.3899999999994</v>
      </c>
      <c r="X184" s="2">
        <f>W184-R184</f>
        <v>1722.7299999999996</v>
      </c>
      <c r="Y184" s="2">
        <f t="shared" si="29"/>
        <v>0.31723872502711586</v>
      </c>
      <c r="Z184" s="2">
        <f t="shared" si="30"/>
        <v>0</v>
      </c>
      <c r="AA184" s="2">
        <f t="shared" si="31"/>
        <v>10</v>
      </c>
      <c r="AB184" s="2">
        <f t="shared" si="32"/>
        <v>2024</v>
      </c>
      <c r="AC184" s="2" t="str">
        <f t="shared" si="33"/>
        <v>Valid</v>
      </c>
      <c r="AD184" s="2">
        <f t="shared" si="34"/>
        <v>0</v>
      </c>
      <c r="AE184" s="2">
        <f t="shared" si="35"/>
        <v>0</v>
      </c>
      <c r="AH184" t="str">
        <f t="shared" si="39"/>
        <v>Ananya Rao</v>
      </c>
      <c r="AI184" t="str">
        <f t="shared" si="39"/>
        <v>Home Office</v>
      </c>
      <c r="AJ184" t="str">
        <f t="shared" si="39"/>
        <v>East</v>
      </c>
      <c r="AK184" t="str">
        <f t="shared" si="39"/>
        <v>Bihar</v>
      </c>
      <c r="AL184" t="str">
        <f t="shared" si="39"/>
        <v>Patna</v>
      </c>
      <c r="AM184" t="str">
        <f t="shared" si="39"/>
        <v>Technology</v>
      </c>
      <c r="AN184" t="str">
        <f t="shared" si="38"/>
        <v>Machines</v>
      </c>
      <c r="AO184" t="str">
        <f t="shared" si="36"/>
        <v>Standard Class</v>
      </c>
      <c r="AP184" t="str">
        <f t="shared" si="37"/>
        <v>Paid</v>
      </c>
      <c r="AQ184" t="str">
        <f t="shared" si="37"/>
        <v>Completed</v>
      </c>
    </row>
    <row r="185" spans="1:43">
      <c r="A185" t="s">
        <v>807</v>
      </c>
      <c r="B185" s="3">
        <v>45832</v>
      </c>
      <c r="C185" s="3" t="s">
        <v>808</v>
      </c>
      <c r="D185" t="s">
        <v>809</v>
      </c>
      <c r="E185" t="s">
        <v>157</v>
      </c>
      <c r="F185" t="s">
        <v>182</v>
      </c>
      <c r="G185" t="s">
        <v>140</v>
      </c>
      <c r="H185" t="s">
        <v>141</v>
      </c>
      <c r="I185" t="s">
        <v>142</v>
      </c>
      <c r="J185" t="s">
        <v>160</v>
      </c>
      <c r="K185" t="s">
        <v>166</v>
      </c>
      <c r="L185" t="s">
        <v>810</v>
      </c>
      <c r="M185" t="s">
        <v>145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117</v>
      </c>
      <c r="U185" t="s">
        <v>190</v>
      </c>
      <c r="V185" s="2">
        <f t="shared" si="27"/>
        <v>0.2</v>
      </c>
      <c r="W185" s="2">
        <f t="shared" si="28"/>
        <v>12907.216</v>
      </c>
      <c r="X185" s="2">
        <f>W185-R185</f>
        <v>4579.3260000000009</v>
      </c>
      <c r="Y185" s="2">
        <f t="shared" si="29"/>
        <v>0.3547880503433119</v>
      </c>
      <c r="Z185" s="2" t="str">
        <f t="shared" si="30"/>
        <v/>
      </c>
      <c r="AA185" s="2">
        <f t="shared" si="31"/>
        <v>6</v>
      </c>
      <c r="AB185" s="2">
        <f t="shared" si="32"/>
        <v>2025</v>
      </c>
      <c r="AC185" s="2" t="str">
        <f t="shared" si="33"/>
        <v>Text Value Not Recognized as Date</v>
      </c>
      <c r="AD185" s="2">
        <f t="shared" si="34"/>
        <v>0</v>
      </c>
      <c r="AE185" s="2">
        <f t="shared" si="35"/>
        <v>0</v>
      </c>
      <c r="AH185" t="str">
        <f t="shared" si="39"/>
        <v>Vikram Iyer</v>
      </c>
      <c r="AI185" t="str">
        <f t="shared" si="39"/>
        <v>Home Office</v>
      </c>
      <c r="AJ185" t="str">
        <f t="shared" si="39"/>
        <v>South</v>
      </c>
      <c r="AK185" t="str">
        <f t="shared" si="39"/>
        <v>Telangana</v>
      </c>
      <c r="AL185" t="str">
        <f t="shared" si="39"/>
        <v>Hyderabad</v>
      </c>
      <c r="AM185" t="str">
        <f t="shared" si="39"/>
        <v>Technology</v>
      </c>
      <c r="AN185" t="str">
        <f t="shared" si="38"/>
        <v>Copiers</v>
      </c>
      <c r="AO185" t="str">
        <f t="shared" si="36"/>
        <v>Standard Class</v>
      </c>
      <c r="AP185" t="str">
        <f t="shared" si="37"/>
        <v>Paid</v>
      </c>
      <c r="AQ185" t="str">
        <f t="shared" si="37"/>
        <v>Returned</v>
      </c>
    </row>
    <row r="186" spans="1:43">
      <c r="A186" t="s">
        <v>811</v>
      </c>
      <c r="B186" s="3">
        <v>45384</v>
      </c>
      <c r="C186" s="3">
        <v>45388</v>
      </c>
      <c r="D186" t="s">
        <v>812</v>
      </c>
      <c r="E186" t="s">
        <v>157</v>
      </c>
      <c r="F186" t="s">
        <v>177</v>
      </c>
      <c r="G186" t="s">
        <v>149</v>
      </c>
      <c r="H186" t="s">
        <v>158</v>
      </c>
      <c r="I186" t="s">
        <v>159</v>
      </c>
      <c r="J186" t="s">
        <v>126</v>
      </c>
      <c r="K186" t="s">
        <v>252</v>
      </c>
      <c r="L186" t="s">
        <v>813</v>
      </c>
      <c r="M186" t="s">
        <v>145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189</v>
      </c>
      <c r="U186" t="s">
        <v>190</v>
      </c>
      <c r="V186" s="2">
        <f t="shared" si="27"/>
        <v>0</v>
      </c>
      <c r="W186" s="2">
        <f t="shared" si="28"/>
        <v>1777.96</v>
      </c>
      <c r="X186" s="2">
        <f>W186-R186</f>
        <v>756.80000000000007</v>
      </c>
      <c r="Y186" s="2">
        <f t="shared" si="29"/>
        <v>0.42565637022205227</v>
      </c>
      <c r="Z186" s="2">
        <f t="shared" si="30"/>
        <v>4</v>
      </c>
      <c r="AA186" s="2">
        <f t="shared" si="31"/>
        <v>4</v>
      </c>
      <c r="AB186" s="2">
        <f t="shared" si="32"/>
        <v>2024</v>
      </c>
      <c r="AC186" s="2" t="str">
        <f t="shared" si="33"/>
        <v>Valid</v>
      </c>
      <c r="AD186" s="2">
        <f t="shared" si="34"/>
        <v>0</v>
      </c>
      <c r="AE186" s="2">
        <f t="shared" si="35"/>
        <v>0</v>
      </c>
      <c r="AH186" t="str">
        <f t="shared" si="39"/>
        <v>Vikram Iyer</v>
      </c>
      <c r="AI186" t="str">
        <f t="shared" si="39"/>
        <v>Corporate</v>
      </c>
      <c r="AJ186" t="str">
        <f t="shared" si="39"/>
        <v>West</v>
      </c>
      <c r="AK186" t="str">
        <f t="shared" si="39"/>
        <v>Madhya Pradesh</v>
      </c>
      <c r="AL186" t="str">
        <f t="shared" si="39"/>
        <v>Indore</v>
      </c>
      <c r="AM186" t="str">
        <f t="shared" si="39"/>
        <v>Furniture</v>
      </c>
      <c r="AN186" t="str">
        <f t="shared" si="38"/>
        <v>Bookcases</v>
      </c>
      <c r="AO186" t="str">
        <f t="shared" si="36"/>
        <v>Standard Class</v>
      </c>
      <c r="AP186" t="str">
        <f t="shared" si="37"/>
        <v>Refunded</v>
      </c>
      <c r="AQ186" t="str">
        <f t="shared" si="37"/>
        <v>Returned</v>
      </c>
    </row>
    <row r="187" spans="1:43">
      <c r="A187" t="s">
        <v>814</v>
      </c>
      <c r="B187" s="3">
        <v>45601</v>
      </c>
      <c r="C187" s="3">
        <v>45609</v>
      </c>
      <c r="D187" t="s">
        <v>815</v>
      </c>
      <c r="E187" t="s">
        <v>139</v>
      </c>
      <c r="F187" t="s">
        <v>109</v>
      </c>
      <c r="H187" t="s">
        <v>211</v>
      </c>
      <c r="I187" t="s">
        <v>212</v>
      </c>
      <c r="J187" t="s">
        <v>113</v>
      </c>
      <c r="K187" t="s">
        <v>178</v>
      </c>
      <c r="L187" t="s">
        <v>816</v>
      </c>
      <c r="M187" t="s">
        <v>116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117</v>
      </c>
      <c r="U187" t="s">
        <v>118</v>
      </c>
      <c r="V187" s="2">
        <f t="shared" si="27"/>
        <v>0.2</v>
      </c>
      <c r="W187" s="2">
        <f t="shared" si="28"/>
        <v>1605.0720000000001</v>
      </c>
      <c r="X187" s="2">
        <f>W187-R187</f>
        <v>267.79200000000014</v>
      </c>
      <c r="Y187" s="2">
        <f t="shared" si="29"/>
        <v>0.16684111366966722</v>
      </c>
      <c r="Z187" s="2">
        <f t="shared" si="30"/>
        <v>8</v>
      </c>
      <c r="AA187" s="2">
        <f t="shared" si="31"/>
        <v>11</v>
      </c>
      <c r="AB187" s="2">
        <f t="shared" si="32"/>
        <v>2024</v>
      </c>
      <c r="AC187" s="2" t="str">
        <f t="shared" si="33"/>
        <v>Missing region</v>
      </c>
      <c r="AD187" s="2">
        <f t="shared" si="34"/>
        <v>0</v>
      </c>
      <c r="AE187" s="2">
        <f t="shared" si="35"/>
        <v>0</v>
      </c>
      <c r="AH187" t="str">
        <f t="shared" si="39"/>
        <v>Arjun Bose</v>
      </c>
      <c r="AI187" t="str">
        <f t="shared" si="39"/>
        <v>Consumer</v>
      </c>
      <c r="AJ187" t="s">
        <v>306</v>
      </c>
      <c r="AK187" t="str">
        <f t="shared" si="39"/>
        <v>Punjab</v>
      </c>
      <c r="AL187" t="str">
        <f t="shared" si="39"/>
        <v>Ludhiana</v>
      </c>
      <c r="AM187" t="str">
        <f t="shared" si="39"/>
        <v>Office Supplies</v>
      </c>
      <c r="AN187" t="str">
        <f t="shared" si="38"/>
        <v>Labels</v>
      </c>
      <c r="AO187" t="str">
        <f t="shared" si="36"/>
        <v>Second Class</v>
      </c>
      <c r="AP187" t="str">
        <f t="shared" si="37"/>
        <v>Paid</v>
      </c>
      <c r="AQ187" t="str">
        <f t="shared" si="37"/>
        <v>Completed</v>
      </c>
    </row>
    <row r="188" spans="1:43">
      <c r="A188" t="s">
        <v>817</v>
      </c>
      <c r="B188" s="3" t="s">
        <v>352</v>
      </c>
      <c r="C188" s="3">
        <v>45493</v>
      </c>
      <c r="D188" t="s">
        <v>374</v>
      </c>
      <c r="E188" t="s">
        <v>157</v>
      </c>
      <c r="F188" t="s">
        <v>109</v>
      </c>
      <c r="G188" t="s">
        <v>140</v>
      </c>
      <c r="H188" t="s">
        <v>357</v>
      </c>
      <c r="I188" t="s">
        <v>358</v>
      </c>
      <c r="J188" t="s">
        <v>126</v>
      </c>
      <c r="K188" t="s">
        <v>127</v>
      </c>
      <c r="L188" t="s">
        <v>818</v>
      </c>
      <c r="M188" t="s">
        <v>135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117</v>
      </c>
      <c r="U188" t="s">
        <v>118</v>
      </c>
      <c r="V188" s="2">
        <f t="shared" si="27"/>
        <v>0.05</v>
      </c>
      <c r="W188" s="2">
        <f t="shared" si="28"/>
        <v>23996.059499999996</v>
      </c>
      <c r="X188" s="2">
        <f>W188-R188</f>
        <v>3828.7794999999969</v>
      </c>
      <c r="Y188" s="2">
        <f t="shared" si="29"/>
        <v>0.15955867670689838</v>
      </c>
      <c r="Z188" s="2" t="str">
        <f t="shared" si="30"/>
        <v/>
      </c>
      <c r="AA188" s="2" t="e">
        <f t="shared" si="31"/>
        <v>#VALUE!</v>
      </c>
      <c r="AB188" s="2" t="e">
        <f t="shared" si="32"/>
        <v>#VALUE!</v>
      </c>
      <c r="AC188" s="2" t="str">
        <f t="shared" si="33"/>
        <v>Text Value Not Recognized as Date</v>
      </c>
      <c r="AD188" s="2">
        <f t="shared" si="34"/>
        <v>0</v>
      </c>
      <c r="AE188" s="2">
        <f t="shared" si="35"/>
        <v>0</v>
      </c>
      <c r="AH188" t="str">
        <f t="shared" si="39"/>
        <v>Vikram Iyer</v>
      </c>
      <c r="AI188" t="str">
        <f t="shared" si="39"/>
        <v>Consumer</v>
      </c>
      <c r="AJ188" t="str">
        <f t="shared" si="39"/>
        <v>South</v>
      </c>
      <c r="AK188" t="str">
        <f t="shared" si="39"/>
        <v>Tamil Nadu</v>
      </c>
      <c r="AL188" t="str">
        <f t="shared" si="39"/>
        <v>Chennai</v>
      </c>
      <c r="AM188" t="str">
        <f t="shared" si="39"/>
        <v>Furniture</v>
      </c>
      <c r="AN188" t="str">
        <f t="shared" si="38"/>
        <v>Tables</v>
      </c>
      <c r="AO188" t="str">
        <f t="shared" si="36"/>
        <v>First Class</v>
      </c>
      <c r="AP188" t="str">
        <f t="shared" si="37"/>
        <v>Paid</v>
      </c>
      <c r="AQ188" t="str">
        <f t="shared" si="37"/>
        <v>Completed</v>
      </c>
    </row>
    <row r="189" spans="1:43">
      <c r="A189" t="s">
        <v>819</v>
      </c>
      <c r="B189" s="3">
        <v>45778</v>
      </c>
      <c r="C189" s="3">
        <v>45779</v>
      </c>
      <c r="D189" t="s">
        <v>820</v>
      </c>
      <c r="E189" t="s">
        <v>121</v>
      </c>
      <c r="F189" t="s">
        <v>109</v>
      </c>
      <c r="G189" t="s">
        <v>149</v>
      </c>
      <c r="H189" t="s">
        <v>158</v>
      </c>
      <c r="I189" t="s">
        <v>159</v>
      </c>
      <c r="J189" t="s">
        <v>126</v>
      </c>
      <c r="K189" t="s">
        <v>152</v>
      </c>
      <c r="L189" t="s">
        <v>821</v>
      </c>
      <c r="M189" t="s">
        <v>129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117</v>
      </c>
      <c r="U189" t="s">
        <v>190</v>
      </c>
      <c r="V189" s="2">
        <f t="shared" si="27"/>
        <v>0</v>
      </c>
      <c r="W189" s="2">
        <f t="shared" si="28"/>
        <v>8717.2199999999993</v>
      </c>
      <c r="X189" s="2">
        <f>W189-R189</f>
        <v>2501.2599999999993</v>
      </c>
      <c r="Y189" s="2">
        <f t="shared" si="29"/>
        <v>0.28693321953558582</v>
      </c>
      <c r="Z189" s="2">
        <f t="shared" si="30"/>
        <v>1</v>
      </c>
      <c r="AA189" s="2">
        <f t="shared" si="31"/>
        <v>5</v>
      </c>
      <c r="AB189" s="2">
        <f t="shared" si="32"/>
        <v>2025</v>
      </c>
      <c r="AC189" s="2" t="str">
        <f t="shared" si="33"/>
        <v>Valid</v>
      </c>
      <c r="AD189" s="2">
        <f t="shared" si="34"/>
        <v>0</v>
      </c>
      <c r="AE189" s="2">
        <f t="shared" si="35"/>
        <v>0</v>
      </c>
      <c r="AH189" t="str">
        <f t="shared" si="39"/>
        <v>Mira Das</v>
      </c>
      <c r="AI189" t="str">
        <f t="shared" si="39"/>
        <v>Consumer</v>
      </c>
      <c r="AJ189" t="str">
        <f t="shared" si="39"/>
        <v>West</v>
      </c>
      <c r="AK189" t="str">
        <f t="shared" si="39"/>
        <v>Madhya Pradesh</v>
      </c>
      <c r="AL189" t="str">
        <f t="shared" si="39"/>
        <v>Indore</v>
      </c>
      <c r="AM189" t="str">
        <f t="shared" si="39"/>
        <v>Furniture</v>
      </c>
      <c r="AN189" t="str">
        <f t="shared" si="38"/>
        <v>Chairs</v>
      </c>
      <c r="AO189" t="str">
        <f t="shared" si="36"/>
        <v>Same Day</v>
      </c>
      <c r="AP189" t="str">
        <f t="shared" si="37"/>
        <v>Paid</v>
      </c>
      <c r="AQ189" t="str">
        <f t="shared" si="37"/>
        <v>Returned</v>
      </c>
    </row>
    <row r="190" spans="1:43">
      <c r="A190" t="s">
        <v>822</v>
      </c>
      <c r="B190" s="3">
        <v>45798</v>
      </c>
      <c r="C190" s="3">
        <v>45805</v>
      </c>
      <c r="D190" t="s">
        <v>823</v>
      </c>
      <c r="E190" t="s">
        <v>203</v>
      </c>
      <c r="F190" t="s">
        <v>177</v>
      </c>
      <c r="G190" t="s">
        <v>123</v>
      </c>
      <c r="H190" t="s">
        <v>186</v>
      </c>
      <c r="I190" t="s">
        <v>187</v>
      </c>
      <c r="J190" t="s">
        <v>126</v>
      </c>
      <c r="K190" t="s">
        <v>252</v>
      </c>
      <c r="L190" t="s">
        <v>824</v>
      </c>
      <c r="M190" t="s">
        <v>129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117</v>
      </c>
      <c r="U190" t="s">
        <v>118</v>
      </c>
      <c r="V190" s="2">
        <f t="shared" si="27"/>
        <v>0.1</v>
      </c>
      <c r="W190" s="2">
        <f t="shared" si="28"/>
        <v>6407.2260000000006</v>
      </c>
      <c r="X190" s="2">
        <f>W190-R190</f>
        <v>1484.1360000000004</v>
      </c>
      <c r="Y190" s="2">
        <f t="shared" si="29"/>
        <v>0.23163471992403581</v>
      </c>
      <c r="Z190" s="2">
        <f t="shared" si="30"/>
        <v>7</v>
      </c>
      <c r="AA190" s="2">
        <f t="shared" si="31"/>
        <v>5</v>
      </c>
      <c r="AB190" s="2">
        <f t="shared" si="32"/>
        <v>2025</v>
      </c>
      <c r="AC190" s="2" t="str">
        <f t="shared" si="33"/>
        <v>Valid</v>
      </c>
      <c r="AD190" s="2">
        <f t="shared" si="34"/>
        <v>1</v>
      </c>
      <c r="AE190" s="2">
        <f t="shared" si="35"/>
        <v>0</v>
      </c>
      <c r="AH190" t="str">
        <f t="shared" si="39"/>
        <v>Priya Menon</v>
      </c>
      <c r="AI190" t="str">
        <f t="shared" si="39"/>
        <v>Corporate</v>
      </c>
      <c r="AJ190" t="str">
        <f t="shared" si="39"/>
        <v>East</v>
      </c>
      <c r="AK190" t="str">
        <f t="shared" si="39"/>
        <v>West Bengal</v>
      </c>
      <c r="AL190" t="str">
        <f t="shared" si="39"/>
        <v>Kolkata</v>
      </c>
      <c r="AM190" t="str">
        <f t="shared" si="39"/>
        <v>Furniture</v>
      </c>
      <c r="AN190" t="str">
        <f t="shared" si="38"/>
        <v>Bookcases</v>
      </c>
      <c r="AO190" t="str">
        <f t="shared" si="36"/>
        <v>Same Day</v>
      </c>
      <c r="AP190" t="str">
        <f t="shared" si="37"/>
        <v>Paid</v>
      </c>
      <c r="AQ190" t="str">
        <f t="shared" si="37"/>
        <v>Completed</v>
      </c>
    </row>
    <row r="191" spans="1:43">
      <c r="A191" t="s">
        <v>825</v>
      </c>
      <c r="B191" s="3">
        <v>45783</v>
      </c>
      <c r="C191" s="3">
        <v>45784</v>
      </c>
      <c r="D191" t="s">
        <v>826</v>
      </c>
      <c r="E191" t="s">
        <v>139</v>
      </c>
      <c r="F191" t="s">
        <v>109</v>
      </c>
      <c r="G191" t="s">
        <v>149</v>
      </c>
      <c r="H191" t="s">
        <v>111</v>
      </c>
      <c r="I191" t="s">
        <v>197</v>
      </c>
      <c r="J191" t="s">
        <v>126</v>
      </c>
      <c r="K191" t="s">
        <v>252</v>
      </c>
      <c r="L191" t="s">
        <v>827</v>
      </c>
      <c r="M191" t="s">
        <v>135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117</v>
      </c>
      <c r="U191" t="s">
        <v>828</v>
      </c>
      <c r="V191" s="2">
        <f t="shared" si="27"/>
        <v>0</v>
      </c>
      <c r="W191" s="2">
        <f t="shared" si="28"/>
        <v>29864.159999999996</v>
      </c>
      <c r="X191" s="2">
        <f>W191-R191</f>
        <v>12991.769999999997</v>
      </c>
      <c r="Y191" s="2">
        <f t="shared" si="29"/>
        <v>0.43502881045373448</v>
      </c>
      <c r="Z191" s="2">
        <f t="shared" si="30"/>
        <v>1</v>
      </c>
      <c r="AA191" s="2">
        <f t="shared" si="31"/>
        <v>5</v>
      </c>
      <c r="AB191" s="2">
        <f t="shared" si="32"/>
        <v>2025</v>
      </c>
      <c r="AC191" s="2" t="str">
        <f t="shared" si="33"/>
        <v>Valid</v>
      </c>
      <c r="AD191" s="2">
        <f t="shared" si="34"/>
        <v>1</v>
      </c>
      <c r="AE191" s="2">
        <f t="shared" si="35"/>
        <v>1</v>
      </c>
      <c r="AH191" t="str">
        <f t="shared" si="39"/>
        <v>Arjun Bose</v>
      </c>
      <c r="AI191" t="str">
        <f t="shared" si="39"/>
        <v>Consumer</v>
      </c>
      <c r="AJ191" t="str">
        <f t="shared" si="39"/>
        <v>West</v>
      </c>
      <c r="AK191" t="str">
        <f t="shared" si="39"/>
        <v>Rajasthan</v>
      </c>
      <c r="AL191" t="str">
        <f t="shared" si="39"/>
        <v>Udaipur</v>
      </c>
      <c r="AM191" t="str">
        <f t="shared" si="39"/>
        <v>Furniture</v>
      </c>
      <c r="AN191" t="str">
        <f t="shared" si="38"/>
        <v>Bookcases</v>
      </c>
      <c r="AO191" t="str">
        <f t="shared" si="36"/>
        <v>First Class</v>
      </c>
      <c r="AP191" t="str">
        <f t="shared" si="37"/>
        <v>Paid</v>
      </c>
      <c r="AQ191" t="str">
        <f t="shared" si="37"/>
        <v>Completed</v>
      </c>
    </row>
    <row r="192" spans="1:43">
      <c r="A192" t="s">
        <v>829</v>
      </c>
      <c r="B192" s="3" t="s">
        <v>830</v>
      </c>
      <c r="C192" s="3">
        <v>45768</v>
      </c>
      <c r="D192" t="s">
        <v>831</v>
      </c>
      <c r="E192" t="s">
        <v>176</v>
      </c>
      <c r="F192" t="s">
        <v>109</v>
      </c>
      <c r="G192" t="s">
        <v>140</v>
      </c>
      <c r="H192" t="s">
        <v>357</v>
      </c>
      <c r="I192" t="s">
        <v>358</v>
      </c>
      <c r="J192" t="s">
        <v>113</v>
      </c>
      <c r="K192" t="s">
        <v>213</v>
      </c>
      <c r="L192" t="s">
        <v>832</v>
      </c>
      <c r="M192" t="s">
        <v>135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117</v>
      </c>
      <c r="U192" t="s">
        <v>118</v>
      </c>
      <c r="V192" s="2">
        <f t="shared" si="27"/>
        <v>0.1</v>
      </c>
      <c r="W192" s="2">
        <f t="shared" si="28"/>
        <v>1458.2429999999999</v>
      </c>
      <c r="X192" s="2">
        <f>W192-R192</f>
        <v>514.92299999999989</v>
      </c>
      <c r="Y192" s="2">
        <f t="shared" si="29"/>
        <v>0.35311192990468659</v>
      </c>
      <c r="Z192" s="2" t="str">
        <f t="shared" si="30"/>
        <v/>
      </c>
      <c r="AA192" s="2" t="e">
        <f t="shared" si="31"/>
        <v>#VALUE!</v>
      </c>
      <c r="AB192" s="2" t="e">
        <f t="shared" si="32"/>
        <v>#VALUE!</v>
      </c>
      <c r="AC192" s="2" t="str">
        <f t="shared" si="33"/>
        <v>Text Value Not Recognized as Date</v>
      </c>
      <c r="AD192" s="2">
        <f t="shared" si="34"/>
        <v>0</v>
      </c>
      <c r="AE192" s="2">
        <f t="shared" si="35"/>
        <v>0</v>
      </c>
      <c r="AH192" t="str">
        <f t="shared" si="39"/>
        <v>Aditi Sen</v>
      </c>
      <c r="AI192" t="str">
        <f t="shared" si="39"/>
        <v>Consumer</v>
      </c>
      <c r="AJ192" t="str">
        <f t="shared" si="39"/>
        <v>South</v>
      </c>
      <c r="AK192" t="str">
        <f t="shared" si="39"/>
        <v>Tamil Nadu</v>
      </c>
      <c r="AL192" t="str">
        <f t="shared" si="39"/>
        <v>Chennai</v>
      </c>
      <c r="AM192" t="str">
        <f t="shared" si="39"/>
        <v>Office Supplies</v>
      </c>
      <c r="AN192" t="str">
        <f t="shared" si="38"/>
        <v>Storage</v>
      </c>
      <c r="AO192" t="str">
        <f t="shared" si="36"/>
        <v>First Class</v>
      </c>
      <c r="AP192" t="str">
        <f t="shared" si="37"/>
        <v>Paid</v>
      </c>
      <c r="AQ192" t="str">
        <f t="shared" si="37"/>
        <v>Completed</v>
      </c>
    </row>
    <row r="193" spans="1:43">
      <c r="A193" t="s">
        <v>833</v>
      </c>
      <c r="B193" s="3" t="s">
        <v>834</v>
      </c>
      <c r="C193" s="3">
        <v>45589</v>
      </c>
      <c r="D193" t="s">
        <v>835</v>
      </c>
      <c r="E193" t="s">
        <v>222</v>
      </c>
      <c r="F193" t="s">
        <v>122</v>
      </c>
      <c r="G193" t="s">
        <v>140</v>
      </c>
      <c r="H193" t="s">
        <v>357</v>
      </c>
      <c r="I193" t="s">
        <v>358</v>
      </c>
      <c r="J193" t="s">
        <v>126</v>
      </c>
      <c r="K193" t="s">
        <v>252</v>
      </c>
      <c r="L193" t="s">
        <v>836</v>
      </c>
      <c r="M193" t="s">
        <v>116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117</v>
      </c>
      <c r="U193" t="s">
        <v>118</v>
      </c>
      <c r="V193" s="2">
        <f t="shared" si="27"/>
        <v>0.65</v>
      </c>
      <c r="W193" s="2">
        <f t="shared" si="28"/>
        <v>9047.64</v>
      </c>
      <c r="X193" s="2">
        <f>W193-R193</f>
        <v>-10350.040000000001</v>
      </c>
      <c r="Y193" s="2">
        <f t="shared" si="29"/>
        <v>-1.1439491403283069</v>
      </c>
      <c r="Z193" s="2" t="str">
        <f t="shared" si="30"/>
        <v/>
      </c>
      <c r="AA193" s="2" t="e">
        <f t="shared" si="31"/>
        <v>#VALUE!</v>
      </c>
      <c r="AB193" s="2" t="e">
        <f t="shared" si="32"/>
        <v>#VALUE!</v>
      </c>
      <c r="AC193" s="2" t="str">
        <f t="shared" si="33"/>
        <v>Text Value Not Recognized as Date</v>
      </c>
      <c r="AD193" s="2">
        <f t="shared" si="34"/>
        <v>1</v>
      </c>
      <c r="AE193" s="2">
        <f t="shared" si="35"/>
        <v>1</v>
      </c>
      <c r="AH193" t="str">
        <f t="shared" si="39"/>
        <v>Sneha Kapoor</v>
      </c>
      <c r="AI193" t="str">
        <f t="shared" si="39"/>
        <v>Small Business</v>
      </c>
      <c r="AJ193" t="str">
        <f t="shared" si="39"/>
        <v>South</v>
      </c>
      <c r="AK193" t="str">
        <f t="shared" si="39"/>
        <v>Tamil Nadu</v>
      </c>
      <c r="AL193" t="str">
        <f t="shared" si="39"/>
        <v>Chennai</v>
      </c>
      <c r="AM193" t="str">
        <f t="shared" si="39"/>
        <v>Furniture</v>
      </c>
      <c r="AN193" t="str">
        <f t="shared" si="38"/>
        <v>Bookcases</v>
      </c>
      <c r="AO193" t="str">
        <f t="shared" si="36"/>
        <v>Second Class</v>
      </c>
      <c r="AP193" t="str">
        <f t="shared" si="37"/>
        <v>Paid</v>
      </c>
      <c r="AQ193" t="str">
        <f t="shared" si="37"/>
        <v>Completed</v>
      </c>
    </row>
    <row r="194" spans="1:43">
      <c r="A194" t="s">
        <v>837</v>
      </c>
      <c r="B194" s="3">
        <v>45635</v>
      </c>
      <c r="C194" s="3">
        <v>45642</v>
      </c>
      <c r="D194" t="s">
        <v>838</v>
      </c>
      <c r="E194" t="s">
        <v>132</v>
      </c>
      <c r="F194" t="s">
        <v>182</v>
      </c>
      <c r="G194" t="s">
        <v>149</v>
      </c>
      <c r="H194" t="s">
        <v>276</v>
      </c>
      <c r="I194" t="s">
        <v>277</v>
      </c>
      <c r="J194" t="s">
        <v>126</v>
      </c>
      <c r="K194" t="s">
        <v>152</v>
      </c>
      <c r="L194" t="s">
        <v>839</v>
      </c>
      <c r="M194" t="s">
        <v>135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117</v>
      </c>
      <c r="U194" t="s">
        <v>118</v>
      </c>
      <c r="V194" s="2">
        <f t="shared" si="27"/>
        <v>0</v>
      </c>
      <c r="W194" s="2">
        <f t="shared" si="28"/>
        <v>8764.1200000000008</v>
      </c>
      <c r="X194" s="2">
        <f>W194-R194</f>
        <v>1544.0700000000006</v>
      </c>
      <c r="Y194" s="2">
        <f t="shared" si="29"/>
        <v>0.17618083732308554</v>
      </c>
      <c r="Z194" s="2">
        <f t="shared" si="30"/>
        <v>7</v>
      </c>
      <c r="AA194" s="2">
        <f t="shared" si="31"/>
        <v>12</v>
      </c>
      <c r="AB194" s="2">
        <f t="shared" si="32"/>
        <v>2024</v>
      </c>
      <c r="AC194" s="2" t="str">
        <f t="shared" si="33"/>
        <v>Valid</v>
      </c>
      <c r="AD194" s="2">
        <f t="shared" si="34"/>
        <v>0</v>
      </c>
      <c r="AE194" s="2">
        <f t="shared" si="35"/>
        <v>0</v>
      </c>
      <c r="AH194" t="str">
        <f t="shared" si="39"/>
        <v>Isha Nair</v>
      </c>
      <c r="AI194" t="str">
        <f t="shared" si="39"/>
        <v>Home Office</v>
      </c>
      <c r="AJ194" t="str">
        <f t="shared" si="39"/>
        <v>West</v>
      </c>
      <c r="AK194" t="str">
        <f t="shared" si="39"/>
        <v>Gujarat</v>
      </c>
      <c r="AL194" t="str">
        <f t="shared" si="39"/>
        <v>Ahmedabad</v>
      </c>
      <c r="AM194" t="str">
        <f t="shared" si="39"/>
        <v>Furniture</v>
      </c>
      <c r="AN194" t="str">
        <f t="shared" si="38"/>
        <v>Chairs</v>
      </c>
      <c r="AO194" t="str">
        <f t="shared" si="36"/>
        <v>First Class</v>
      </c>
      <c r="AP194" t="str">
        <f t="shared" si="37"/>
        <v>Paid</v>
      </c>
      <c r="AQ194" t="str">
        <f t="shared" si="37"/>
        <v>Completed</v>
      </c>
    </row>
    <row r="195" spans="1:43">
      <c r="A195" t="s">
        <v>840</v>
      </c>
      <c r="B195" s="3">
        <v>45466</v>
      </c>
      <c r="C195" s="3" t="s">
        <v>841</v>
      </c>
      <c r="D195" t="s">
        <v>842</v>
      </c>
      <c r="E195" t="s">
        <v>203</v>
      </c>
      <c r="F195" t="s">
        <v>122</v>
      </c>
      <c r="G195" t="s">
        <v>110</v>
      </c>
      <c r="H195" t="s">
        <v>211</v>
      </c>
      <c r="I195" t="s">
        <v>212</v>
      </c>
      <c r="J195" t="s">
        <v>160</v>
      </c>
      <c r="K195" t="s">
        <v>166</v>
      </c>
      <c r="L195" t="s">
        <v>843</v>
      </c>
      <c r="M195" t="s">
        <v>129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189</v>
      </c>
      <c r="U195" t="s">
        <v>190</v>
      </c>
      <c r="V195" s="2">
        <f t="shared" ref="V195:V258" si="40">IF(ISBLANK(P195), 0, P195)</f>
        <v>0.2</v>
      </c>
      <c r="W195" s="2">
        <f t="shared" ref="W195:W258" si="41">N195 * O195 * (1 - P195)</f>
        <v>9391.8240000000005</v>
      </c>
      <c r="X195" s="2">
        <f>W195-R195</f>
        <v>3378.6040000000003</v>
      </c>
      <c r="Y195" s="2">
        <f t="shared" ref="Y195:Y258" si="42">IFERROR(X195 / W195, 0)</f>
        <v>0.35973885370935399</v>
      </c>
      <c r="Z195" s="2" t="str">
        <f t="shared" ref="Z195:Z258" si="43">IF(OR(ISBLANK(B195), ISBLANK(C195), ISTEXT(B195), ISTEXT(C195)), "", C195 - B195)</f>
        <v/>
      </c>
      <c r="AA195" s="2">
        <f t="shared" ref="AA195:AA258" si="44">MONTH(B195)</f>
        <v>6</v>
      </c>
      <c r="AB195" s="2">
        <f t="shared" ref="AB195:AB258" si="45">YEAR(B195)</f>
        <v>2024</v>
      </c>
      <c r="AC195" s="2" t="str">
        <f t="shared" ref="AC195:AC258" si="46">IF(COUNTIF(A:A, A195) &gt; 1, "Conflicting Duplicate Order ID",
 IF(OR(G195="Unknown", ISBLANK(G195)), "Missing region",
 IF(OR(M195="Unknown", ISBLANK(M195)), "Missing ship_mode",
 IF(OR(ISBLANK(B195), ISBLANK(C195)), "Missing Date",
 IF(OR(ISTEXT(B195), ISTEXT(C195)), "Text Value Not Recognized as Date",
 IF(C195 &lt; B195, "Invalid shipping record",
 IF(P195 &lt; 0, "Invalid",
 IF(P195 &gt; 0.7, "Invalid",
 "Valid"))))))))</f>
        <v>Text Value Not Recognized as Date</v>
      </c>
      <c r="AD195" s="2">
        <f t="shared" ref="AD195:AD258" si="47">IF(ABS(Q195 - W195) &gt; 0.01, 1, 0)</f>
        <v>0</v>
      </c>
      <c r="AE195" s="2">
        <f t="shared" ref="AE195:AE258" si="48">IF(ABS(S195 - X195) &gt; 0.01, 1, 0)</f>
        <v>0</v>
      </c>
      <c r="AH195" t="str">
        <f t="shared" si="39"/>
        <v>Priya Menon</v>
      </c>
      <c r="AI195" t="str">
        <f t="shared" si="39"/>
        <v>Small Business</v>
      </c>
      <c r="AJ195" t="str">
        <f t="shared" si="39"/>
        <v>North</v>
      </c>
      <c r="AK195" t="str">
        <f t="shared" si="39"/>
        <v>Punjab</v>
      </c>
      <c r="AL195" t="str">
        <f t="shared" si="39"/>
        <v>Ludhiana</v>
      </c>
      <c r="AM195" t="str">
        <f t="shared" si="39"/>
        <v>Technology</v>
      </c>
      <c r="AN195" t="str">
        <f t="shared" si="38"/>
        <v>Copiers</v>
      </c>
      <c r="AO195" t="str">
        <f t="shared" ref="AO195:AO258" si="49">PROPER(TRIM(M195))</f>
        <v>Same Day</v>
      </c>
      <c r="AP195" t="str">
        <f t="shared" ref="AP195:AQ258" si="50">PROPER(TRIM(T195))</f>
        <v>Refunded</v>
      </c>
      <c r="AQ195" t="str">
        <f t="shared" si="50"/>
        <v>Returned</v>
      </c>
    </row>
    <row r="196" spans="1:43">
      <c r="A196" t="s">
        <v>844</v>
      </c>
      <c r="B196" s="3">
        <v>45685</v>
      </c>
      <c r="C196" s="3">
        <v>45688</v>
      </c>
      <c r="D196" t="s">
        <v>845</v>
      </c>
      <c r="E196" t="s">
        <v>203</v>
      </c>
      <c r="F196" t="s">
        <v>109</v>
      </c>
      <c r="G196" t="s">
        <v>846</v>
      </c>
      <c r="H196" t="s">
        <v>150</v>
      </c>
      <c r="I196" t="s">
        <v>151</v>
      </c>
      <c r="J196" t="s">
        <v>126</v>
      </c>
      <c r="K196" t="s">
        <v>143</v>
      </c>
      <c r="L196" t="s">
        <v>847</v>
      </c>
      <c r="M196" t="s">
        <v>135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199</v>
      </c>
      <c r="U196" t="s">
        <v>190</v>
      </c>
      <c r="V196" s="2">
        <f t="shared" si="40"/>
        <v>0.05</v>
      </c>
      <c r="W196" s="2">
        <f t="shared" si="41"/>
        <v>7339.2344999999996</v>
      </c>
      <c r="X196" s="2">
        <f>W196-R196</f>
        <v>1905.1144999999997</v>
      </c>
      <c r="Y196" s="2">
        <f t="shared" si="42"/>
        <v>0.25957945614082772</v>
      </c>
      <c r="Z196" s="2">
        <f t="shared" si="43"/>
        <v>3</v>
      </c>
      <c r="AA196" s="2">
        <f t="shared" si="44"/>
        <v>1</v>
      </c>
      <c r="AB196" s="2">
        <f t="shared" si="45"/>
        <v>2025</v>
      </c>
      <c r="AC196" s="2" t="str">
        <f t="shared" si="46"/>
        <v>Valid</v>
      </c>
      <c r="AD196" s="2">
        <f t="shared" si="47"/>
        <v>0</v>
      </c>
      <c r="AE196" s="2">
        <f t="shared" si="48"/>
        <v>0</v>
      </c>
      <c r="AH196" t="str">
        <f t="shared" si="39"/>
        <v>Priya Menon</v>
      </c>
      <c r="AI196" t="str">
        <f t="shared" si="39"/>
        <v>Consumer</v>
      </c>
      <c r="AJ196" t="str">
        <f t="shared" si="39"/>
        <v>West</v>
      </c>
      <c r="AK196" t="str">
        <f t="shared" si="39"/>
        <v>Maharashtra</v>
      </c>
      <c r="AL196" t="str">
        <f t="shared" si="39"/>
        <v>Mumbai</v>
      </c>
      <c r="AM196" t="str">
        <f t="shared" si="39"/>
        <v>Furniture</v>
      </c>
      <c r="AN196" t="str">
        <f t="shared" si="38"/>
        <v>Furnishings</v>
      </c>
      <c r="AO196" t="str">
        <f t="shared" si="49"/>
        <v>First Class</v>
      </c>
      <c r="AP196" t="str">
        <f t="shared" si="50"/>
        <v>Pending</v>
      </c>
      <c r="AQ196" t="str">
        <f t="shared" si="50"/>
        <v>Returned</v>
      </c>
    </row>
    <row r="197" spans="1:43">
      <c r="A197" t="s">
        <v>848</v>
      </c>
      <c r="B197" s="3">
        <v>45860</v>
      </c>
      <c r="C197" s="3">
        <v>45862</v>
      </c>
      <c r="D197" t="s">
        <v>849</v>
      </c>
      <c r="E197" t="s">
        <v>165</v>
      </c>
      <c r="F197" t="s">
        <v>182</v>
      </c>
      <c r="G197" t="s">
        <v>140</v>
      </c>
      <c r="H197" t="s">
        <v>171</v>
      </c>
      <c r="I197" t="s">
        <v>172</v>
      </c>
      <c r="J197" t="s">
        <v>126</v>
      </c>
      <c r="K197" t="s">
        <v>143</v>
      </c>
      <c r="L197" t="s">
        <v>850</v>
      </c>
      <c r="M197" t="s">
        <v>129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117</v>
      </c>
      <c r="U197" t="s">
        <v>118</v>
      </c>
      <c r="V197" s="2">
        <f t="shared" si="40"/>
        <v>0</v>
      </c>
      <c r="W197" s="2">
        <f t="shared" si="41"/>
        <v>9614.15</v>
      </c>
      <c r="X197" s="2">
        <f>W197-R197</f>
        <v>2037.3099999999995</v>
      </c>
      <c r="Y197" s="2">
        <f t="shared" si="42"/>
        <v>0.21190744891644084</v>
      </c>
      <c r="Z197" s="2">
        <f t="shared" si="43"/>
        <v>2</v>
      </c>
      <c r="AA197" s="2">
        <f t="shared" si="44"/>
        <v>7</v>
      </c>
      <c r="AB197" s="2">
        <f t="shared" si="45"/>
        <v>2025</v>
      </c>
      <c r="AC197" s="2" t="str">
        <f t="shared" si="46"/>
        <v>Valid</v>
      </c>
      <c r="AD197" s="2">
        <f t="shared" si="47"/>
        <v>0</v>
      </c>
      <c r="AE197" s="2">
        <f t="shared" si="48"/>
        <v>0</v>
      </c>
      <c r="AH197" t="str">
        <f t="shared" si="39"/>
        <v>Neha Gupta</v>
      </c>
      <c r="AI197" t="str">
        <f t="shared" si="39"/>
        <v>Home Office</v>
      </c>
      <c r="AJ197" t="str">
        <f t="shared" si="39"/>
        <v>South</v>
      </c>
      <c r="AK197" t="str">
        <f t="shared" si="39"/>
        <v>Andhra Pradesh</v>
      </c>
      <c r="AL197" t="str">
        <f t="shared" si="39"/>
        <v>Vijayawada</v>
      </c>
      <c r="AM197" t="str">
        <f t="shared" si="39"/>
        <v>Furniture</v>
      </c>
      <c r="AN197" t="str">
        <f t="shared" si="38"/>
        <v>Furnishings</v>
      </c>
      <c r="AO197" t="str">
        <f t="shared" si="49"/>
        <v>Same Day</v>
      </c>
      <c r="AP197" t="str">
        <f t="shared" si="50"/>
        <v>Paid</v>
      </c>
      <c r="AQ197" t="str">
        <f t="shared" si="50"/>
        <v>Completed</v>
      </c>
    </row>
    <row r="198" spans="1:43">
      <c r="A198" t="s">
        <v>851</v>
      </c>
      <c r="B198" s="3" t="s">
        <v>852</v>
      </c>
      <c r="C198" s="3">
        <v>45316</v>
      </c>
      <c r="D198" t="s">
        <v>853</v>
      </c>
      <c r="E198" t="s">
        <v>375</v>
      </c>
      <c r="F198" t="s">
        <v>182</v>
      </c>
      <c r="G198" t="s">
        <v>110</v>
      </c>
      <c r="H198" t="s">
        <v>227</v>
      </c>
      <c r="I198" t="s">
        <v>228</v>
      </c>
      <c r="J198" t="s">
        <v>113</v>
      </c>
      <c r="K198" t="s">
        <v>213</v>
      </c>
      <c r="L198" t="s">
        <v>854</v>
      </c>
      <c r="M198" t="s">
        <v>135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117</v>
      </c>
      <c r="U198" t="s">
        <v>118</v>
      </c>
      <c r="V198" s="2">
        <f t="shared" si="40"/>
        <v>0.1</v>
      </c>
      <c r="W198" s="2">
        <f t="shared" si="41"/>
        <v>3272.4810000000002</v>
      </c>
      <c r="X198" s="2">
        <f>W198-R198</f>
        <v>755.04100000000017</v>
      </c>
      <c r="Y198" s="2">
        <f t="shared" si="42"/>
        <v>0.23072433422837293</v>
      </c>
      <c r="Z198" s="2" t="str">
        <f t="shared" si="43"/>
        <v/>
      </c>
      <c r="AA198" s="2" t="e">
        <f t="shared" si="44"/>
        <v>#VALUE!</v>
      </c>
      <c r="AB198" s="2" t="e">
        <f t="shared" si="45"/>
        <v>#VALUE!</v>
      </c>
      <c r="AC198" s="2" t="str">
        <f t="shared" si="46"/>
        <v>Text Value Not Recognized as Date</v>
      </c>
      <c r="AD198" s="2">
        <f t="shared" si="47"/>
        <v>0</v>
      </c>
      <c r="AE198" s="2">
        <f t="shared" si="48"/>
        <v>0</v>
      </c>
      <c r="AH198" t="str">
        <f t="shared" si="39"/>
        <v>Kabir Singh</v>
      </c>
      <c r="AI198" t="str">
        <f t="shared" si="39"/>
        <v>Home Office</v>
      </c>
      <c r="AJ198" t="str">
        <f t="shared" si="39"/>
        <v>North</v>
      </c>
      <c r="AK198" t="str">
        <f t="shared" si="39"/>
        <v>Uttar Pradesh</v>
      </c>
      <c r="AL198" t="str">
        <f t="shared" si="39"/>
        <v>Noida</v>
      </c>
      <c r="AM198" t="str">
        <f t="shared" si="39"/>
        <v>Office Supplies</v>
      </c>
      <c r="AN198" t="str">
        <f t="shared" si="38"/>
        <v>Storage</v>
      </c>
      <c r="AO198" t="str">
        <f t="shared" si="49"/>
        <v>First Class</v>
      </c>
      <c r="AP198" t="str">
        <f t="shared" si="50"/>
        <v>Paid</v>
      </c>
      <c r="AQ198" t="str">
        <f t="shared" si="50"/>
        <v>Completed</v>
      </c>
    </row>
    <row r="199" spans="1:43">
      <c r="A199" t="s">
        <v>855</v>
      </c>
      <c r="B199" s="3">
        <v>45747</v>
      </c>
      <c r="C199" s="3">
        <v>45842</v>
      </c>
      <c r="D199" t="s">
        <v>508</v>
      </c>
      <c r="E199" t="s">
        <v>207</v>
      </c>
      <c r="F199" t="s">
        <v>599</v>
      </c>
      <c r="G199" t="s">
        <v>123</v>
      </c>
      <c r="H199" t="s">
        <v>237</v>
      </c>
      <c r="I199" t="s">
        <v>238</v>
      </c>
      <c r="J199" t="s">
        <v>113</v>
      </c>
      <c r="K199" t="s">
        <v>213</v>
      </c>
      <c r="L199" t="s">
        <v>856</v>
      </c>
      <c r="M199" t="s">
        <v>116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117</v>
      </c>
      <c r="U199" t="s">
        <v>118</v>
      </c>
      <c r="V199" s="2">
        <f t="shared" si="40"/>
        <v>0.15</v>
      </c>
      <c r="W199" s="2">
        <f t="shared" si="41"/>
        <v>17409.869999999995</v>
      </c>
      <c r="X199" s="2">
        <f>W199-R199</f>
        <v>3333.6199999999953</v>
      </c>
      <c r="Y199" s="2">
        <f t="shared" si="42"/>
        <v>0.19147874165631312</v>
      </c>
      <c r="Z199" s="2">
        <f t="shared" si="43"/>
        <v>95</v>
      </c>
      <c r="AA199" s="2">
        <f t="shared" si="44"/>
        <v>3</v>
      </c>
      <c r="AB199" s="2">
        <f t="shared" si="45"/>
        <v>2025</v>
      </c>
      <c r="AC199" s="2" t="str">
        <f t="shared" si="46"/>
        <v>Valid</v>
      </c>
      <c r="AD199" s="2">
        <f t="shared" si="47"/>
        <v>0</v>
      </c>
      <c r="AE199" s="2">
        <f t="shared" si="48"/>
        <v>0</v>
      </c>
      <c r="AH199" t="str">
        <f t="shared" si="39"/>
        <v>Rahul Verma</v>
      </c>
      <c r="AI199" t="str">
        <f t="shared" si="39"/>
        <v>Small Business</v>
      </c>
      <c r="AJ199" t="str">
        <f t="shared" si="39"/>
        <v>East</v>
      </c>
      <c r="AK199" t="str">
        <f t="shared" si="39"/>
        <v>Bihar</v>
      </c>
      <c r="AL199" t="str">
        <f t="shared" si="39"/>
        <v>Patna</v>
      </c>
      <c r="AM199" t="str">
        <f t="shared" si="39"/>
        <v>Office Supplies</v>
      </c>
      <c r="AN199" t="str">
        <f t="shared" si="38"/>
        <v>Storage</v>
      </c>
      <c r="AO199" t="str">
        <f t="shared" si="49"/>
        <v>Second Class</v>
      </c>
      <c r="AP199" t="str">
        <f t="shared" si="50"/>
        <v>Paid</v>
      </c>
      <c r="AQ199" t="str">
        <f t="shared" si="50"/>
        <v>Completed</v>
      </c>
    </row>
    <row r="200" spans="1:43">
      <c r="A200" t="s">
        <v>857</v>
      </c>
      <c r="B200" s="3">
        <v>45418</v>
      </c>
      <c r="C200" s="3">
        <v>45449</v>
      </c>
      <c r="D200" t="s">
        <v>858</v>
      </c>
      <c r="E200" t="s">
        <v>222</v>
      </c>
      <c r="F200" t="s">
        <v>109</v>
      </c>
      <c r="G200" t="s">
        <v>149</v>
      </c>
      <c r="H200" t="s">
        <v>276</v>
      </c>
      <c r="I200" t="s">
        <v>277</v>
      </c>
      <c r="J200" t="s">
        <v>113</v>
      </c>
      <c r="K200" t="s">
        <v>133</v>
      </c>
      <c r="L200" t="s">
        <v>859</v>
      </c>
      <c r="M200" t="s">
        <v>116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248</v>
      </c>
      <c r="U200" t="s">
        <v>44</v>
      </c>
      <c r="V200" s="2">
        <f t="shared" si="40"/>
        <v>0.05</v>
      </c>
      <c r="W200" s="2">
        <f t="shared" si="41"/>
        <v>1125.3509999999999</v>
      </c>
      <c r="X200" s="2">
        <f>W200-R200</f>
        <v>448.38099999999986</v>
      </c>
      <c r="Y200" s="2">
        <f t="shared" si="42"/>
        <v>0.39843657667696558</v>
      </c>
      <c r="Z200" s="2">
        <f t="shared" si="43"/>
        <v>31</v>
      </c>
      <c r="AA200" s="2">
        <f t="shared" si="44"/>
        <v>5</v>
      </c>
      <c r="AB200" s="2">
        <f t="shared" si="45"/>
        <v>2024</v>
      </c>
      <c r="AC200" s="2" t="str">
        <f t="shared" si="46"/>
        <v>Valid</v>
      </c>
      <c r="AD200" s="2">
        <f t="shared" si="47"/>
        <v>0</v>
      </c>
      <c r="AE200" s="2">
        <f t="shared" si="48"/>
        <v>0</v>
      </c>
      <c r="AH200" t="str">
        <f t="shared" si="39"/>
        <v>Sneha Kapoor</v>
      </c>
      <c r="AI200" t="str">
        <f t="shared" si="39"/>
        <v>Consumer</v>
      </c>
      <c r="AJ200" t="str">
        <f t="shared" si="39"/>
        <v>West</v>
      </c>
      <c r="AK200" t="str">
        <f t="shared" si="39"/>
        <v>Gujarat</v>
      </c>
      <c r="AL200" t="str">
        <f t="shared" si="39"/>
        <v>Ahmedabad</v>
      </c>
      <c r="AM200" t="str">
        <f t="shared" si="39"/>
        <v>Office Supplies</v>
      </c>
      <c r="AN200" t="str">
        <f t="shared" si="38"/>
        <v>Art</v>
      </c>
      <c r="AO200" t="str">
        <f t="shared" si="49"/>
        <v>Second Class</v>
      </c>
      <c r="AP200" t="str">
        <f t="shared" si="50"/>
        <v>Failed</v>
      </c>
      <c r="AQ200" t="str">
        <f t="shared" si="50"/>
        <v>Cancelled</v>
      </c>
    </row>
    <row r="201" spans="1:43">
      <c r="A201" t="s">
        <v>860</v>
      </c>
      <c r="B201" s="3">
        <v>45363</v>
      </c>
      <c r="C201" s="3">
        <v>45629</v>
      </c>
      <c r="D201" t="s">
        <v>861</v>
      </c>
      <c r="E201" t="s">
        <v>207</v>
      </c>
      <c r="F201" t="s">
        <v>182</v>
      </c>
      <c r="G201" t="s">
        <v>123</v>
      </c>
      <c r="H201" t="s">
        <v>237</v>
      </c>
      <c r="I201" t="s">
        <v>238</v>
      </c>
      <c r="J201" t="s">
        <v>160</v>
      </c>
      <c r="K201" t="s">
        <v>385</v>
      </c>
      <c r="L201" t="s">
        <v>862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117</v>
      </c>
      <c r="U201" t="s">
        <v>118</v>
      </c>
      <c r="V201" s="2">
        <f t="shared" si="40"/>
        <v>0.25</v>
      </c>
      <c r="W201" s="2">
        <f t="shared" si="41"/>
        <v>9835.11</v>
      </c>
      <c r="X201" s="2">
        <f>W201-R201</f>
        <v>4397.47</v>
      </c>
      <c r="Y201" s="2">
        <f t="shared" si="42"/>
        <v>0.44711955433136996</v>
      </c>
      <c r="Z201" s="2">
        <f t="shared" si="43"/>
        <v>266</v>
      </c>
      <c r="AA201" s="2">
        <f t="shared" si="44"/>
        <v>3</v>
      </c>
      <c r="AB201" s="2">
        <f t="shared" si="45"/>
        <v>2024</v>
      </c>
      <c r="AC201" s="2" t="str">
        <f t="shared" si="46"/>
        <v>Missing ship_mode</v>
      </c>
      <c r="AD201" s="2">
        <f t="shared" si="47"/>
        <v>0</v>
      </c>
      <c r="AE201" s="2">
        <f t="shared" si="48"/>
        <v>0</v>
      </c>
      <c r="AH201" t="str">
        <f t="shared" si="39"/>
        <v>Rahul Verma</v>
      </c>
      <c r="AI201" t="str">
        <f t="shared" si="39"/>
        <v>Home Office</v>
      </c>
      <c r="AJ201" t="str">
        <f t="shared" si="39"/>
        <v>East</v>
      </c>
      <c r="AK201" t="str">
        <f t="shared" si="39"/>
        <v>Bihar</v>
      </c>
      <c r="AL201" t="str">
        <f t="shared" si="39"/>
        <v>Patna</v>
      </c>
      <c r="AM201" t="str">
        <f t="shared" si="39"/>
        <v>Technology</v>
      </c>
      <c r="AN201" t="str">
        <f t="shared" si="38"/>
        <v>Machines</v>
      </c>
      <c r="AO201" t="s">
        <v>306</v>
      </c>
      <c r="AP201" t="str">
        <f t="shared" si="50"/>
        <v>Paid</v>
      </c>
      <c r="AQ201" t="str">
        <f t="shared" si="50"/>
        <v>Completed</v>
      </c>
    </row>
    <row r="202" spans="1:43">
      <c r="A202" t="s">
        <v>863</v>
      </c>
      <c r="B202" s="3" t="s">
        <v>808</v>
      </c>
      <c r="C202" s="3">
        <v>45843</v>
      </c>
      <c r="D202" t="s">
        <v>864</v>
      </c>
      <c r="E202" t="s">
        <v>203</v>
      </c>
      <c r="F202" t="s">
        <v>122</v>
      </c>
      <c r="G202" t="s">
        <v>110</v>
      </c>
      <c r="H202" t="s">
        <v>111</v>
      </c>
      <c r="I202" t="s">
        <v>112</v>
      </c>
      <c r="J202" t="s">
        <v>160</v>
      </c>
      <c r="K202" t="s">
        <v>166</v>
      </c>
      <c r="L202" t="s">
        <v>865</v>
      </c>
      <c r="M202" t="s">
        <v>135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199</v>
      </c>
      <c r="U202" t="s">
        <v>44</v>
      </c>
      <c r="V202" s="2">
        <f t="shared" si="40"/>
        <v>0.1</v>
      </c>
      <c r="W202" s="2">
        <f t="shared" si="41"/>
        <v>12907.980000000001</v>
      </c>
      <c r="X202" s="2">
        <f>W202-R202</f>
        <v>3710.9000000000015</v>
      </c>
      <c r="Y202" s="2">
        <f t="shared" si="42"/>
        <v>0.28748882474252369</v>
      </c>
      <c r="Z202" s="2" t="str">
        <f t="shared" si="43"/>
        <v/>
      </c>
      <c r="AA202" s="2" t="e">
        <f t="shared" si="44"/>
        <v>#VALUE!</v>
      </c>
      <c r="AB202" s="2" t="e">
        <f t="shared" si="45"/>
        <v>#VALUE!</v>
      </c>
      <c r="AC202" s="2" t="str">
        <f t="shared" si="46"/>
        <v>Text Value Not Recognized as Date</v>
      </c>
      <c r="AD202" s="2">
        <f t="shared" si="47"/>
        <v>0</v>
      </c>
      <c r="AE202" s="2">
        <f t="shared" si="48"/>
        <v>0</v>
      </c>
      <c r="AH202" t="str">
        <f t="shared" si="39"/>
        <v>Priya Menon</v>
      </c>
      <c r="AI202" t="str">
        <f t="shared" si="39"/>
        <v>Small Business</v>
      </c>
      <c r="AJ202" t="str">
        <f t="shared" si="39"/>
        <v>North</v>
      </c>
      <c r="AK202" t="str">
        <f t="shared" si="39"/>
        <v>Rajasthan</v>
      </c>
      <c r="AL202" t="str">
        <f t="shared" si="39"/>
        <v>Jaipur</v>
      </c>
      <c r="AM202" t="str">
        <f t="shared" si="39"/>
        <v>Technology</v>
      </c>
      <c r="AN202" t="str">
        <f t="shared" si="38"/>
        <v>Copiers</v>
      </c>
      <c r="AO202" t="str">
        <f t="shared" si="49"/>
        <v>First Class</v>
      </c>
      <c r="AP202" t="str">
        <f t="shared" si="50"/>
        <v>Pending</v>
      </c>
      <c r="AQ202" t="str">
        <f t="shared" si="50"/>
        <v>Cancelled</v>
      </c>
    </row>
    <row r="203" spans="1:43">
      <c r="A203" t="s">
        <v>866</v>
      </c>
      <c r="B203" s="3" t="s">
        <v>867</v>
      </c>
      <c r="C203" s="3">
        <v>45872</v>
      </c>
      <c r="D203" t="s">
        <v>868</v>
      </c>
      <c r="E203" t="s">
        <v>157</v>
      </c>
      <c r="F203" t="s">
        <v>109</v>
      </c>
      <c r="G203" t="s">
        <v>149</v>
      </c>
      <c r="H203" t="s">
        <v>158</v>
      </c>
      <c r="I203" t="s">
        <v>159</v>
      </c>
      <c r="J203" t="s">
        <v>113</v>
      </c>
      <c r="K203" t="s">
        <v>178</v>
      </c>
      <c r="L203" t="s">
        <v>869</v>
      </c>
      <c r="M203" t="s">
        <v>116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189</v>
      </c>
      <c r="U203" t="s">
        <v>44</v>
      </c>
      <c r="V203" s="2">
        <f t="shared" si="40"/>
        <v>-0.16</v>
      </c>
      <c r="W203" s="2">
        <f t="shared" si="41"/>
        <v>5808.1895999999997</v>
      </c>
      <c r="X203" s="2">
        <f>W203-R203</f>
        <v>2853.3295999999996</v>
      </c>
      <c r="Y203" s="2">
        <f t="shared" si="42"/>
        <v>0.49125972058487893</v>
      </c>
      <c r="Z203" s="2" t="str">
        <f t="shared" si="43"/>
        <v/>
      </c>
      <c r="AA203" s="2" t="e">
        <f t="shared" si="44"/>
        <v>#VALUE!</v>
      </c>
      <c r="AB203" s="2" t="e">
        <f t="shared" si="45"/>
        <v>#VALUE!</v>
      </c>
      <c r="AC203" s="2" t="str">
        <f t="shared" si="46"/>
        <v>Text Value Not Recognized as Date</v>
      </c>
      <c r="AD203" s="2">
        <f t="shared" si="47"/>
        <v>1</v>
      </c>
      <c r="AE203" s="2">
        <f t="shared" si="48"/>
        <v>1</v>
      </c>
      <c r="AH203" t="str">
        <f t="shared" si="39"/>
        <v>Vikram Iyer</v>
      </c>
      <c r="AI203" t="str">
        <f t="shared" si="39"/>
        <v>Consumer</v>
      </c>
      <c r="AJ203" t="str">
        <f t="shared" si="39"/>
        <v>West</v>
      </c>
      <c r="AK203" t="str">
        <f t="shared" si="39"/>
        <v>Madhya Pradesh</v>
      </c>
      <c r="AL203" t="str">
        <f t="shared" si="39"/>
        <v>Indore</v>
      </c>
      <c r="AM203" t="str">
        <f t="shared" si="39"/>
        <v>Office Supplies</v>
      </c>
      <c r="AN203" t="str">
        <f t="shared" si="38"/>
        <v>Labels</v>
      </c>
      <c r="AO203" t="str">
        <f t="shared" si="49"/>
        <v>Second Class</v>
      </c>
      <c r="AP203" t="str">
        <f t="shared" si="50"/>
        <v>Refunded</v>
      </c>
      <c r="AQ203" t="str">
        <f t="shared" si="50"/>
        <v>Cancelled</v>
      </c>
    </row>
    <row r="204" spans="1:43">
      <c r="A204" t="s">
        <v>870</v>
      </c>
      <c r="B204" s="3">
        <v>45744</v>
      </c>
      <c r="C204" s="3">
        <v>45744</v>
      </c>
      <c r="D204" t="s">
        <v>871</v>
      </c>
      <c r="E204" t="s">
        <v>222</v>
      </c>
      <c r="F204" t="s">
        <v>177</v>
      </c>
      <c r="G204" t="s">
        <v>149</v>
      </c>
      <c r="H204" t="s">
        <v>287</v>
      </c>
      <c r="I204" t="s">
        <v>288</v>
      </c>
      <c r="J204" t="s">
        <v>160</v>
      </c>
      <c r="K204" t="s">
        <v>161</v>
      </c>
      <c r="L204" t="s">
        <v>872</v>
      </c>
      <c r="M204" t="s">
        <v>145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117</v>
      </c>
      <c r="U204" t="s">
        <v>118</v>
      </c>
      <c r="V204" s="2">
        <f t="shared" si="40"/>
        <v>0.05</v>
      </c>
      <c r="W204" s="2">
        <f t="shared" si="41"/>
        <v>13231.144</v>
      </c>
      <c r="X204" s="2">
        <f>W204-R204</f>
        <v>1941.0840000000007</v>
      </c>
      <c r="Y204" s="2">
        <f t="shared" si="42"/>
        <v>0.14670568168557463</v>
      </c>
      <c r="Z204" s="2">
        <f t="shared" si="43"/>
        <v>0</v>
      </c>
      <c r="AA204" s="2">
        <f t="shared" si="44"/>
        <v>3</v>
      </c>
      <c r="AB204" s="2">
        <f t="shared" si="45"/>
        <v>2025</v>
      </c>
      <c r="AC204" s="2" t="str">
        <f t="shared" si="46"/>
        <v>Valid</v>
      </c>
      <c r="AD204" s="2">
        <f t="shared" si="47"/>
        <v>0</v>
      </c>
      <c r="AE204" s="2">
        <f t="shared" si="48"/>
        <v>0</v>
      </c>
      <c r="AH204" t="str">
        <f t="shared" si="39"/>
        <v>Sneha Kapoor</v>
      </c>
      <c r="AI204" t="str">
        <f t="shared" si="39"/>
        <v>Corporate</v>
      </c>
      <c r="AJ204" t="str">
        <f t="shared" si="39"/>
        <v>West</v>
      </c>
      <c r="AK204" t="str">
        <f t="shared" si="39"/>
        <v>Goa</v>
      </c>
      <c r="AL204" t="str">
        <f t="shared" si="39"/>
        <v>Panaji</v>
      </c>
      <c r="AM204" t="str">
        <f t="shared" si="39"/>
        <v>Technology</v>
      </c>
      <c r="AN204" t="str">
        <f t="shared" si="38"/>
        <v>Accessories</v>
      </c>
      <c r="AO204" t="str">
        <f t="shared" si="49"/>
        <v>Standard Class</v>
      </c>
      <c r="AP204" t="str">
        <f t="shared" si="50"/>
        <v>Paid</v>
      </c>
      <c r="AQ204" t="str">
        <f t="shared" si="50"/>
        <v>Completed</v>
      </c>
    </row>
    <row r="205" spans="1:43">
      <c r="A205" t="s">
        <v>873</v>
      </c>
      <c r="B205" s="3">
        <v>45379</v>
      </c>
      <c r="C205" s="3">
        <v>45381</v>
      </c>
      <c r="D205" t="s">
        <v>874</v>
      </c>
      <c r="E205" t="s">
        <v>222</v>
      </c>
      <c r="F205" t="s">
        <v>177</v>
      </c>
      <c r="G205" t="s">
        <v>149</v>
      </c>
      <c r="H205" t="s">
        <v>111</v>
      </c>
      <c r="I205" t="s">
        <v>197</v>
      </c>
      <c r="J205" t="s">
        <v>160</v>
      </c>
      <c r="K205" t="s">
        <v>161</v>
      </c>
      <c r="L205" t="s">
        <v>875</v>
      </c>
      <c r="M205" t="s">
        <v>116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117</v>
      </c>
      <c r="U205" t="s">
        <v>118</v>
      </c>
      <c r="V205" s="2">
        <f t="shared" si="40"/>
        <v>0.15</v>
      </c>
      <c r="W205" s="2">
        <f t="shared" si="41"/>
        <v>484.78899999999999</v>
      </c>
      <c r="X205" s="2">
        <f>W205-R205</f>
        <v>151.24899999999997</v>
      </c>
      <c r="Y205" s="2">
        <f t="shared" si="42"/>
        <v>0.3119893396921134</v>
      </c>
      <c r="Z205" s="2">
        <f t="shared" si="43"/>
        <v>2</v>
      </c>
      <c r="AA205" s="2">
        <f t="shared" si="44"/>
        <v>3</v>
      </c>
      <c r="AB205" s="2">
        <f t="shared" si="45"/>
        <v>2024</v>
      </c>
      <c r="AC205" s="2" t="str">
        <f t="shared" si="46"/>
        <v>Valid</v>
      </c>
      <c r="AD205" s="2">
        <f t="shared" si="47"/>
        <v>0</v>
      </c>
      <c r="AE205" s="2">
        <f t="shared" si="48"/>
        <v>0</v>
      </c>
      <c r="AH205" t="str">
        <f t="shared" si="39"/>
        <v>Sneha Kapoor</v>
      </c>
      <c r="AI205" t="str">
        <f t="shared" si="39"/>
        <v>Corporate</v>
      </c>
      <c r="AJ205" t="str">
        <f t="shared" si="39"/>
        <v>West</v>
      </c>
      <c r="AK205" t="str">
        <f t="shared" si="39"/>
        <v>Rajasthan</v>
      </c>
      <c r="AL205" t="str">
        <f t="shared" si="39"/>
        <v>Udaipur</v>
      </c>
      <c r="AM205" t="str">
        <f t="shared" si="39"/>
        <v>Technology</v>
      </c>
      <c r="AN205" t="str">
        <f t="shared" si="38"/>
        <v>Accessories</v>
      </c>
      <c r="AO205" t="str">
        <f t="shared" si="49"/>
        <v>Second Class</v>
      </c>
      <c r="AP205" t="str">
        <f t="shared" si="50"/>
        <v>Paid</v>
      </c>
      <c r="AQ205" t="str">
        <f t="shared" si="50"/>
        <v>Completed</v>
      </c>
    </row>
    <row r="206" spans="1:43">
      <c r="A206" t="s">
        <v>876</v>
      </c>
      <c r="B206" s="3" t="s">
        <v>877</v>
      </c>
      <c r="C206" s="3">
        <v>45861</v>
      </c>
      <c r="D206" t="s">
        <v>878</v>
      </c>
      <c r="E206" t="s">
        <v>121</v>
      </c>
      <c r="F206" t="s">
        <v>182</v>
      </c>
      <c r="G206" t="s">
        <v>123</v>
      </c>
      <c r="H206" t="s">
        <v>186</v>
      </c>
      <c r="I206" t="s">
        <v>187</v>
      </c>
      <c r="J206" t="s">
        <v>126</v>
      </c>
      <c r="K206" t="s">
        <v>127</v>
      </c>
      <c r="L206" t="s">
        <v>879</v>
      </c>
      <c r="M206" t="s">
        <v>116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117</v>
      </c>
      <c r="U206" t="s">
        <v>118</v>
      </c>
      <c r="V206" s="2">
        <f t="shared" si="40"/>
        <v>0.15</v>
      </c>
      <c r="W206" s="2">
        <f t="shared" si="41"/>
        <v>1624.146</v>
      </c>
      <c r="X206" s="2">
        <f>W206-R206</f>
        <v>406.15599999999995</v>
      </c>
      <c r="Y206" s="2">
        <f t="shared" si="42"/>
        <v>0.25007357712914968</v>
      </c>
      <c r="Z206" s="2" t="str">
        <f t="shared" si="43"/>
        <v/>
      </c>
      <c r="AA206" s="2" t="e">
        <f t="shared" si="44"/>
        <v>#VALUE!</v>
      </c>
      <c r="AB206" s="2" t="e">
        <f t="shared" si="45"/>
        <v>#VALUE!</v>
      </c>
      <c r="AC206" s="2" t="str">
        <f t="shared" si="46"/>
        <v>Text Value Not Recognized as Date</v>
      </c>
      <c r="AD206" s="2">
        <f t="shared" si="47"/>
        <v>0</v>
      </c>
      <c r="AE206" s="2">
        <f t="shared" si="48"/>
        <v>0</v>
      </c>
      <c r="AH206" t="str">
        <f t="shared" si="39"/>
        <v>Mira Das</v>
      </c>
      <c r="AI206" t="str">
        <f t="shared" si="39"/>
        <v>Home Office</v>
      </c>
      <c r="AJ206" t="str">
        <f t="shared" si="39"/>
        <v>East</v>
      </c>
      <c r="AK206" t="str">
        <f t="shared" si="39"/>
        <v>West Bengal</v>
      </c>
      <c r="AL206" t="str">
        <f t="shared" si="39"/>
        <v>Kolkata</v>
      </c>
      <c r="AM206" t="str">
        <f t="shared" si="39"/>
        <v>Furniture</v>
      </c>
      <c r="AN206" t="str">
        <f t="shared" si="38"/>
        <v>Tables</v>
      </c>
      <c r="AO206" t="str">
        <f t="shared" si="49"/>
        <v>Second Class</v>
      </c>
      <c r="AP206" t="str">
        <f t="shared" si="50"/>
        <v>Paid</v>
      </c>
      <c r="AQ206" t="str">
        <f t="shared" si="50"/>
        <v>Completed</v>
      </c>
    </row>
    <row r="207" spans="1:43">
      <c r="A207" t="s">
        <v>880</v>
      </c>
      <c r="B207" s="3" t="s">
        <v>881</v>
      </c>
      <c r="C207" s="3">
        <v>45773</v>
      </c>
      <c r="D207" t="s">
        <v>882</v>
      </c>
      <c r="E207" t="s">
        <v>148</v>
      </c>
      <c r="F207" t="s">
        <v>109</v>
      </c>
      <c r="G207" t="s">
        <v>149</v>
      </c>
      <c r="H207" t="s">
        <v>150</v>
      </c>
      <c r="I207" t="s">
        <v>151</v>
      </c>
      <c r="J207" t="s">
        <v>753</v>
      </c>
      <c r="K207" t="s">
        <v>178</v>
      </c>
      <c r="L207" t="s">
        <v>883</v>
      </c>
      <c r="M207" t="s">
        <v>129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117</v>
      </c>
      <c r="U207" t="s">
        <v>118</v>
      </c>
      <c r="V207" s="2">
        <f t="shared" si="40"/>
        <v>0.2</v>
      </c>
      <c r="W207" s="2">
        <f t="shared" si="41"/>
        <v>4193.232</v>
      </c>
      <c r="X207" s="2">
        <f>W207-R207</f>
        <v>863.24200000000019</v>
      </c>
      <c r="Y207" s="2">
        <f t="shared" si="42"/>
        <v>0.2058655471483572</v>
      </c>
      <c r="Z207" s="2" t="str">
        <f t="shared" si="43"/>
        <v/>
      </c>
      <c r="AA207" s="2" t="e">
        <f t="shared" si="44"/>
        <v>#VALUE!</v>
      </c>
      <c r="AB207" s="2" t="e">
        <f t="shared" si="45"/>
        <v>#VALUE!</v>
      </c>
      <c r="AC207" s="2" t="str">
        <f t="shared" si="46"/>
        <v>Text Value Not Recognized as Date</v>
      </c>
      <c r="AD207" s="2">
        <f t="shared" si="47"/>
        <v>0</v>
      </c>
      <c r="AE207" s="2">
        <f t="shared" si="48"/>
        <v>0</v>
      </c>
      <c r="AH207" t="str">
        <f t="shared" si="39"/>
        <v>Ananya Rao</v>
      </c>
      <c r="AI207" t="str">
        <f t="shared" si="39"/>
        <v>Consumer</v>
      </c>
      <c r="AJ207" t="str">
        <f t="shared" si="39"/>
        <v>West</v>
      </c>
      <c r="AK207" t="str">
        <f t="shared" si="39"/>
        <v>Maharashtra</v>
      </c>
      <c r="AL207" t="str">
        <f t="shared" si="39"/>
        <v>Mumbai</v>
      </c>
      <c r="AM207" t="str">
        <f t="shared" si="39"/>
        <v>Office Supplies</v>
      </c>
      <c r="AN207" t="str">
        <f t="shared" si="38"/>
        <v>Labels</v>
      </c>
      <c r="AO207" t="str">
        <f t="shared" si="49"/>
        <v>Same Day</v>
      </c>
      <c r="AP207" t="str">
        <f t="shared" si="50"/>
        <v>Paid</v>
      </c>
      <c r="AQ207" t="str">
        <f t="shared" si="50"/>
        <v>Completed</v>
      </c>
    </row>
    <row r="208" spans="1:43">
      <c r="A208" t="s">
        <v>884</v>
      </c>
      <c r="B208" s="3">
        <v>45795</v>
      </c>
      <c r="C208" s="3">
        <v>45797</v>
      </c>
      <c r="D208" t="s">
        <v>885</v>
      </c>
      <c r="E208" t="s">
        <v>256</v>
      </c>
      <c r="F208" t="s">
        <v>122</v>
      </c>
      <c r="G208" t="s">
        <v>110</v>
      </c>
      <c r="H208" t="s">
        <v>227</v>
      </c>
      <c r="I208" t="s">
        <v>228</v>
      </c>
      <c r="J208" t="s">
        <v>126</v>
      </c>
      <c r="K208" t="s">
        <v>143</v>
      </c>
      <c r="L208" t="s">
        <v>886</v>
      </c>
      <c r="M208" t="s">
        <v>135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117</v>
      </c>
      <c r="U208" t="s">
        <v>118</v>
      </c>
      <c r="V208" s="2">
        <f t="shared" si="40"/>
        <v>0</v>
      </c>
      <c r="W208" s="2">
        <f t="shared" si="41"/>
        <v>430.26</v>
      </c>
      <c r="X208" s="2">
        <f>W208-R208</f>
        <v>143.88</v>
      </c>
      <c r="Y208" s="2">
        <f t="shared" si="42"/>
        <v>0.33440245432994004</v>
      </c>
      <c r="Z208" s="2">
        <f t="shared" si="43"/>
        <v>2</v>
      </c>
      <c r="AA208" s="2">
        <f t="shared" si="44"/>
        <v>5</v>
      </c>
      <c r="AB208" s="2">
        <f t="shared" si="45"/>
        <v>2025</v>
      </c>
      <c r="AC208" s="2" t="str">
        <f t="shared" si="46"/>
        <v>Valid</v>
      </c>
      <c r="AD208" s="2">
        <f t="shared" si="47"/>
        <v>0</v>
      </c>
      <c r="AE208" s="2">
        <f t="shared" si="48"/>
        <v>0</v>
      </c>
      <c r="AH208" t="str">
        <f t="shared" si="39"/>
        <v>Diya Patel</v>
      </c>
      <c r="AI208" t="str">
        <f t="shared" si="39"/>
        <v>Small Business</v>
      </c>
      <c r="AJ208" t="str">
        <f t="shared" si="39"/>
        <v>North</v>
      </c>
      <c r="AK208" t="str">
        <f t="shared" si="39"/>
        <v>Uttar Pradesh</v>
      </c>
      <c r="AL208" t="str">
        <f t="shared" si="39"/>
        <v>Noida</v>
      </c>
      <c r="AM208" t="str">
        <f t="shared" si="39"/>
        <v>Furniture</v>
      </c>
      <c r="AN208" t="str">
        <f t="shared" si="38"/>
        <v>Furnishings</v>
      </c>
      <c r="AO208" t="str">
        <f t="shared" si="49"/>
        <v>First Class</v>
      </c>
      <c r="AP208" t="str">
        <f t="shared" si="50"/>
        <v>Paid</v>
      </c>
      <c r="AQ208" t="str">
        <f t="shared" si="50"/>
        <v>Completed</v>
      </c>
    </row>
    <row r="209" spans="1:43">
      <c r="A209" t="s">
        <v>887</v>
      </c>
      <c r="B209" s="3">
        <v>45483</v>
      </c>
      <c r="C209" s="3">
        <v>45489</v>
      </c>
      <c r="D209" t="s">
        <v>888</v>
      </c>
      <c r="E209" t="s">
        <v>218</v>
      </c>
      <c r="F209" t="s">
        <v>182</v>
      </c>
      <c r="G209" t="s">
        <v>149</v>
      </c>
      <c r="H209" t="s">
        <v>287</v>
      </c>
      <c r="I209" t="s">
        <v>288</v>
      </c>
      <c r="J209" t="s">
        <v>126</v>
      </c>
      <c r="K209" t="s">
        <v>252</v>
      </c>
      <c r="L209" t="s">
        <v>889</v>
      </c>
      <c r="M209" t="s">
        <v>116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117</v>
      </c>
      <c r="U209" t="s">
        <v>118</v>
      </c>
      <c r="V209" s="2">
        <f t="shared" si="40"/>
        <v>0.2</v>
      </c>
      <c r="W209" s="2">
        <f t="shared" si="41"/>
        <v>1752.7200000000003</v>
      </c>
      <c r="X209" s="2">
        <f>W209-R209</f>
        <v>756.31000000000029</v>
      </c>
      <c r="Y209" s="2">
        <f t="shared" si="42"/>
        <v>0.43150645853302305</v>
      </c>
      <c r="Z209" s="2">
        <f t="shared" si="43"/>
        <v>6</v>
      </c>
      <c r="AA209" s="2">
        <f t="shared" si="44"/>
        <v>7</v>
      </c>
      <c r="AB209" s="2">
        <f t="shared" si="45"/>
        <v>2024</v>
      </c>
      <c r="AC209" s="2" t="str">
        <f t="shared" si="46"/>
        <v>Valid</v>
      </c>
      <c r="AD209" s="2">
        <f t="shared" si="47"/>
        <v>0</v>
      </c>
      <c r="AE209" s="2">
        <f t="shared" si="48"/>
        <v>0</v>
      </c>
      <c r="AH209" t="str">
        <f t="shared" si="39"/>
        <v>Aarav Sharma</v>
      </c>
      <c r="AI209" t="str">
        <f t="shared" si="39"/>
        <v>Home Office</v>
      </c>
      <c r="AJ209" t="str">
        <f t="shared" si="39"/>
        <v>West</v>
      </c>
      <c r="AK209" t="str">
        <f t="shared" si="39"/>
        <v>Goa</v>
      </c>
      <c r="AL209" t="str">
        <f t="shared" si="39"/>
        <v>Panaji</v>
      </c>
      <c r="AM209" t="str">
        <f t="shared" si="39"/>
        <v>Furniture</v>
      </c>
      <c r="AN209" t="str">
        <f t="shared" si="38"/>
        <v>Bookcases</v>
      </c>
      <c r="AO209" t="str">
        <f t="shared" si="49"/>
        <v>Second Class</v>
      </c>
      <c r="AP209" t="str">
        <f t="shared" si="50"/>
        <v>Paid</v>
      </c>
      <c r="AQ209" t="str">
        <f t="shared" si="50"/>
        <v>Completed</v>
      </c>
    </row>
    <row r="210" spans="1:43">
      <c r="A210" t="s">
        <v>890</v>
      </c>
      <c r="B210" s="3">
        <v>45837</v>
      </c>
      <c r="C210" s="3">
        <v>45784</v>
      </c>
      <c r="D210" t="s">
        <v>891</v>
      </c>
      <c r="E210" t="s">
        <v>256</v>
      </c>
      <c r="F210" t="s">
        <v>109</v>
      </c>
      <c r="G210" t="s">
        <v>110</v>
      </c>
      <c r="H210" t="s">
        <v>211</v>
      </c>
      <c r="I210" t="s">
        <v>212</v>
      </c>
      <c r="J210" t="s">
        <v>126</v>
      </c>
      <c r="K210" t="s">
        <v>152</v>
      </c>
      <c r="L210" t="s">
        <v>892</v>
      </c>
      <c r="M210" t="s">
        <v>129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117</v>
      </c>
      <c r="U210" t="s">
        <v>118</v>
      </c>
      <c r="V210" s="2">
        <f t="shared" si="40"/>
        <v>0</v>
      </c>
      <c r="W210" s="2">
        <f t="shared" si="41"/>
        <v>999.83</v>
      </c>
      <c r="X210" s="2">
        <f>W210-R210</f>
        <v>364.92000000000007</v>
      </c>
      <c r="Y210" s="2">
        <f t="shared" si="42"/>
        <v>0.3649820469479812</v>
      </c>
      <c r="Z210" s="2">
        <f t="shared" si="43"/>
        <v>-53</v>
      </c>
      <c r="AA210" s="2">
        <f t="shared" si="44"/>
        <v>6</v>
      </c>
      <c r="AB210" s="2">
        <f t="shared" si="45"/>
        <v>2025</v>
      </c>
      <c r="AC210" s="2" t="str">
        <f t="shared" si="46"/>
        <v>Invalid shipping record</v>
      </c>
      <c r="AD210" s="2">
        <f t="shared" si="47"/>
        <v>0</v>
      </c>
      <c r="AE210" s="2">
        <f t="shared" si="48"/>
        <v>0</v>
      </c>
      <c r="AH210" t="str">
        <f t="shared" si="39"/>
        <v>Diya Patel</v>
      </c>
      <c r="AI210" t="str">
        <f t="shared" si="39"/>
        <v>Consumer</v>
      </c>
      <c r="AJ210" t="str">
        <f t="shared" si="39"/>
        <v>North</v>
      </c>
      <c r="AK210" t="str">
        <f t="shared" si="39"/>
        <v>Punjab</v>
      </c>
      <c r="AL210" t="str">
        <f t="shared" si="39"/>
        <v>Ludhiana</v>
      </c>
      <c r="AM210" t="str">
        <f t="shared" ref="AM210:AN273" si="51">PROPER(TRIM(J210))</f>
        <v>Furniture</v>
      </c>
      <c r="AN210" t="str">
        <f t="shared" si="38"/>
        <v>Chairs</v>
      </c>
      <c r="AO210" t="str">
        <f t="shared" si="49"/>
        <v>Same Day</v>
      </c>
      <c r="AP210" t="str">
        <f t="shared" si="50"/>
        <v>Paid</v>
      </c>
      <c r="AQ210" t="str">
        <f t="shared" si="50"/>
        <v>Completed</v>
      </c>
    </row>
    <row r="211" spans="1:43">
      <c r="A211" t="s">
        <v>893</v>
      </c>
      <c r="B211" s="3">
        <v>45882</v>
      </c>
      <c r="C211" s="3">
        <v>45883</v>
      </c>
      <c r="D211" t="s">
        <v>894</v>
      </c>
      <c r="E211" t="s">
        <v>232</v>
      </c>
      <c r="F211" t="s">
        <v>122</v>
      </c>
      <c r="G211" t="s">
        <v>140</v>
      </c>
      <c r="H211" t="s">
        <v>171</v>
      </c>
      <c r="I211" t="s">
        <v>172</v>
      </c>
      <c r="J211" t="s">
        <v>113</v>
      </c>
      <c r="K211" t="s">
        <v>114</v>
      </c>
      <c r="L211" t="s">
        <v>895</v>
      </c>
      <c r="M211" t="s">
        <v>135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117</v>
      </c>
      <c r="U211" t="s">
        <v>118</v>
      </c>
      <c r="V211" s="2">
        <f t="shared" si="40"/>
        <v>0.1</v>
      </c>
      <c r="W211" s="2">
        <f t="shared" si="41"/>
        <v>7006.3379999999997</v>
      </c>
      <c r="X211" s="2">
        <f>W211-R211</f>
        <v>2365.4579999999996</v>
      </c>
      <c r="Y211" s="2">
        <f t="shared" si="42"/>
        <v>0.33761688345609359</v>
      </c>
      <c r="Z211" s="2">
        <f t="shared" si="43"/>
        <v>1</v>
      </c>
      <c r="AA211" s="2">
        <f t="shared" si="44"/>
        <v>8</v>
      </c>
      <c r="AB211" s="2">
        <f t="shared" si="45"/>
        <v>2025</v>
      </c>
      <c r="AC211" s="2" t="str">
        <f t="shared" si="46"/>
        <v>Valid</v>
      </c>
      <c r="AD211" s="2">
        <f t="shared" si="47"/>
        <v>0</v>
      </c>
      <c r="AE211" s="2">
        <f t="shared" si="48"/>
        <v>0</v>
      </c>
      <c r="AH211" t="str">
        <f t="shared" ref="AH211:AL274" si="52">PROPER(TRIM(E211))</f>
        <v>Rohan Mehta</v>
      </c>
      <c r="AI211" t="str">
        <f t="shared" si="52"/>
        <v>Small Business</v>
      </c>
      <c r="AJ211" t="str">
        <f t="shared" si="52"/>
        <v>South</v>
      </c>
      <c r="AK211" t="str">
        <f t="shared" si="52"/>
        <v>Andhra Pradesh</v>
      </c>
      <c r="AL211" t="str">
        <f t="shared" si="52"/>
        <v>Vijayawada</v>
      </c>
      <c r="AM211" t="str">
        <f t="shared" si="51"/>
        <v>Office Supplies</v>
      </c>
      <c r="AN211" t="str">
        <f t="shared" si="38"/>
        <v>Paper</v>
      </c>
      <c r="AO211" t="str">
        <f t="shared" si="49"/>
        <v>First Class</v>
      </c>
      <c r="AP211" t="str">
        <f t="shared" si="50"/>
        <v>Paid</v>
      </c>
      <c r="AQ211" t="str">
        <f t="shared" si="50"/>
        <v>Completed</v>
      </c>
    </row>
    <row r="212" spans="1:43">
      <c r="A212" t="s">
        <v>896</v>
      </c>
      <c r="B212" s="3">
        <v>45366</v>
      </c>
      <c r="C212" s="3" t="s">
        <v>897</v>
      </c>
      <c r="D212" t="s">
        <v>898</v>
      </c>
      <c r="E212" t="s">
        <v>375</v>
      </c>
      <c r="F212" t="s">
        <v>182</v>
      </c>
      <c r="G212" t="s">
        <v>140</v>
      </c>
      <c r="H212" t="s">
        <v>270</v>
      </c>
      <c r="I212" t="s">
        <v>271</v>
      </c>
      <c r="J212" t="s">
        <v>160</v>
      </c>
      <c r="K212" t="s">
        <v>385</v>
      </c>
      <c r="L212" t="s">
        <v>899</v>
      </c>
      <c r="M212" t="s">
        <v>116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248</v>
      </c>
      <c r="U212" t="s">
        <v>190</v>
      </c>
      <c r="V212" s="2">
        <f t="shared" si="40"/>
        <v>0</v>
      </c>
      <c r="W212" s="2">
        <f t="shared" si="41"/>
        <v>4131.3599999999997</v>
      </c>
      <c r="X212" s="2">
        <f>W212-R212</f>
        <v>1194.2899999999995</v>
      </c>
      <c r="Y212" s="2">
        <f t="shared" si="42"/>
        <v>0.28907914100925591</v>
      </c>
      <c r="Z212" s="2" t="str">
        <f t="shared" si="43"/>
        <v/>
      </c>
      <c r="AA212" s="2">
        <f t="shared" si="44"/>
        <v>3</v>
      </c>
      <c r="AB212" s="2">
        <f t="shared" si="45"/>
        <v>2024</v>
      </c>
      <c r="AC212" s="2" t="str">
        <f t="shared" si="46"/>
        <v>Text Value Not Recognized as Date</v>
      </c>
      <c r="AD212" s="2">
        <f t="shared" si="47"/>
        <v>0</v>
      </c>
      <c r="AE212" s="2">
        <f t="shared" si="48"/>
        <v>0</v>
      </c>
      <c r="AH212" t="str">
        <f t="shared" si="52"/>
        <v>Kabir Singh</v>
      </c>
      <c r="AI212" t="str">
        <f t="shared" si="52"/>
        <v>Home Office</v>
      </c>
      <c r="AJ212" t="str">
        <f t="shared" si="52"/>
        <v>South</v>
      </c>
      <c r="AK212" t="str">
        <f t="shared" si="52"/>
        <v>Karnataka</v>
      </c>
      <c r="AL212" t="str">
        <f t="shared" si="52"/>
        <v>Bengaluru</v>
      </c>
      <c r="AM212" t="str">
        <f t="shared" si="51"/>
        <v>Technology</v>
      </c>
      <c r="AN212" t="str">
        <f t="shared" si="38"/>
        <v>Machines</v>
      </c>
      <c r="AO212" t="str">
        <f t="shared" si="49"/>
        <v>Second Class</v>
      </c>
      <c r="AP212" t="str">
        <f t="shared" si="50"/>
        <v>Failed</v>
      </c>
      <c r="AQ212" t="str">
        <f t="shared" si="50"/>
        <v>Returned</v>
      </c>
    </row>
    <row r="213" spans="1:43">
      <c r="A213" t="s">
        <v>900</v>
      </c>
      <c r="B213" s="3">
        <v>45428</v>
      </c>
      <c r="C213" s="3">
        <v>45429</v>
      </c>
      <c r="D213" t="s">
        <v>901</v>
      </c>
      <c r="E213" t="s">
        <v>232</v>
      </c>
      <c r="F213" t="s">
        <v>177</v>
      </c>
      <c r="G213" t="s">
        <v>902</v>
      </c>
      <c r="H213" t="s">
        <v>186</v>
      </c>
      <c r="I213" t="s">
        <v>187</v>
      </c>
      <c r="J213" t="s">
        <v>160</v>
      </c>
      <c r="K213" t="s">
        <v>166</v>
      </c>
      <c r="L213" t="s">
        <v>903</v>
      </c>
      <c r="M213" t="s">
        <v>116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117</v>
      </c>
      <c r="U213" t="s">
        <v>118</v>
      </c>
      <c r="V213" s="2">
        <f t="shared" si="40"/>
        <v>0.2</v>
      </c>
      <c r="W213" s="2">
        <f t="shared" si="41"/>
        <v>27020.48</v>
      </c>
      <c r="X213" s="2">
        <f>W213-R213</f>
        <v>4135.239999999998</v>
      </c>
      <c r="Y213" s="2">
        <f t="shared" si="42"/>
        <v>0.15304095264036752</v>
      </c>
      <c r="Z213" s="2">
        <f t="shared" si="43"/>
        <v>1</v>
      </c>
      <c r="AA213" s="2">
        <f t="shared" si="44"/>
        <v>5</v>
      </c>
      <c r="AB213" s="2">
        <f t="shared" si="45"/>
        <v>2024</v>
      </c>
      <c r="AC213" s="2" t="str">
        <f t="shared" si="46"/>
        <v>Valid</v>
      </c>
      <c r="AD213" s="2">
        <f t="shared" si="47"/>
        <v>0</v>
      </c>
      <c r="AE213" s="2">
        <f t="shared" si="48"/>
        <v>0</v>
      </c>
      <c r="AH213" t="str">
        <f t="shared" si="52"/>
        <v>Rohan Mehta</v>
      </c>
      <c r="AI213" t="str">
        <f t="shared" si="52"/>
        <v>Corporate</v>
      </c>
      <c r="AJ213" t="str">
        <f t="shared" si="52"/>
        <v>East</v>
      </c>
      <c r="AK213" t="str">
        <f t="shared" si="52"/>
        <v>West Bengal</v>
      </c>
      <c r="AL213" t="str">
        <f t="shared" si="52"/>
        <v>Kolkata</v>
      </c>
      <c r="AM213" t="str">
        <f t="shared" si="51"/>
        <v>Technology</v>
      </c>
      <c r="AN213" t="str">
        <f t="shared" si="38"/>
        <v>Copiers</v>
      </c>
      <c r="AO213" t="str">
        <f t="shared" si="49"/>
        <v>Second Class</v>
      </c>
      <c r="AP213" t="str">
        <f t="shared" si="50"/>
        <v>Paid</v>
      </c>
      <c r="AQ213" t="str">
        <f t="shared" si="50"/>
        <v>Completed</v>
      </c>
    </row>
    <row r="214" spans="1:43">
      <c r="A214" t="s">
        <v>904</v>
      </c>
      <c r="B214" s="3">
        <v>45556</v>
      </c>
      <c r="C214" s="3">
        <v>45556</v>
      </c>
      <c r="D214" t="s">
        <v>905</v>
      </c>
      <c r="E214" t="s">
        <v>148</v>
      </c>
      <c r="F214" t="s">
        <v>122</v>
      </c>
      <c r="G214" t="s">
        <v>123</v>
      </c>
      <c r="H214" t="s">
        <v>124</v>
      </c>
      <c r="I214" t="s">
        <v>125</v>
      </c>
      <c r="J214" t="s">
        <v>160</v>
      </c>
      <c r="K214" t="s">
        <v>266</v>
      </c>
      <c r="L214" t="s">
        <v>906</v>
      </c>
      <c r="M214" t="s">
        <v>129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117</v>
      </c>
      <c r="U214" t="s">
        <v>118</v>
      </c>
      <c r="V214" s="2">
        <f t="shared" si="40"/>
        <v>0.15</v>
      </c>
      <c r="W214" s="2">
        <f t="shared" si="41"/>
        <v>364.65</v>
      </c>
      <c r="X214" s="2">
        <f>W214-R214</f>
        <v>83.909999999999968</v>
      </c>
      <c r="Y214" s="2">
        <f t="shared" si="42"/>
        <v>0.23011106540518297</v>
      </c>
      <c r="Z214" s="2">
        <f t="shared" si="43"/>
        <v>0</v>
      </c>
      <c r="AA214" s="2">
        <f t="shared" si="44"/>
        <v>9</v>
      </c>
      <c r="AB214" s="2">
        <f t="shared" si="45"/>
        <v>2024</v>
      </c>
      <c r="AC214" s="2" t="str">
        <f t="shared" si="46"/>
        <v>Valid</v>
      </c>
      <c r="AD214" s="2">
        <f t="shared" si="47"/>
        <v>0</v>
      </c>
      <c r="AE214" s="2">
        <f t="shared" si="48"/>
        <v>0</v>
      </c>
      <c r="AH214" t="str">
        <f t="shared" si="52"/>
        <v>Ananya Rao</v>
      </c>
      <c r="AI214" t="str">
        <f t="shared" si="52"/>
        <v>Small Business</v>
      </c>
      <c r="AJ214" t="str">
        <f t="shared" si="52"/>
        <v>East</v>
      </c>
      <c r="AK214" t="str">
        <f t="shared" si="52"/>
        <v>Odisha</v>
      </c>
      <c r="AL214" t="str">
        <f t="shared" si="52"/>
        <v>Bhubaneswar</v>
      </c>
      <c r="AM214" t="str">
        <f t="shared" si="51"/>
        <v>Technology</v>
      </c>
      <c r="AN214" t="str">
        <f t="shared" si="38"/>
        <v>Phones</v>
      </c>
      <c r="AO214" t="str">
        <f t="shared" si="49"/>
        <v>Same Day</v>
      </c>
      <c r="AP214" t="str">
        <f t="shared" si="50"/>
        <v>Paid</v>
      </c>
      <c r="AQ214" t="str">
        <f t="shared" si="50"/>
        <v>Completed</v>
      </c>
    </row>
    <row r="215" spans="1:43">
      <c r="A215" t="s">
        <v>907</v>
      </c>
      <c r="B215" s="3">
        <v>45427</v>
      </c>
      <c r="C215" s="3" t="s">
        <v>908</v>
      </c>
      <c r="D215" t="s">
        <v>909</v>
      </c>
      <c r="E215" t="s">
        <v>132</v>
      </c>
      <c r="F215" t="s">
        <v>122</v>
      </c>
      <c r="G215" t="s">
        <v>123</v>
      </c>
      <c r="H215" t="s">
        <v>237</v>
      </c>
      <c r="I215" t="s">
        <v>238</v>
      </c>
      <c r="J215" t="s">
        <v>160</v>
      </c>
      <c r="K215" t="s">
        <v>161</v>
      </c>
      <c r="L215" t="s">
        <v>910</v>
      </c>
      <c r="M215" t="s">
        <v>116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117</v>
      </c>
      <c r="U215" t="s">
        <v>118</v>
      </c>
      <c r="V215" s="2">
        <f t="shared" si="40"/>
        <v>0.2</v>
      </c>
      <c r="W215" s="2">
        <f t="shared" si="41"/>
        <v>13864.735999999999</v>
      </c>
      <c r="X215" s="2">
        <f>W215-R215</f>
        <v>2570.6759999999995</v>
      </c>
      <c r="Y215" s="2">
        <f t="shared" si="42"/>
        <v>0.18541110339208763</v>
      </c>
      <c r="Z215" s="2" t="str">
        <f t="shared" si="43"/>
        <v/>
      </c>
      <c r="AA215" s="2">
        <f t="shared" si="44"/>
        <v>5</v>
      </c>
      <c r="AB215" s="2">
        <f t="shared" si="45"/>
        <v>2024</v>
      </c>
      <c r="AC215" s="2" t="str">
        <f t="shared" si="46"/>
        <v>Text Value Not Recognized as Date</v>
      </c>
      <c r="AD215" s="2">
        <f t="shared" si="47"/>
        <v>0</v>
      </c>
      <c r="AE215" s="2">
        <f t="shared" si="48"/>
        <v>0</v>
      </c>
      <c r="AH215" t="str">
        <f t="shared" si="52"/>
        <v>Isha Nair</v>
      </c>
      <c r="AI215" t="str">
        <f t="shared" si="52"/>
        <v>Small Business</v>
      </c>
      <c r="AJ215" t="str">
        <f t="shared" si="52"/>
        <v>East</v>
      </c>
      <c r="AK215" t="str">
        <f t="shared" si="52"/>
        <v>Bihar</v>
      </c>
      <c r="AL215" t="str">
        <f t="shared" si="52"/>
        <v>Patna</v>
      </c>
      <c r="AM215" t="str">
        <f t="shared" si="51"/>
        <v>Technology</v>
      </c>
      <c r="AN215" t="str">
        <f t="shared" si="38"/>
        <v>Accessories</v>
      </c>
      <c r="AO215" t="str">
        <f t="shared" si="49"/>
        <v>Second Class</v>
      </c>
      <c r="AP215" t="str">
        <f t="shared" si="50"/>
        <v>Paid</v>
      </c>
      <c r="AQ215" t="str">
        <f t="shared" si="50"/>
        <v>Completed</v>
      </c>
    </row>
    <row r="216" spans="1:43">
      <c r="A216" t="s">
        <v>911</v>
      </c>
      <c r="B216" s="3">
        <v>45368</v>
      </c>
      <c r="C216" s="3" t="s">
        <v>912</v>
      </c>
      <c r="D216" t="s">
        <v>913</v>
      </c>
      <c r="E216" t="s">
        <v>207</v>
      </c>
      <c r="F216" t="s">
        <v>109</v>
      </c>
      <c r="G216" t="s">
        <v>110</v>
      </c>
      <c r="H216" t="s">
        <v>344</v>
      </c>
      <c r="I216" t="s">
        <v>345</v>
      </c>
      <c r="J216" t="s">
        <v>160</v>
      </c>
      <c r="K216" t="s">
        <v>161</v>
      </c>
      <c r="L216" t="s">
        <v>914</v>
      </c>
      <c r="M216" t="s">
        <v>135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117</v>
      </c>
      <c r="U216" t="s">
        <v>118</v>
      </c>
      <c r="V216" s="2">
        <f t="shared" si="40"/>
        <v>0.05</v>
      </c>
      <c r="W216" s="2">
        <f t="shared" si="41"/>
        <v>707.31299999999999</v>
      </c>
      <c r="X216" s="2">
        <f>W216-R216</f>
        <v>138.31299999999999</v>
      </c>
      <c r="Y216" s="2">
        <f t="shared" si="42"/>
        <v>0.19554709159876885</v>
      </c>
      <c r="Z216" s="2" t="str">
        <f t="shared" si="43"/>
        <v/>
      </c>
      <c r="AA216" s="2">
        <f t="shared" si="44"/>
        <v>3</v>
      </c>
      <c r="AB216" s="2">
        <f t="shared" si="45"/>
        <v>2024</v>
      </c>
      <c r="AC216" s="2" t="str">
        <f t="shared" si="46"/>
        <v>Text Value Not Recognized as Date</v>
      </c>
      <c r="AD216" s="2">
        <f t="shared" si="47"/>
        <v>0</v>
      </c>
      <c r="AE216" s="2">
        <f t="shared" si="48"/>
        <v>0</v>
      </c>
      <c r="AH216" t="str">
        <f t="shared" si="52"/>
        <v>Rahul Verma</v>
      </c>
      <c r="AI216" t="str">
        <f t="shared" si="52"/>
        <v>Consumer</v>
      </c>
      <c r="AJ216" t="str">
        <f t="shared" si="52"/>
        <v>North</v>
      </c>
      <c r="AK216" t="str">
        <f t="shared" si="52"/>
        <v>Haryana</v>
      </c>
      <c r="AL216" t="str">
        <f t="shared" si="52"/>
        <v>Gurugram</v>
      </c>
      <c r="AM216" t="str">
        <f t="shared" si="51"/>
        <v>Technology</v>
      </c>
      <c r="AN216" t="str">
        <f t="shared" si="38"/>
        <v>Accessories</v>
      </c>
      <c r="AO216" t="str">
        <f t="shared" si="49"/>
        <v>First Class</v>
      </c>
      <c r="AP216" t="str">
        <f t="shared" si="50"/>
        <v>Paid</v>
      </c>
      <c r="AQ216" t="str">
        <f t="shared" si="50"/>
        <v>Completed</v>
      </c>
    </row>
    <row r="217" spans="1:43">
      <c r="A217" t="s">
        <v>915</v>
      </c>
      <c r="B217" s="3">
        <v>45294</v>
      </c>
      <c r="C217" s="3">
        <v>45355</v>
      </c>
      <c r="D217" t="s">
        <v>916</v>
      </c>
      <c r="E217" t="s">
        <v>121</v>
      </c>
      <c r="F217" t="s">
        <v>109</v>
      </c>
      <c r="G217" t="s">
        <v>149</v>
      </c>
      <c r="H217" t="s">
        <v>158</v>
      </c>
      <c r="I217" t="s">
        <v>159</v>
      </c>
      <c r="J217" t="s">
        <v>113</v>
      </c>
      <c r="K217" t="s">
        <v>114</v>
      </c>
      <c r="L217" t="s">
        <v>917</v>
      </c>
      <c r="M217" t="s">
        <v>135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117</v>
      </c>
      <c r="U217" t="s">
        <v>118</v>
      </c>
      <c r="V217" s="2">
        <f t="shared" si="40"/>
        <v>0.25</v>
      </c>
      <c r="W217" s="2">
        <f t="shared" si="41"/>
        <v>19214.400000000001</v>
      </c>
      <c r="X217" s="2">
        <f>W217-R217</f>
        <v>8298.3900000000012</v>
      </c>
      <c r="Y217" s="2">
        <f t="shared" si="42"/>
        <v>0.43188389957531853</v>
      </c>
      <c r="Z217" s="2">
        <f t="shared" si="43"/>
        <v>61</v>
      </c>
      <c r="AA217" s="2">
        <f t="shared" si="44"/>
        <v>1</v>
      </c>
      <c r="AB217" s="2">
        <f t="shared" si="45"/>
        <v>2024</v>
      </c>
      <c r="AC217" s="2" t="str">
        <f t="shared" si="46"/>
        <v>Valid</v>
      </c>
      <c r="AD217" s="2">
        <f t="shared" si="47"/>
        <v>0</v>
      </c>
      <c r="AE217" s="2">
        <f t="shared" si="48"/>
        <v>0</v>
      </c>
      <c r="AH217" t="str">
        <f t="shared" si="52"/>
        <v>Mira Das</v>
      </c>
      <c r="AI217" t="str">
        <f t="shared" si="52"/>
        <v>Consumer</v>
      </c>
      <c r="AJ217" t="str">
        <f t="shared" si="52"/>
        <v>West</v>
      </c>
      <c r="AK217" t="str">
        <f t="shared" si="52"/>
        <v>Madhya Pradesh</v>
      </c>
      <c r="AL217" t="str">
        <f t="shared" si="52"/>
        <v>Indore</v>
      </c>
      <c r="AM217" t="str">
        <f t="shared" si="51"/>
        <v>Office Supplies</v>
      </c>
      <c r="AN217" t="str">
        <f t="shared" si="38"/>
        <v>Paper</v>
      </c>
      <c r="AO217" t="str">
        <f t="shared" si="49"/>
        <v>First Class</v>
      </c>
      <c r="AP217" t="str">
        <f t="shared" si="50"/>
        <v>Paid</v>
      </c>
      <c r="AQ217" t="str">
        <f t="shared" si="50"/>
        <v>Completed</v>
      </c>
    </row>
    <row r="218" spans="1:43">
      <c r="A218" t="s">
        <v>918</v>
      </c>
      <c r="B218" s="3">
        <v>45757</v>
      </c>
      <c r="C218" s="3">
        <v>45762</v>
      </c>
      <c r="D218" t="s">
        <v>919</v>
      </c>
      <c r="E218" t="s">
        <v>132</v>
      </c>
      <c r="F218" t="s">
        <v>109</v>
      </c>
      <c r="G218" t="s">
        <v>149</v>
      </c>
      <c r="H218" t="s">
        <v>276</v>
      </c>
      <c r="I218" t="s">
        <v>277</v>
      </c>
      <c r="J218" t="s">
        <v>126</v>
      </c>
      <c r="K218" t="s">
        <v>127</v>
      </c>
      <c r="L218" t="s">
        <v>920</v>
      </c>
      <c r="M218" t="s">
        <v>145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248</v>
      </c>
      <c r="U218" t="s">
        <v>190</v>
      </c>
      <c r="V218" s="2">
        <f t="shared" si="40"/>
        <v>0.25</v>
      </c>
      <c r="W218" s="2">
        <f t="shared" si="41"/>
        <v>11039.22</v>
      </c>
      <c r="X218" s="2">
        <f>W218-R218</f>
        <v>3396.3099999999995</v>
      </c>
      <c r="Y218" s="2">
        <f t="shared" si="42"/>
        <v>0.30765851210502188</v>
      </c>
      <c r="Z218" s="2">
        <f t="shared" si="43"/>
        <v>5</v>
      </c>
      <c r="AA218" s="2">
        <f t="shared" si="44"/>
        <v>4</v>
      </c>
      <c r="AB218" s="2">
        <f t="shared" si="45"/>
        <v>2025</v>
      </c>
      <c r="AC218" s="2" t="str">
        <f t="shared" si="46"/>
        <v>Valid</v>
      </c>
      <c r="AD218" s="2">
        <f t="shared" si="47"/>
        <v>0</v>
      </c>
      <c r="AE218" s="2">
        <f t="shared" si="48"/>
        <v>0</v>
      </c>
      <c r="AH218" t="str">
        <f t="shared" si="52"/>
        <v>Isha Nair</v>
      </c>
      <c r="AI218" t="str">
        <f t="shared" si="52"/>
        <v>Consumer</v>
      </c>
      <c r="AJ218" t="str">
        <f t="shared" si="52"/>
        <v>West</v>
      </c>
      <c r="AK218" t="str">
        <f t="shared" si="52"/>
        <v>Gujarat</v>
      </c>
      <c r="AL218" t="str">
        <f t="shared" si="52"/>
        <v>Ahmedabad</v>
      </c>
      <c r="AM218" t="str">
        <f t="shared" si="51"/>
        <v>Furniture</v>
      </c>
      <c r="AN218" t="str">
        <f t="shared" si="38"/>
        <v>Tables</v>
      </c>
      <c r="AO218" t="str">
        <f t="shared" si="49"/>
        <v>Standard Class</v>
      </c>
      <c r="AP218" t="str">
        <f t="shared" si="50"/>
        <v>Failed</v>
      </c>
      <c r="AQ218" t="str">
        <f t="shared" si="50"/>
        <v>Returned</v>
      </c>
    </row>
    <row r="219" spans="1:43">
      <c r="A219" t="s">
        <v>921</v>
      </c>
      <c r="B219" s="3">
        <v>45661</v>
      </c>
      <c r="C219" s="3">
        <v>45755</v>
      </c>
      <c r="D219" t="s">
        <v>922</v>
      </c>
      <c r="E219" t="s">
        <v>176</v>
      </c>
      <c r="F219" t="s">
        <v>109</v>
      </c>
      <c r="G219" t="s">
        <v>123</v>
      </c>
      <c r="H219" t="s">
        <v>124</v>
      </c>
      <c r="I219" t="s">
        <v>125</v>
      </c>
      <c r="J219" t="s">
        <v>126</v>
      </c>
      <c r="K219" t="s">
        <v>252</v>
      </c>
      <c r="L219" t="s">
        <v>923</v>
      </c>
      <c r="M219" t="s">
        <v>116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189</v>
      </c>
      <c r="U219" t="s">
        <v>44</v>
      </c>
      <c r="V219" s="2">
        <f t="shared" si="40"/>
        <v>0.1</v>
      </c>
      <c r="W219" s="2">
        <f t="shared" si="41"/>
        <v>4595.76</v>
      </c>
      <c r="X219" s="2">
        <f>W219-R219</f>
        <v>1198.96</v>
      </c>
      <c r="Y219" s="2">
        <f t="shared" si="42"/>
        <v>0.26088394520166414</v>
      </c>
      <c r="Z219" s="2">
        <f t="shared" si="43"/>
        <v>94</v>
      </c>
      <c r="AA219" s="2">
        <f t="shared" si="44"/>
        <v>1</v>
      </c>
      <c r="AB219" s="2">
        <f t="shared" si="45"/>
        <v>2025</v>
      </c>
      <c r="AC219" s="2" t="str">
        <f t="shared" si="46"/>
        <v>Valid</v>
      </c>
      <c r="AD219" s="2">
        <f t="shared" si="47"/>
        <v>0</v>
      </c>
      <c r="AE219" s="2">
        <f t="shared" si="48"/>
        <v>0</v>
      </c>
      <c r="AH219" t="str">
        <f t="shared" si="52"/>
        <v>Aditi Sen</v>
      </c>
      <c r="AI219" t="str">
        <f t="shared" si="52"/>
        <v>Consumer</v>
      </c>
      <c r="AJ219" t="str">
        <f t="shared" si="52"/>
        <v>East</v>
      </c>
      <c r="AK219" t="str">
        <f t="shared" si="52"/>
        <v>Odisha</v>
      </c>
      <c r="AL219" t="str">
        <f t="shared" si="52"/>
        <v>Bhubaneswar</v>
      </c>
      <c r="AM219" t="str">
        <f t="shared" si="51"/>
        <v>Furniture</v>
      </c>
      <c r="AN219" t="str">
        <f t="shared" si="38"/>
        <v>Bookcases</v>
      </c>
      <c r="AO219" t="str">
        <f t="shared" si="49"/>
        <v>Second Class</v>
      </c>
      <c r="AP219" t="str">
        <f t="shared" si="50"/>
        <v>Refunded</v>
      </c>
      <c r="AQ219" t="str">
        <f t="shared" si="50"/>
        <v>Cancelled</v>
      </c>
    </row>
    <row r="220" spans="1:43">
      <c r="A220" t="s">
        <v>924</v>
      </c>
      <c r="B220" s="3">
        <v>45714</v>
      </c>
      <c r="C220" s="3" t="s">
        <v>925</v>
      </c>
      <c r="D220" t="s">
        <v>926</v>
      </c>
      <c r="E220" t="s">
        <v>203</v>
      </c>
      <c r="F220" t="s">
        <v>177</v>
      </c>
      <c r="G220" t="s">
        <v>149</v>
      </c>
      <c r="H220" t="s">
        <v>276</v>
      </c>
      <c r="I220" t="s">
        <v>277</v>
      </c>
      <c r="J220" t="s">
        <v>126</v>
      </c>
      <c r="K220" t="s">
        <v>252</v>
      </c>
      <c r="L220" t="s">
        <v>927</v>
      </c>
      <c r="M220" t="s">
        <v>145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117</v>
      </c>
      <c r="U220" t="s">
        <v>118</v>
      </c>
      <c r="V220" s="2">
        <f t="shared" si="40"/>
        <v>0</v>
      </c>
      <c r="W220" s="2">
        <f t="shared" si="41"/>
        <v>1291.3999999999999</v>
      </c>
      <c r="X220" s="2">
        <f>W220-R220</f>
        <v>534.46999999999991</v>
      </c>
      <c r="Y220" s="2">
        <f t="shared" si="42"/>
        <v>0.41386866966083319</v>
      </c>
      <c r="Z220" s="2" t="str">
        <f t="shared" si="43"/>
        <v/>
      </c>
      <c r="AA220" s="2">
        <f t="shared" si="44"/>
        <v>2</v>
      </c>
      <c r="AB220" s="2">
        <f t="shared" si="45"/>
        <v>2025</v>
      </c>
      <c r="AC220" s="2" t="str">
        <f t="shared" si="46"/>
        <v>Text Value Not Recognized as Date</v>
      </c>
      <c r="AD220" s="2">
        <f t="shared" si="47"/>
        <v>0</v>
      </c>
      <c r="AE220" s="2">
        <f t="shared" si="48"/>
        <v>0</v>
      </c>
      <c r="AH220" t="str">
        <f t="shared" si="52"/>
        <v>Priya Menon</v>
      </c>
      <c r="AI220" t="str">
        <f t="shared" si="52"/>
        <v>Corporate</v>
      </c>
      <c r="AJ220" t="str">
        <f t="shared" si="52"/>
        <v>West</v>
      </c>
      <c r="AK220" t="str">
        <f t="shared" si="52"/>
        <v>Gujarat</v>
      </c>
      <c r="AL220" t="str">
        <f t="shared" si="52"/>
        <v>Ahmedabad</v>
      </c>
      <c r="AM220" t="str">
        <f t="shared" si="51"/>
        <v>Furniture</v>
      </c>
      <c r="AN220" t="str">
        <f t="shared" si="38"/>
        <v>Bookcases</v>
      </c>
      <c r="AO220" t="str">
        <f t="shared" si="49"/>
        <v>Standard Class</v>
      </c>
      <c r="AP220" t="str">
        <f t="shared" si="50"/>
        <v>Paid</v>
      </c>
      <c r="AQ220" t="str">
        <f t="shared" si="50"/>
        <v>Completed</v>
      </c>
    </row>
    <row r="221" spans="1:43">
      <c r="A221" t="s">
        <v>928</v>
      </c>
      <c r="B221" s="3">
        <v>45461</v>
      </c>
      <c r="C221" s="3">
        <v>45462</v>
      </c>
      <c r="D221" t="s">
        <v>929</v>
      </c>
      <c r="E221" t="s">
        <v>207</v>
      </c>
      <c r="F221" t="s">
        <v>109</v>
      </c>
      <c r="G221" t="s">
        <v>123</v>
      </c>
      <c r="H221" t="s">
        <v>237</v>
      </c>
      <c r="I221" t="s">
        <v>238</v>
      </c>
      <c r="J221" t="s">
        <v>160</v>
      </c>
      <c r="K221" t="s">
        <v>385</v>
      </c>
      <c r="L221" t="s">
        <v>930</v>
      </c>
      <c r="M221" t="s">
        <v>135</v>
      </c>
      <c r="N221">
        <v>2</v>
      </c>
      <c r="O221">
        <v>121.49</v>
      </c>
      <c r="P221" t="s">
        <v>931</v>
      </c>
      <c r="Q221">
        <v>242.98</v>
      </c>
      <c r="R221">
        <v>161.41999999999999</v>
      </c>
      <c r="S221">
        <v>81.56</v>
      </c>
      <c r="T221" t="s">
        <v>117</v>
      </c>
      <c r="U221" t="s">
        <v>118</v>
      </c>
      <c r="V221" s="2" t="str">
        <f t="shared" si="40"/>
        <v>85%</v>
      </c>
      <c r="W221" s="2">
        <f t="shared" si="41"/>
        <v>36.447000000000003</v>
      </c>
      <c r="X221" s="2">
        <f>W221-R221</f>
        <v>-124.97299999999998</v>
      </c>
      <c r="Y221" s="2">
        <f t="shared" si="42"/>
        <v>-3.4288967541910162</v>
      </c>
      <c r="Z221" s="2">
        <f t="shared" si="43"/>
        <v>1</v>
      </c>
      <c r="AA221" s="2">
        <f t="shared" si="44"/>
        <v>6</v>
      </c>
      <c r="AB221" s="2">
        <f t="shared" si="45"/>
        <v>2024</v>
      </c>
      <c r="AC221" s="2" t="str">
        <f t="shared" si="46"/>
        <v>Invalid</v>
      </c>
      <c r="AD221" s="2">
        <f t="shared" si="47"/>
        <v>1</v>
      </c>
      <c r="AE221" s="2">
        <f t="shared" si="48"/>
        <v>1</v>
      </c>
      <c r="AH221" t="str">
        <f t="shared" si="52"/>
        <v>Rahul Verma</v>
      </c>
      <c r="AI221" t="str">
        <f t="shared" si="52"/>
        <v>Consumer</v>
      </c>
      <c r="AJ221" t="str">
        <f t="shared" si="52"/>
        <v>East</v>
      </c>
      <c r="AK221" t="str">
        <f t="shared" si="52"/>
        <v>Bihar</v>
      </c>
      <c r="AL221" t="str">
        <f t="shared" si="52"/>
        <v>Patna</v>
      </c>
      <c r="AM221" t="str">
        <f t="shared" si="51"/>
        <v>Technology</v>
      </c>
      <c r="AN221" t="str">
        <f t="shared" si="38"/>
        <v>Machines</v>
      </c>
      <c r="AO221" t="str">
        <f t="shared" si="49"/>
        <v>First Class</v>
      </c>
      <c r="AP221" t="str">
        <f t="shared" si="50"/>
        <v>Paid</v>
      </c>
      <c r="AQ221" t="str">
        <f t="shared" si="50"/>
        <v>Completed</v>
      </c>
    </row>
    <row r="222" spans="1:43">
      <c r="A222" t="s">
        <v>932</v>
      </c>
      <c r="B222" s="3">
        <v>45538</v>
      </c>
      <c r="C222" s="3">
        <v>45538</v>
      </c>
      <c r="D222" t="s">
        <v>933</v>
      </c>
      <c r="E222" t="s">
        <v>222</v>
      </c>
      <c r="F222" t="s">
        <v>109</v>
      </c>
      <c r="G222" t="s">
        <v>140</v>
      </c>
      <c r="H222" t="s">
        <v>282</v>
      </c>
      <c r="I222" t="s">
        <v>283</v>
      </c>
      <c r="J222" t="s">
        <v>113</v>
      </c>
      <c r="K222" t="s">
        <v>213</v>
      </c>
      <c r="L222" t="s">
        <v>934</v>
      </c>
      <c r="M222" t="s">
        <v>135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189</v>
      </c>
      <c r="U222" t="s">
        <v>44</v>
      </c>
      <c r="V222" s="2">
        <f t="shared" si="40"/>
        <v>0.15</v>
      </c>
      <c r="W222" s="2">
        <f t="shared" si="41"/>
        <v>9554.5779999999995</v>
      </c>
      <c r="X222" s="2">
        <f>W222-R222</f>
        <v>3486.1079999999993</v>
      </c>
      <c r="Y222" s="2">
        <f t="shared" si="42"/>
        <v>0.36486258210462036</v>
      </c>
      <c r="Z222" s="2">
        <f t="shared" si="43"/>
        <v>0</v>
      </c>
      <c r="AA222" s="2">
        <f t="shared" si="44"/>
        <v>9</v>
      </c>
      <c r="AB222" s="2">
        <f t="shared" si="45"/>
        <v>2024</v>
      </c>
      <c r="AC222" s="2" t="str">
        <f t="shared" si="46"/>
        <v>Valid</v>
      </c>
      <c r="AD222" s="2">
        <f t="shared" si="47"/>
        <v>0</v>
      </c>
      <c r="AE222" s="2">
        <f t="shared" si="48"/>
        <v>0</v>
      </c>
      <c r="AH222" t="str">
        <f t="shared" si="52"/>
        <v>Sneha Kapoor</v>
      </c>
      <c r="AI222" t="str">
        <f t="shared" si="52"/>
        <v>Consumer</v>
      </c>
      <c r="AJ222" t="str">
        <f t="shared" si="52"/>
        <v>South</v>
      </c>
      <c r="AK222" t="str">
        <f t="shared" si="52"/>
        <v>Kerala</v>
      </c>
      <c r="AL222" t="str">
        <f t="shared" si="52"/>
        <v>Kochi</v>
      </c>
      <c r="AM222" t="str">
        <f t="shared" si="51"/>
        <v>Office Supplies</v>
      </c>
      <c r="AN222" t="str">
        <f t="shared" si="38"/>
        <v>Storage</v>
      </c>
      <c r="AO222" t="str">
        <f t="shared" si="49"/>
        <v>First Class</v>
      </c>
      <c r="AP222" t="str">
        <f t="shared" si="50"/>
        <v>Refunded</v>
      </c>
      <c r="AQ222" t="str">
        <f t="shared" si="50"/>
        <v>Cancelled</v>
      </c>
    </row>
    <row r="223" spans="1:43">
      <c r="A223" t="s">
        <v>935</v>
      </c>
      <c r="B223" s="3">
        <v>45992</v>
      </c>
      <c r="C223" s="3">
        <v>45672</v>
      </c>
      <c r="D223" t="s">
        <v>936</v>
      </c>
      <c r="E223" t="s">
        <v>121</v>
      </c>
      <c r="F223" t="s">
        <v>177</v>
      </c>
      <c r="G223" t="s">
        <v>140</v>
      </c>
      <c r="H223" t="s">
        <v>270</v>
      </c>
      <c r="I223" t="s">
        <v>271</v>
      </c>
      <c r="J223" t="s">
        <v>126</v>
      </c>
      <c r="K223" t="s">
        <v>152</v>
      </c>
      <c r="L223" t="s">
        <v>937</v>
      </c>
      <c r="M223" t="s">
        <v>129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117</v>
      </c>
      <c r="U223" t="s">
        <v>118</v>
      </c>
      <c r="V223" s="2">
        <f t="shared" si="40"/>
        <v>0.2</v>
      </c>
      <c r="W223" s="2">
        <f t="shared" si="41"/>
        <v>4900.8959999999997</v>
      </c>
      <c r="X223" s="2">
        <f>W223-R223</f>
        <v>1348.2059999999997</v>
      </c>
      <c r="Y223" s="2">
        <f t="shared" si="42"/>
        <v>0.27509377877024932</v>
      </c>
      <c r="Z223" s="2">
        <f t="shared" si="43"/>
        <v>-320</v>
      </c>
      <c r="AA223" s="2">
        <f t="shared" si="44"/>
        <v>12</v>
      </c>
      <c r="AB223" s="2">
        <f t="shared" si="45"/>
        <v>2025</v>
      </c>
      <c r="AC223" s="2" t="str">
        <f t="shared" si="46"/>
        <v>Invalid shipping record</v>
      </c>
      <c r="AD223" s="2">
        <f t="shared" si="47"/>
        <v>0</v>
      </c>
      <c r="AE223" s="2">
        <f t="shared" si="48"/>
        <v>0</v>
      </c>
      <c r="AH223" t="str">
        <f t="shared" si="52"/>
        <v>Mira Das</v>
      </c>
      <c r="AI223" t="str">
        <f t="shared" si="52"/>
        <v>Corporate</v>
      </c>
      <c r="AJ223" t="str">
        <f t="shared" si="52"/>
        <v>South</v>
      </c>
      <c r="AK223" t="str">
        <f t="shared" si="52"/>
        <v>Karnataka</v>
      </c>
      <c r="AL223" t="str">
        <f t="shared" si="52"/>
        <v>Bengaluru</v>
      </c>
      <c r="AM223" t="str">
        <f t="shared" si="51"/>
        <v>Furniture</v>
      </c>
      <c r="AN223" t="str">
        <f t="shared" si="38"/>
        <v>Chairs</v>
      </c>
      <c r="AO223" t="str">
        <f t="shared" si="49"/>
        <v>Same Day</v>
      </c>
      <c r="AP223" t="str">
        <f t="shared" si="50"/>
        <v>Paid</v>
      </c>
      <c r="AQ223" t="str">
        <f t="shared" si="50"/>
        <v>Completed</v>
      </c>
    </row>
    <row r="224" spans="1:43">
      <c r="A224" t="s">
        <v>938</v>
      </c>
      <c r="B224" s="3">
        <v>45776</v>
      </c>
      <c r="C224" s="3">
        <v>45779</v>
      </c>
      <c r="D224" t="s">
        <v>939</v>
      </c>
      <c r="E224" t="s">
        <v>157</v>
      </c>
      <c r="F224" t="s">
        <v>122</v>
      </c>
      <c r="G224" t="s">
        <v>149</v>
      </c>
      <c r="H224" t="s">
        <v>287</v>
      </c>
      <c r="I224" t="s">
        <v>288</v>
      </c>
      <c r="J224" t="s">
        <v>113</v>
      </c>
      <c r="K224" t="s">
        <v>213</v>
      </c>
      <c r="L224" t="s">
        <v>940</v>
      </c>
      <c r="M224" t="s">
        <v>135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117</v>
      </c>
      <c r="U224" t="s">
        <v>118</v>
      </c>
      <c r="V224" s="2">
        <f t="shared" si="40"/>
        <v>0</v>
      </c>
      <c r="W224" s="2">
        <f t="shared" si="41"/>
        <v>25848.54</v>
      </c>
      <c r="X224" s="2">
        <f>W224-R224</f>
        <v>8119.4500000000007</v>
      </c>
      <c r="Y224" s="2">
        <f t="shared" si="42"/>
        <v>0.31411638723115504</v>
      </c>
      <c r="Z224" s="2">
        <f t="shared" si="43"/>
        <v>3</v>
      </c>
      <c r="AA224" s="2">
        <f t="shared" si="44"/>
        <v>4</v>
      </c>
      <c r="AB224" s="2">
        <f t="shared" si="45"/>
        <v>2025</v>
      </c>
      <c r="AC224" s="2" t="str">
        <f t="shared" si="46"/>
        <v>Valid</v>
      </c>
      <c r="AD224" s="2">
        <f t="shared" si="47"/>
        <v>0</v>
      </c>
      <c r="AE224" s="2">
        <f t="shared" si="48"/>
        <v>0</v>
      </c>
      <c r="AH224" t="str">
        <f t="shared" si="52"/>
        <v>Vikram Iyer</v>
      </c>
      <c r="AI224" t="str">
        <f t="shared" si="52"/>
        <v>Small Business</v>
      </c>
      <c r="AJ224" t="str">
        <f t="shared" si="52"/>
        <v>West</v>
      </c>
      <c r="AK224" t="str">
        <f t="shared" si="52"/>
        <v>Goa</v>
      </c>
      <c r="AL224" t="str">
        <f t="shared" si="52"/>
        <v>Panaji</v>
      </c>
      <c r="AM224" t="str">
        <f t="shared" si="51"/>
        <v>Office Supplies</v>
      </c>
      <c r="AN224" t="str">
        <f t="shared" si="38"/>
        <v>Storage</v>
      </c>
      <c r="AO224" t="str">
        <f t="shared" si="49"/>
        <v>First Class</v>
      </c>
      <c r="AP224" t="str">
        <f t="shared" si="50"/>
        <v>Paid</v>
      </c>
      <c r="AQ224" t="str">
        <f t="shared" si="50"/>
        <v>Completed</v>
      </c>
    </row>
    <row r="225" spans="1:43">
      <c r="A225" t="s">
        <v>941</v>
      </c>
      <c r="B225" s="3" t="s">
        <v>942</v>
      </c>
      <c r="C225" s="3">
        <v>45714</v>
      </c>
      <c r="D225" t="s">
        <v>943</v>
      </c>
      <c r="E225" t="s">
        <v>121</v>
      </c>
      <c r="F225" t="s">
        <v>177</v>
      </c>
      <c r="G225" t="s">
        <v>149</v>
      </c>
      <c r="H225" t="s">
        <v>150</v>
      </c>
      <c r="I225" t="s">
        <v>151</v>
      </c>
      <c r="J225" t="s">
        <v>126</v>
      </c>
      <c r="K225" t="s">
        <v>143</v>
      </c>
      <c r="L225" t="s">
        <v>944</v>
      </c>
      <c r="M225" t="s">
        <v>135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199</v>
      </c>
      <c r="U225" t="s">
        <v>190</v>
      </c>
      <c r="V225" s="2">
        <f t="shared" si="40"/>
        <v>0.2</v>
      </c>
      <c r="W225" s="2">
        <f t="shared" si="41"/>
        <v>1176.72</v>
      </c>
      <c r="X225" s="2">
        <f>W225-R225</f>
        <v>522.39</v>
      </c>
      <c r="Y225" s="2">
        <f t="shared" si="42"/>
        <v>0.44393738527432181</v>
      </c>
      <c r="Z225" s="2" t="str">
        <f t="shared" si="43"/>
        <v/>
      </c>
      <c r="AA225" s="2" t="e">
        <f t="shared" si="44"/>
        <v>#VALUE!</v>
      </c>
      <c r="AB225" s="2" t="e">
        <f t="shared" si="45"/>
        <v>#VALUE!</v>
      </c>
      <c r="AC225" s="2" t="str">
        <f t="shared" si="46"/>
        <v>Text Value Not Recognized as Date</v>
      </c>
      <c r="AD225" s="2">
        <f t="shared" si="47"/>
        <v>0</v>
      </c>
      <c r="AE225" s="2">
        <f t="shared" si="48"/>
        <v>0</v>
      </c>
      <c r="AH225" t="str">
        <f t="shared" si="52"/>
        <v>Mira Das</v>
      </c>
      <c r="AI225" t="str">
        <f t="shared" si="52"/>
        <v>Corporate</v>
      </c>
      <c r="AJ225" t="str">
        <f t="shared" si="52"/>
        <v>West</v>
      </c>
      <c r="AK225" t="str">
        <f t="shared" si="52"/>
        <v>Maharashtra</v>
      </c>
      <c r="AL225" t="str">
        <f t="shared" si="52"/>
        <v>Mumbai</v>
      </c>
      <c r="AM225" t="str">
        <f t="shared" si="51"/>
        <v>Furniture</v>
      </c>
      <c r="AN225" t="str">
        <f t="shared" si="38"/>
        <v>Furnishings</v>
      </c>
      <c r="AO225" t="str">
        <f t="shared" si="49"/>
        <v>First Class</v>
      </c>
      <c r="AP225" t="str">
        <f t="shared" si="50"/>
        <v>Pending</v>
      </c>
      <c r="AQ225" t="str">
        <f t="shared" si="50"/>
        <v>Returned</v>
      </c>
    </row>
    <row r="226" spans="1:43">
      <c r="A226" t="s">
        <v>945</v>
      </c>
      <c r="B226" s="3">
        <v>45932</v>
      </c>
      <c r="C226" s="3">
        <v>45938</v>
      </c>
      <c r="D226" t="s">
        <v>946</v>
      </c>
      <c r="E226" t="s">
        <v>132</v>
      </c>
      <c r="F226" t="s">
        <v>122</v>
      </c>
      <c r="G226" t="s">
        <v>110</v>
      </c>
      <c r="H226" t="s">
        <v>211</v>
      </c>
      <c r="I226" t="s">
        <v>212</v>
      </c>
      <c r="J226" t="s">
        <v>126</v>
      </c>
      <c r="K226" t="s">
        <v>143</v>
      </c>
      <c r="L226" t="s">
        <v>947</v>
      </c>
      <c r="M226" t="s">
        <v>145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117</v>
      </c>
      <c r="U226" t="s">
        <v>44</v>
      </c>
      <c r="V226" s="2">
        <f t="shared" si="40"/>
        <v>0.25</v>
      </c>
      <c r="W226" s="2">
        <f t="shared" si="41"/>
        <v>11833.92</v>
      </c>
      <c r="X226" s="2">
        <f>W226-R226</f>
        <v>5151</v>
      </c>
      <c r="Y226" s="2">
        <f t="shared" si="42"/>
        <v>0.43527419485681834</v>
      </c>
      <c r="Z226" s="2">
        <f t="shared" si="43"/>
        <v>6</v>
      </c>
      <c r="AA226" s="2">
        <f t="shared" si="44"/>
        <v>10</v>
      </c>
      <c r="AB226" s="2">
        <f t="shared" si="45"/>
        <v>2025</v>
      </c>
      <c r="AC226" s="2" t="str">
        <f t="shared" si="46"/>
        <v>Conflicting Duplicate Order ID</v>
      </c>
      <c r="AD226" s="2">
        <f t="shared" si="47"/>
        <v>0</v>
      </c>
      <c r="AE226" s="2">
        <f t="shared" si="48"/>
        <v>0</v>
      </c>
      <c r="AH226" t="str">
        <f t="shared" si="52"/>
        <v>Isha Nair</v>
      </c>
      <c r="AI226" t="str">
        <f t="shared" si="52"/>
        <v>Small Business</v>
      </c>
      <c r="AJ226" t="str">
        <f t="shared" si="52"/>
        <v>North</v>
      </c>
      <c r="AK226" t="str">
        <f t="shared" si="52"/>
        <v>Punjab</v>
      </c>
      <c r="AL226" t="str">
        <f t="shared" si="52"/>
        <v>Ludhiana</v>
      </c>
      <c r="AM226" t="str">
        <f t="shared" si="51"/>
        <v>Furniture</v>
      </c>
      <c r="AN226" t="str">
        <f t="shared" si="38"/>
        <v>Furnishings</v>
      </c>
      <c r="AO226" t="str">
        <f t="shared" si="49"/>
        <v>Standard Class</v>
      </c>
      <c r="AP226" t="str">
        <f t="shared" si="50"/>
        <v>Paid</v>
      </c>
      <c r="AQ226" t="str">
        <f t="shared" si="50"/>
        <v>Cancelled</v>
      </c>
    </row>
    <row r="227" spans="1:43">
      <c r="A227" t="s">
        <v>948</v>
      </c>
      <c r="B227" s="3">
        <v>45537</v>
      </c>
      <c r="C227" s="3">
        <v>45545</v>
      </c>
      <c r="D227" t="s">
        <v>949</v>
      </c>
      <c r="E227" t="s">
        <v>121</v>
      </c>
      <c r="F227" t="s">
        <v>177</v>
      </c>
      <c r="G227" t="s">
        <v>149</v>
      </c>
      <c r="H227" t="s">
        <v>287</v>
      </c>
      <c r="I227" t="s">
        <v>288</v>
      </c>
      <c r="J227" t="s">
        <v>160</v>
      </c>
      <c r="K227" t="s">
        <v>266</v>
      </c>
      <c r="L227" t="s">
        <v>950</v>
      </c>
      <c r="M227" t="s">
        <v>145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117</v>
      </c>
      <c r="U227" t="s">
        <v>118</v>
      </c>
      <c r="V227" s="2">
        <f t="shared" si="40"/>
        <v>0.15</v>
      </c>
      <c r="W227" s="2">
        <f t="shared" si="41"/>
        <v>5265.5969999999998</v>
      </c>
      <c r="X227" s="2">
        <f>W227-R227</f>
        <v>972.48700000000008</v>
      </c>
      <c r="Y227" s="2">
        <f t="shared" si="42"/>
        <v>0.18468694053114967</v>
      </c>
      <c r="Z227" s="2">
        <f t="shared" si="43"/>
        <v>8</v>
      </c>
      <c r="AA227" s="2">
        <f t="shared" si="44"/>
        <v>9</v>
      </c>
      <c r="AB227" s="2">
        <f t="shared" si="45"/>
        <v>2024</v>
      </c>
      <c r="AC227" s="2" t="str">
        <f t="shared" si="46"/>
        <v>Valid</v>
      </c>
      <c r="AD227" s="2">
        <f t="shared" si="47"/>
        <v>0</v>
      </c>
      <c r="AE227" s="2">
        <f t="shared" si="48"/>
        <v>1</v>
      </c>
      <c r="AH227" t="str">
        <f t="shared" si="52"/>
        <v>Mira Das</v>
      </c>
      <c r="AI227" t="str">
        <f t="shared" si="52"/>
        <v>Corporate</v>
      </c>
      <c r="AJ227" t="str">
        <f t="shared" si="52"/>
        <v>West</v>
      </c>
      <c r="AK227" t="str">
        <f t="shared" si="52"/>
        <v>Goa</v>
      </c>
      <c r="AL227" t="str">
        <f t="shared" si="52"/>
        <v>Panaji</v>
      </c>
      <c r="AM227" t="str">
        <f t="shared" si="51"/>
        <v>Technology</v>
      </c>
      <c r="AN227" t="str">
        <f t="shared" si="38"/>
        <v>Phones</v>
      </c>
      <c r="AO227" t="str">
        <f t="shared" si="49"/>
        <v>Standard Class</v>
      </c>
      <c r="AP227" t="str">
        <f t="shared" si="50"/>
        <v>Paid</v>
      </c>
      <c r="AQ227" t="str">
        <f t="shared" si="50"/>
        <v>Completed</v>
      </c>
    </row>
    <row r="228" spans="1:43">
      <c r="A228" t="s">
        <v>951</v>
      </c>
      <c r="B228" s="3">
        <v>45934</v>
      </c>
      <c r="C228" s="3">
        <v>45762</v>
      </c>
      <c r="D228" t="s">
        <v>952</v>
      </c>
      <c r="E228" t="s">
        <v>256</v>
      </c>
      <c r="F228" t="s">
        <v>182</v>
      </c>
      <c r="H228" t="s">
        <v>282</v>
      </c>
      <c r="I228" t="s">
        <v>283</v>
      </c>
      <c r="J228" t="s">
        <v>160</v>
      </c>
      <c r="K228" t="s">
        <v>166</v>
      </c>
      <c r="L228" t="s">
        <v>953</v>
      </c>
      <c r="M228" t="s">
        <v>129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117</v>
      </c>
      <c r="U228" t="s">
        <v>118</v>
      </c>
      <c r="V228" s="2">
        <f t="shared" si="40"/>
        <v>0.1</v>
      </c>
      <c r="W228" s="2">
        <f t="shared" si="41"/>
        <v>1987.443</v>
      </c>
      <c r="X228" s="2">
        <f>W228-R228</f>
        <v>877.21299999999997</v>
      </c>
      <c r="Y228" s="2">
        <f t="shared" si="42"/>
        <v>0.44137768982556985</v>
      </c>
      <c r="Z228" s="2">
        <f t="shared" si="43"/>
        <v>-172</v>
      </c>
      <c r="AA228" s="2">
        <f t="shared" si="44"/>
        <v>10</v>
      </c>
      <c r="AB228" s="2">
        <f t="shared" si="45"/>
        <v>2025</v>
      </c>
      <c r="AC228" s="2" t="str">
        <f t="shared" si="46"/>
        <v>Missing region</v>
      </c>
      <c r="AD228" s="2">
        <f t="shared" si="47"/>
        <v>0</v>
      </c>
      <c r="AE228" s="2">
        <f t="shared" si="48"/>
        <v>0</v>
      </c>
      <c r="AH228" t="str">
        <f t="shared" si="52"/>
        <v>Diya Patel</v>
      </c>
      <c r="AI228" t="str">
        <f t="shared" si="52"/>
        <v>Home Office</v>
      </c>
      <c r="AJ228" t="s">
        <v>306</v>
      </c>
      <c r="AK228" t="str">
        <f t="shared" si="52"/>
        <v>Kerala</v>
      </c>
      <c r="AL228" t="str">
        <f t="shared" si="52"/>
        <v>Kochi</v>
      </c>
      <c r="AM228" t="str">
        <f t="shared" si="51"/>
        <v>Technology</v>
      </c>
      <c r="AN228" t="str">
        <f t="shared" si="38"/>
        <v>Copiers</v>
      </c>
      <c r="AO228" t="str">
        <f t="shared" si="49"/>
        <v>Same Day</v>
      </c>
      <c r="AP228" t="str">
        <f t="shared" si="50"/>
        <v>Paid</v>
      </c>
      <c r="AQ228" t="str">
        <f t="shared" si="50"/>
        <v>Completed</v>
      </c>
    </row>
    <row r="229" spans="1:43">
      <c r="A229" t="s">
        <v>954</v>
      </c>
      <c r="B229" s="3">
        <v>45478</v>
      </c>
      <c r="C229" s="3">
        <v>45485</v>
      </c>
      <c r="D229" t="s">
        <v>955</v>
      </c>
      <c r="E229" t="s">
        <v>148</v>
      </c>
      <c r="F229" t="s">
        <v>956</v>
      </c>
      <c r="G229" t="s">
        <v>149</v>
      </c>
      <c r="H229" t="s">
        <v>287</v>
      </c>
      <c r="I229" t="s">
        <v>288</v>
      </c>
      <c r="J229" t="s">
        <v>113</v>
      </c>
      <c r="K229" t="s">
        <v>246</v>
      </c>
      <c r="L229" t="s">
        <v>957</v>
      </c>
      <c r="M229" t="s">
        <v>135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117</v>
      </c>
      <c r="U229" t="s">
        <v>118</v>
      </c>
      <c r="V229" s="2">
        <f t="shared" si="40"/>
        <v>0.15</v>
      </c>
      <c r="W229" s="2">
        <f t="shared" si="41"/>
        <v>1473.2625</v>
      </c>
      <c r="X229" s="2">
        <f>W229-R229</f>
        <v>573.40250000000003</v>
      </c>
      <c r="Y229" s="2">
        <f t="shared" si="42"/>
        <v>0.38920592901808065</v>
      </c>
      <c r="Z229" s="2">
        <f t="shared" si="43"/>
        <v>7</v>
      </c>
      <c r="AA229" s="2">
        <f t="shared" si="44"/>
        <v>7</v>
      </c>
      <c r="AB229" s="2">
        <f t="shared" si="45"/>
        <v>2024</v>
      </c>
      <c r="AC229" s="2" t="str">
        <f t="shared" si="46"/>
        <v>Valid</v>
      </c>
      <c r="AD229" s="2">
        <f t="shared" si="47"/>
        <v>0</v>
      </c>
      <c r="AE229" s="2">
        <f t="shared" si="48"/>
        <v>0</v>
      </c>
      <c r="AH229" t="str">
        <f t="shared" si="52"/>
        <v>Ananya Rao</v>
      </c>
      <c r="AI229" t="str">
        <f t="shared" si="52"/>
        <v>Small Business</v>
      </c>
      <c r="AJ229" t="str">
        <f t="shared" si="52"/>
        <v>West</v>
      </c>
      <c r="AK229" t="str">
        <f t="shared" si="52"/>
        <v>Goa</v>
      </c>
      <c r="AL229" t="str">
        <f t="shared" si="52"/>
        <v>Panaji</v>
      </c>
      <c r="AM229" t="str">
        <f t="shared" si="51"/>
        <v>Office Supplies</v>
      </c>
      <c r="AN229" t="str">
        <f t="shared" si="38"/>
        <v>Binders</v>
      </c>
      <c r="AO229" t="str">
        <f t="shared" si="49"/>
        <v>First Class</v>
      </c>
      <c r="AP229" t="str">
        <f t="shared" si="50"/>
        <v>Paid</v>
      </c>
      <c r="AQ229" t="str">
        <f t="shared" si="50"/>
        <v>Completed</v>
      </c>
    </row>
    <row r="230" spans="1:43">
      <c r="A230" t="s">
        <v>958</v>
      </c>
      <c r="B230" s="3" t="s">
        <v>959</v>
      </c>
      <c r="C230" s="3">
        <v>45410</v>
      </c>
      <c r="D230" t="s">
        <v>960</v>
      </c>
      <c r="E230" t="s">
        <v>108</v>
      </c>
      <c r="F230" t="s">
        <v>122</v>
      </c>
      <c r="G230" t="s">
        <v>140</v>
      </c>
      <c r="H230" t="s">
        <v>141</v>
      </c>
      <c r="I230" t="s">
        <v>142</v>
      </c>
      <c r="J230" t="s">
        <v>113</v>
      </c>
      <c r="K230" t="s">
        <v>178</v>
      </c>
      <c r="L230" t="s">
        <v>961</v>
      </c>
      <c r="M230" t="s">
        <v>116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117</v>
      </c>
      <c r="U230" t="s">
        <v>118</v>
      </c>
      <c r="V230" s="2">
        <f t="shared" si="40"/>
        <v>0.15</v>
      </c>
      <c r="W230" s="2">
        <f t="shared" si="41"/>
        <v>2715.2145</v>
      </c>
      <c r="X230" s="2">
        <f>W230-R230</f>
        <v>1163.6645000000001</v>
      </c>
      <c r="Y230" s="2">
        <f t="shared" si="42"/>
        <v>0.42857184948003191</v>
      </c>
      <c r="Z230" s="2" t="str">
        <f t="shared" si="43"/>
        <v/>
      </c>
      <c r="AA230" s="2" t="e">
        <f t="shared" si="44"/>
        <v>#VALUE!</v>
      </c>
      <c r="AB230" s="2" t="e">
        <f t="shared" si="45"/>
        <v>#VALUE!</v>
      </c>
      <c r="AC230" s="2" t="str">
        <f t="shared" si="46"/>
        <v>Text Value Not Recognized as Date</v>
      </c>
      <c r="AD230" s="2">
        <f t="shared" si="47"/>
        <v>0</v>
      </c>
      <c r="AE230" s="2">
        <f t="shared" si="48"/>
        <v>0</v>
      </c>
      <c r="AH230" t="str">
        <f t="shared" si="52"/>
        <v>Karan Malhotra</v>
      </c>
      <c r="AI230" t="str">
        <f t="shared" si="52"/>
        <v>Small Business</v>
      </c>
      <c r="AJ230" t="str">
        <f t="shared" si="52"/>
        <v>South</v>
      </c>
      <c r="AK230" t="str">
        <f t="shared" si="52"/>
        <v>Telangana</v>
      </c>
      <c r="AL230" t="str">
        <f t="shared" si="52"/>
        <v>Hyderabad</v>
      </c>
      <c r="AM230" t="str">
        <f t="shared" si="51"/>
        <v>Office Supplies</v>
      </c>
      <c r="AN230" t="str">
        <f t="shared" si="51"/>
        <v>Labels</v>
      </c>
      <c r="AO230" t="str">
        <f t="shared" si="49"/>
        <v>Second Class</v>
      </c>
      <c r="AP230" t="str">
        <f t="shared" si="50"/>
        <v>Paid</v>
      </c>
      <c r="AQ230" t="str">
        <f t="shared" si="50"/>
        <v>Completed</v>
      </c>
    </row>
    <row r="231" spans="1:43">
      <c r="A231" t="s">
        <v>962</v>
      </c>
      <c r="B231" s="3">
        <v>45836</v>
      </c>
      <c r="C231" s="3">
        <v>45842</v>
      </c>
      <c r="D231" t="s">
        <v>963</v>
      </c>
      <c r="E231" t="s">
        <v>232</v>
      </c>
      <c r="F231" t="s">
        <v>109</v>
      </c>
      <c r="G231" t="s">
        <v>140</v>
      </c>
      <c r="H231" t="s">
        <v>141</v>
      </c>
      <c r="I231" t="s">
        <v>142</v>
      </c>
      <c r="J231" t="s">
        <v>126</v>
      </c>
      <c r="K231" t="s">
        <v>252</v>
      </c>
      <c r="L231" t="s">
        <v>964</v>
      </c>
      <c r="M231" t="s">
        <v>135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189</v>
      </c>
      <c r="U231" t="s">
        <v>190</v>
      </c>
      <c r="V231" s="2">
        <f t="shared" si="40"/>
        <v>0</v>
      </c>
      <c r="W231" s="2">
        <f t="shared" si="41"/>
        <v>8658.69</v>
      </c>
      <c r="X231" s="2">
        <f>W231-R231</f>
        <v>3122.7500000000009</v>
      </c>
      <c r="Y231" s="2">
        <f t="shared" si="42"/>
        <v>0.36064924370776652</v>
      </c>
      <c r="Z231" s="2">
        <f t="shared" si="43"/>
        <v>6</v>
      </c>
      <c r="AA231" s="2">
        <f t="shared" si="44"/>
        <v>6</v>
      </c>
      <c r="AB231" s="2">
        <f t="shared" si="45"/>
        <v>2025</v>
      </c>
      <c r="AC231" s="2" t="str">
        <f t="shared" si="46"/>
        <v>Valid</v>
      </c>
      <c r="AD231" s="2">
        <f t="shared" si="47"/>
        <v>0</v>
      </c>
      <c r="AE231" s="2">
        <f t="shared" si="48"/>
        <v>0</v>
      </c>
      <c r="AH231" t="str">
        <f t="shared" si="52"/>
        <v>Rohan Mehta</v>
      </c>
      <c r="AI231" t="str">
        <f t="shared" si="52"/>
        <v>Consumer</v>
      </c>
      <c r="AJ231" t="str">
        <f t="shared" si="52"/>
        <v>South</v>
      </c>
      <c r="AK231" t="str">
        <f t="shared" si="52"/>
        <v>Telangana</v>
      </c>
      <c r="AL231" t="str">
        <f t="shared" si="52"/>
        <v>Hyderabad</v>
      </c>
      <c r="AM231" t="str">
        <f t="shared" si="51"/>
        <v>Furniture</v>
      </c>
      <c r="AN231" t="str">
        <f t="shared" si="51"/>
        <v>Bookcases</v>
      </c>
      <c r="AO231" t="str">
        <f t="shared" si="49"/>
        <v>First Class</v>
      </c>
      <c r="AP231" t="str">
        <f t="shared" si="50"/>
        <v>Refunded</v>
      </c>
      <c r="AQ231" t="str">
        <f t="shared" si="50"/>
        <v>Returned</v>
      </c>
    </row>
    <row r="232" spans="1:43">
      <c r="A232" t="s">
        <v>965</v>
      </c>
      <c r="B232" s="3" t="s">
        <v>155</v>
      </c>
      <c r="C232" s="3">
        <v>45357</v>
      </c>
      <c r="D232" t="s">
        <v>966</v>
      </c>
      <c r="E232" t="s">
        <v>165</v>
      </c>
      <c r="F232" t="s">
        <v>122</v>
      </c>
      <c r="G232" t="s">
        <v>110</v>
      </c>
      <c r="H232" t="s">
        <v>111</v>
      </c>
      <c r="I232" t="s">
        <v>112</v>
      </c>
      <c r="J232" t="s">
        <v>113</v>
      </c>
      <c r="K232" t="s">
        <v>114</v>
      </c>
      <c r="L232" t="s">
        <v>967</v>
      </c>
      <c r="M232" t="s">
        <v>145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117</v>
      </c>
      <c r="U232" t="s">
        <v>118</v>
      </c>
      <c r="V232" s="2">
        <f t="shared" si="40"/>
        <v>0.1</v>
      </c>
      <c r="W232" s="2">
        <f t="shared" si="41"/>
        <v>11090.376</v>
      </c>
      <c r="X232" s="2">
        <f>W232-R232</f>
        <v>2249.4259999999995</v>
      </c>
      <c r="Y232" s="2">
        <f t="shared" si="42"/>
        <v>0.20282684734944958</v>
      </c>
      <c r="Z232" s="2" t="str">
        <f t="shared" si="43"/>
        <v/>
      </c>
      <c r="AA232" s="2" t="e">
        <f t="shared" si="44"/>
        <v>#VALUE!</v>
      </c>
      <c r="AB232" s="2" t="e">
        <f t="shared" si="45"/>
        <v>#VALUE!</v>
      </c>
      <c r="AC232" s="2" t="str">
        <f t="shared" si="46"/>
        <v>Text Value Not Recognized as Date</v>
      </c>
      <c r="AD232" s="2">
        <f t="shared" si="47"/>
        <v>0</v>
      </c>
      <c r="AE232" s="2">
        <f t="shared" si="48"/>
        <v>0</v>
      </c>
      <c r="AH232" t="str">
        <f t="shared" si="52"/>
        <v>Neha Gupta</v>
      </c>
      <c r="AI232" t="str">
        <f t="shared" si="52"/>
        <v>Small Business</v>
      </c>
      <c r="AJ232" t="str">
        <f t="shared" si="52"/>
        <v>North</v>
      </c>
      <c r="AK232" t="str">
        <f t="shared" si="52"/>
        <v>Rajasthan</v>
      </c>
      <c r="AL232" t="str">
        <f t="shared" si="52"/>
        <v>Jaipur</v>
      </c>
      <c r="AM232" t="str">
        <f t="shared" si="51"/>
        <v>Office Supplies</v>
      </c>
      <c r="AN232" t="str">
        <f t="shared" si="51"/>
        <v>Paper</v>
      </c>
      <c r="AO232" t="str">
        <f t="shared" si="49"/>
        <v>Standard Class</v>
      </c>
      <c r="AP232" t="str">
        <f t="shared" si="50"/>
        <v>Paid</v>
      </c>
      <c r="AQ232" t="str">
        <f t="shared" si="50"/>
        <v>Completed</v>
      </c>
    </row>
    <row r="233" spans="1:43">
      <c r="A233" t="s">
        <v>968</v>
      </c>
      <c r="B233" s="3">
        <v>45414</v>
      </c>
      <c r="C233" s="3">
        <v>45414</v>
      </c>
      <c r="D233" t="s">
        <v>969</v>
      </c>
      <c r="E233" t="s">
        <v>148</v>
      </c>
      <c r="F233" t="s">
        <v>177</v>
      </c>
      <c r="G233" t="s">
        <v>110</v>
      </c>
      <c r="H233" t="s">
        <v>111</v>
      </c>
      <c r="I233" t="s">
        <v>112</v>
      </c>
      <c r="J233" t="s">
        <v>970</v>
      </c>
      <c r="K233" t="s">
        <v>178</v>
      </c>
      <c r="L233" t="s">
        <v>971</v>
      </c>
      <c r="M233" t="s">
        <v>135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189</v>
      </c>
      <c r="U233" t="s">
        <v>44</v>
      </c>
      <c r="V233" s="2">
        <f t="shared" si="40"/>
        <v>0.25</v>
      </c>
      <c r="W233" s="2">
        <f t="shared" si="41"/>
        <v>11462.744999999999</v>
      </c>
      <c r="X233" s="2">
        <f>W233-R233</f>
        <v>4299.204999999999</v>
      </c>
      <c r="Y233" s="2">
        <f t="shared" si="42"/>
        <v>0.37505894094302888</v>
      </c>
      <c r="Z233" s="2">
        <f t="shared" si="43"/>
        <v>0</v>
      </c>
      <c r="AA233" s="2">
        <f t="shared" si="44"/>
        <v>5</v>
      </c>
      <c r="AB233" s="2">
        <f t="shared" si="45"/>
        <v>2024</v>
      </c>
      <c r="AC233" s="2" t="str">
        <f t="shared" si="46"/>
        <v>Valid</v>
      </c>
      <c r="AD233" s="2">
        <f t="shared" si="47"/>
        <v>0</v>
      </c>
      <c r="AE233" s="2">
        <f t="shared" si="48"/>
        <v>0</v>
      </c>
      <c r="AH233" t="str">
        <f t="shared" si="52"/>
        <v>Ananya Rao</v>
      </c>
      <c r="AI233" t="str">
        <f t="shared" si="52"/>
        <v>Corporate</v>
      </c>
      <c r="AJ233" t="str">
        <f t="shared" si="52"/>
        <v>North</v>
      </c>
      <c r="AK233" t="str">
        <f t="shared" si="52"/>
        <v>Rajasthan</v>
      </c>
      <c r="AL233" t="str">
        <f t="shared" si="52"/>
        <v>Jaipur</v>
      </c>
      <c r="AM233" t="str">
        <f t="shared" si="51"/>
        <v>Office Supplies</v>
      </c>
      <c r="AN233" t="str">
        <f t="shared" si="51"/>
        <v>Labels</v>
      </c>
      <c r="AO233" t="str">
        <f t="shared" si="49"/>
        <v>First Class</v>
      </c>
      <c r="AP233" t="str">
        <f t="shared" si="50"/>
        <v>Refunded</v>
      </c>
      <c r="AQ233" t="str">
        <f t="shared" si="50"/>
        <v>Cancelled</v>
      </c>
    </row>
    <row r="234" spans="1:43">
      <c r="A234" t="s">
        <v>972</v>
      </c>
      <c r="B234" s="3">
        <v>45812</v>
      </c>
      <c r="C234" s="3">
        <v>45818</v>
      </c>
      <c r="D234" t="s">
        <v>973</v>
      </c>
      <c r="E234" t="s">
        <v>207</v>
      </c>
      <c r="F234" t="s">
        <v>109</v>
      </c>
      <c r="G234" t="s">
        <v>140</v>
      </c>
      <c r="H234" t="s">
        <v>171</v>
      </c>
      <c r="I234" t="s">
        <v>172</v>
      </c>
      <c r="J234" t="s">
        <v>160</v>
      </c>
      <c r="K234" t="s">
        <v>266</v>
      </c>
      <c r="L234" t="s">
        <v>974</v>
      </c>
      <c r="M234" t="s">
        <v>145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117</v>
      </c>
      <c r="U234" t="s">
        <v>118</v>
      </c>
      <c r="V234" s="2">
        <f t="shared" si="40"/>
        <v>0.25</v>
      </c>
      <c r="W234" s="2">
        <f t="shared" si="41"/>
        <v>670.11</v>
      </c>
      <c r="X234" s="2">
        <f>W234-R234</f>
        <v>110.53999999999996</v>
      </c>
      <c r="Y234" s="2">
        <f t="shared" si="42"/>
        <v>0.16495799197146732</v>
      </c>
      <c r="Z234" s="2">
        <f t="shared" si="43"/>
        <v>6</v>
      </c>
      <c r="AA234" s="2">
        <f t="shared" si="44"/>
        <v>6</v>
      </c>
      <c r="AB234" s="2">
        <f t="shared" si="45"/>
        <v>2025</v>
      </c>
      <c r="AC234" s="2" t="str">
        <f t="shared" si="46"/>
        <v>Valid</v>
      </c>
      <c r="AD234" s="2">
        <f t="shared" si="47"/>
        <v>0</v>
      </c>
      <c r="AE234" s="2">
        <f t="shared" si="48"/>
        <v>0</v>
      </c>
      <c r="AH234" t="str">
        <f t="shared" si="52"/>
        <v>Rahul Verma</v>
      </c>
      <c r="AI234" t="str">
        <f t="shared" si="52"/>
        <v>Consumer</v>
      </c>
      <c r="AJ234" t="str">
        <f t="shared" si="52"/>
        <v>South</v>
      </c>
      <c r="AK234" t="str">
        <f t="shared" si="52"/>
        <v>Andhra Pradesh</v>
      </c>
      <c r="AL234" t="str">
        <f t="shared" si="52"/>
        <v>Vijayawada</v>
      </c>
      <c r="AM234" t="str">
        <f t="shared" si="51"/>
        <v>Technology</v>
      </c>
      <c r="AN234" t="str">
        <f t="shared" si="51"/>
        <v>Phones</v>
      </c>
      <c r="AO234" t="str">
        <f t="shared" si="49"/>
        <v>Standard Class</v>
      </c>
      <c r="AP234" t="str">
        <f t="shared" si="50"/>
        <v>Paid</v>
      </c>
      <c r="AQ234" t="str">
        <f t="shared" si="50"/>
        <v>Completed</v>
      </c>
    </row>
    <row r="235" spans="1:43">
      <c r="A235" t="s">
        <v>975</v>
      </c>
      <c r="B235" s="3" t="s">
        <v>976</v>
      </c>
      <c r="C235" s="3">
        <v>45579</v>
      </c>
      <c r="D235" t="s">
        <v>977</v>
      </c>
      <c r="E235" t="s">
        <v>157</v>
      </c>
      <c r="F235" t="s">
        <v>177</v>
      </c>
      <c r="G235" t="s">
        <v>140</v>
      </c>
      <c r="H235" t="s">
        <v>270</v>
      </c>
      <c r="I235" t="s">
        <v>271</v>
      </c>
      <c r="J235" t="s">
        <v>126</v>
      </c>
      <c r="K235" t="s">
        <v>252</v>
      </c>
      <c r="L235" t="s">
        <v>978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117</v>
      </c>
      <c r="U235" t="s">
        <v>118</v>
      </c>
      <c r="V235" s="2">
        <f t="shared" si="40"/>
        <v>0</v>
      </c>
      <c r="W235" s="2">
        <f t="shared" si="41"/>
        <v>31236.720000000001</v>
      </c>
      <c r="X235" s="2">
        <f>W235-R235</f>
        <v>4859.0200000000004</v>
      </c>
      <c r="Y235" s="2">
        <f t="shared" si="42"/>
        <v>0.15555474454424154</v>
      </c>
      <c r="Z235" s="2" t="str">
        <f t="shared" si="43"/>
        <v/>
      </c>
      <c r="AA235" s="2" t="e">
        <f t="shared" si="44"/>
        <v>#VALUE!</v>
      </c>
      <c r="AB235" s="2" t="e">
        <f t="shared" si="45"/>
        <v>#VALUE!</v>
      </c>
      <c r="AC235" s="2" t="str">
        <f t="shared" si="46"/>
        <v>Missing ship_mode</v>
      </c>
      <c r="AD235" s="2">
        <f t="shared" si="47"/>
        <v>0</v>
      </c>
      <c r="AE235" s="2">
        <f t="shared" si="48"/>
        <v>0</v>
      </c>
      <c r="AH235" t="str">
        <f t="shared" si="52"/>
        <v>Vikram Iyer</v>
      </c>
      <c r="AI235" t="str">
        <f t="shared" si="52"/>
        <v>Corporate</v>
      </c>
      <c r="AJ235" t="str">
        <f t="shared" si="52"/>
        <v>South</v>
      </c>
      <c r="AK235" t="str">
        <f t="shared" si="52"/>
        <v>Karnataka</v>
      </c>
      <c r="AL235" t="str">
        <f t="shared" si="52"/>
        <v>Bengaluru</v>
      </c>
      <c r="AM235" t="str">
        <f t="shared" si="51"/>
        <v>Furniture</v>
      </c>
      <c r="AN235" t="str">
        <f t="shared" si="51"/>
        <v>Bookcases</v>
      </c>
      <c r="AO235" t="s">
        <v>306</v>
      </c>
      <c r="AP235" t="str">
        <f t="shared" si="50"/>
        <v>Paid</v>
      </c>
      <c r="AQ235" t="str">
        <f t="shared" si="50"/>
        <v>Completed</v>
      </c>
    </row>
    <row r="236" spans="1:43">
      <c r="A236" t="s">
        <v>979</v>
      </c>
      <c r="B236" s="3">
        <v>45537</v>
      </c>
      <c r="C236" s="3">
        <v>45538</v>
      </c>
      <c r="D236" t="s">
        <v>980</v>
      </c>
      <c r="E236" t="s">
        <v>375</v>
      </c>
      <c r="F236" t="s">
        <v>182</v>
      </c>
      <c r="G236" t="s">
        <v>110</v>
      </c>
      <c r="H236" t="s">
        <v>465</v>
      </c>
      <c r="I236" t="s">
        <v>466</v>
      </c>
      <c r="J236" t="s">
        <v>126</v>
      </c>
      <c r="K236" t="s">
        <v>143</v>
      </c>
      <c r="L236" t="s">
        <v>981</v>
      </c>
      <c r="M236" t="s">
        <v>135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117</v>
      </c>
      <c r="U236" t="s">
        <v>118</v>
      </c>
      <c r="V236" s="2">
        <f t="shared" si="40"/>
        <v>0.1</v>
      </c>
      <c r="W236" s="2">
        <f t="shared" si="41"/>
        <v>10964.241</v>
      </c>
      <c r="X236" s="2">
        <f>W236-R236</f>
        <v>1701.7710000000006</v>
      </c>
      <c r="Y236" s="2">
        <f t="shared" si="42"/>
        <v>0.15521101734265058</v>
      </c>
      <c r="Z236" s="2">
        <f t="shared" si="43"/>
        <v>1</v>
      </c>
      <c r="AA236" s="2">
        <f t="shared" si="44"/>
        <v>9</v>
      </c>
      <c r="AB236" s="2">
        <f t="shared" si="45"/>
        <v>2024</v>
      </c>
      <c r="AC236" s="2" t="str">
        <f t="shared" si="46"/>
        <v>Valid</v>
      </c>
      <c r="AD236" s="2">
        <f t="shared" si="47"/>
        <v>0</v>
      </c>
      <c r="AE236" s="2">
        <f t="shared" si="48"/>
        <v>0</v>
      </c>
      <c r="AH236" t="str">
        <f t="shared" si="52"/>
        <v>Kabir Singh</v>
      </c>
      <c r="AI236" t="str">
        <f t="shared" si="52"/>
        <v>Home Office</v>
      </c>
      <c r="AJ236" t="str">
        <f t="shared" si="52"/>
        <v>North</v>
      </c>
      <c r="AK236" t="str">
        <f t="shared" si="52"/>
        <v>Delhi</v>
      </c>
      <c r="AL236" t="str">
        <f t="shared" si="52"/>
        <v>New Delhi</v>
      </c>
      <c r="AM236" t="str">
        <f t="shared" si="51"/>
        <v>Furniture</v>
      </c>
      <c r="AN236" t="str">
        <f t="shared" si="51"/>
        <v>Furnishings</v>
      </c>
      <c r="AO236" t="str">
        <f t="shared" si="49"/>
        <v>First Class</v>
      </c>
      <c r="AP236" t="str">
        <f t="shared" si="50"/>
        <v>Paid</v>
      </c>
      <c r="AQ236" t="str">
        <f t="shared" si="50"/>
        <v>Completed</v>
      </c>
    </row>
    <row r="237" spans="1:43">
      <c r="A237" t="s">
        <v>982</v>
      </c>
      <c r="B237" s="3">
        <v>45598</v>
      </c>
      <c r="C237" s="3">
        <v>45599</v>
      </c>
      <c r="D237" t="s">
        <v>983</v>
      </c>
      <c r="E237" t="s">
        <v>207</v>
      </c>
      <c r="F237" t="s">
        <v>122</v>
      </c>
      <c r="G237" t="s">
        <v>149</v>
      </c>
      <c r="H237" t="s">
        <v>111</v>
      </c>
      <c r="I237" t="s">
        <v>197</v>
      </c>
      <c r="J237" t="s">
        <v>113</v>
      </c>
      <c r="K237" t="s">
        <v>213</v>
      </c>
      <c r="L237" t="s">
        <v>984</v>
      </c>
      <c r="M237" t="s">
        <v>145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117</v>
      </c>
      <c r="U237" t="s">
        <v>118</v>
      </c>
      <c r="V237" s="2">
        <f t="shared" si="40"/>
        <v>0.05</v>
      </c>
      <c r="W237" s="2">
        <f t="shared" si="41"/>
        <v>15226.352999999999</v>
      </c>
      <c r="X237" s="2">
        <f>W237-R237</f>
        <v>4081.0729999999985</v>
      </c>
      <c r="Y237" s="2">
        <f t="shared" si="42"/>
        <v>0.26802695300706603</v>
      </c>
      <c r="Z237" s="2">
        <f t="shared" si="43"/>
        <v>1</v>
      </c>
      <c r="AA237" s="2">
        <f t="shared" si="44"/>
        <v>11</v>
      </c>
      <c r="AB237" s="2">
        <f t="shared" si="45"/>
        <v>2024</v>
      </c>
      <c r="AC237" s="2" t="str">
        <f t="shared" si="46"/>
        <v>Valid</v>
      </c>
      <c r="AD237" s="2">
        <f t="shared" si="47"/>
        <v>0</v>
      </c>
      <c r="AE237" s="2">
        <f t="shared" si="48"/>
        <v>0</v>
      </c>
      <c r="AH237" t="str">
        <f t="shared" si="52"/>
        <v>Rahul Verma</v>
      </c>
      <c r="AI237" t="str">
        <f t="shared" si="52"/>
        <v>Small Business</v>
      </c>
      <c r="AJ237" t="str">
        <f t="shared" si="52"/>
        <v>West</v>
      </c>
      <c r="AK237" t="str">
        <f t="shared" si="52"/>
        <v>Rajasthan</v>
      </c>
      <c r="AL237" t="str">
        <f t="shared" si="52"/>
        <v>Udaipur</v>
      </c>
      <c r="AM237" t="str">
        <f t="shared" si="51"/>
        <v>Office Supplies</v>
      </c>
      <c r="AN237" t="str">
        <f t="shared" si="51"/>
        <v>Storage</v>
      </c>
      <c r="AO237" t="str">
        <f t="shared" si="49"/>
        <v>Standard Class</v>
      </c>
      <c r="AP237" t="str">
        <f t="shared" si="50"/>
        <v>Paid</v>
      </c>
      <c r="AQ237" t="str">
        <f t="shared" si="50"/>
        <v>Completed</v>
      </c>
    </row>
    <row r="238" spans="1:43">
      <c r="A238" t="s">
        <v>985</v>
      </c>
      <c r="B238" s="3">
        <v>45579</v>
      </c>
      <c r="C238" s="3">
        <v>45586</v>
      </c>
      <c r="D238" t="s">
        <v>986</v>
      </c>
      <c r="E238" t="s">
        <v>203</v>
      </c>
      <c r="F238" t="s">
        <v>177</v>
      </c>
      <c r="G238" t="s">
        <v>110</v>
      </c>
      <c r="H238" t="s">
        <v>227</v>
      </c>
      <c r="I238" t="s">
        <v>228</v>
      </c>
      <c r="J238" t="s">
        <v>126</v>
      </c>
      <c r="K238" t="s">
        <v>252</v>
      </c>
      <c r="L238" t="s">
        <v>987</v>
      </c>
      <c r="M238" t="s">
        <v>135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117</v>
      </c>
      <c r="U238" t="s">
        <v>118</v>
      </c>
      <c r="V238" s="2">
        <f t="shared" si="40"/>
        <v>0</v>
      </c>
      <c r="W238" s="2">
        <f t="shared" si="41"/>
        <v>24376.68</v>
      </c>
      <c r="X238" s="2">
        <f>W238-R238</f>
        <v>5843.2900000000009</v>
      </c>
      <c r="Y238" s="2">
        <f t="shared" si="42"/>
        <v>0.23970819652224998</v>
      </c>
      <c r="Z238" s="2">
        <f t="shared" si="43"/>
        <v>7</v>
      </c>
      <c r="AA238" s="2">
        <f t="shared" si="44"/>
        <v>10</v>
      </c>
      <c r="AB238" s="2">
        <f t="shared" si="45"/>
        <v>2024</v>
      </c>
      <c r="AC238" s="2" t="str">
        <f t="shared" si="46"/>
        <v>Valid</v>
      </c>
      <c r="AD238" s="2">
        <f t="shared" si="47"/>
        <v>0</v>
      </c>
      <c r="AE238" s="2">
        <f t="shared" si="48"/>
        <v>0</v>
      </c>
      <c r="AH238" t="str">
        <f t="shared" si="52"/>
        <v>Priya Menon</v>
      </c>
      <c r="AI238" t="str">
        <f t="shared" si="52"/>
        <v>Corporate</v>
      </c>
      <c r="AJ238" t="str">
        <f t="shared" si="52"/>
        <v>North</v>
      </c>
      <c r="AK238" t="str">
        <f t="shared" si="52"/>
        <v>Uttar Pradesh</v>
      </c>
      <c r="AL238" t="str">
        <f t="shared" si="52"/>
        <v>Noida</v>
      </c>
      <c r="AM238" t="str">
        <f t="shared" si="51"/>
        <v>Furniture</v>
      </c>
      <c r="AN238" t="str">
        <f t="shared" si="51"/>
        <v>Bookcases</v>
      </c>
      <c r="AO238" t="str">
        <f t="shared" si="49"/>
        <v>First Class</v>
      </c>
      <c r="AP238" t="str">
        <f t="shared" si="50"/>
        <v>Paid</v>
      </c>
      <c r="AQ238" t="str">
        <f t="shared" si="50"/>
        <v>Completed</v>
      </c>
    </row>
    <row r="239" spans="1:43">
      <c r="A239" t="s">
        <v>988</v>
      </c>
      <c r="B239" s="3">
        <v>45531</v>
      </c>
      <c r="C239" s="3">
        <v>45531</v>
      </c>
      <c r="D239" t="s">
        <v>989</v>
      </c>
      <c r="E239" t="s">
        <v>121</v>
      </c>
      <c r="F239" t="s">
        <v>109</v>
      </c>
      <c r="G239" t="s">
        <v>110</v>
      </c>
      <c r="H239" t="s">
        <v>344</v>
      </c>
      <c r="I239" t="s">
        <v>345</v>
      </c>
      <c r="J239" t="s">
        <v>160</v>
      </c>
      <c r="K239" t="s">
        <v>166</v>
      </c>
      <c r="L239" t="s">
        <v>990</v>
      </c>
      <c r="M239" t="s">
        <v>145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117</v>
      </c>
      <c r="U239" t="s">
        <v>118</v>
      </c>
      <c r="V239" s="2">
        <f t="shared" si="40"/>
        <v>0</v>
      </c>
      <c r="W239" s="2">
        <f t="shared" si="41"/>
        <v>20972.7</v>
      </c>
      <c r="X239" s="2">
        <f>W239-R239</f>
        <v>7467.8200000000015</v>
      </c>
      <c r="Y239" s="2">
        <f t="shared" si="42"/>
        <v>0.35607337157352181</v>
      </c>
      <c r="Z239" s="2">
        <f t="shared" si="43"/>
        <v>0</v>
      </c>
      <c r="AA239" s="2">
        <f t="shared" si="44"/>
        <v>8</v>
      </c>
      <c r="AB239" s="2">
        <f t="shared" si="45"/>
        <v>2024</v>
      </c>
      <c r="AC239" s="2" t="str">
        <f t="shared" si="46"/>
        <v>Valid</v>
      </c>
      <c r="AD239" s="2">
        <f t="shared" si="47"/>
        <v>0</v>
      </c>
      <c r="AE239" s="2">
        <f t="shared" si="48"/>
        <v>0</v>
      </c>
      <c r="AH239" t="str">
        <f t="shared" si="52"/>
        <v>Mira Das</v>
      </c>
      <c r="AI239" t="str">
        <f t="shared" si="52"/>
        <v>Consumer</v>
      </c>
      <c r="AJ239" t="str">
        <f t="shared" si="52"/>
        <v>North</v>
      </c>
      <c r="AK239" t="str">
        <f t="shared" si="52"/>
        <v>Haryana</v>
      </c>
      <c r="AL239" t="str">
        <f t="shared" si="52"/>
        <v>Gurugram</v>
      </c>
      <c r="AM239" t="str">
        <f t="shared" si="51"/>
        <v>Technology</v>
      </c>
      <c r="AN239" t="str">
        <f t="shared" si="51"/>
        <v>Copiers</v>
      </c>
      <c r="AO239" t="str">
        <f t="shared" si="49"/>
        <v>Standard Class</v>
      </c>
      <c r="AP239" t="str">
        <f t="shared" si="50"/>
        <v>Paid</v>
      </c>
      <c r="AQ239" t="str">
        <f t="shared" si="50"/>
        <v>Completed</v>
      </c>
    </row>
    <row r="240" spans="1:43">
      <c r="A240" t="s">
        <v>991</v>
      </c>
      <c r="B240" s="3">
        <v>45303</v>
      </c>
      <c r="C240" s="3">
        <v>45308</v>
      </c>
      <c r="D240" t="s">
        <v>992</v>
      </c>
      <c r="E240" t="s">
        <v>139</v>
      </c>
      <c r="F240" t="s">
        <v>109</v>
      </c>
      <c r="G240" t="s">
        <v>140</v>
      </c>
      <c r="H240" t="s">
        <v>171</v>
      </c>
      <c r="I240" t="s">
        <v>172</v>
      </c>
      <c r="J240" t="s">
        <v>113</v>
      </c>
      <c r="K240" t="s">
        <v>213</v>
      </c>
      <c r="L240" t="s">
        <v>993</v>
      </c>
      <c r="M240" t="s">
        <v>135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117</v>
      </c>
      <c r="U240" t="s">
        <v>118</v>
      </c>
      <c r="V240" s="2">
        <f t="shared" si="40"/>
        <v>0.55000000000000004</v>
      </c>
      <c r="W240" s="2">
        <f t="shared" si="41"/>
        <v>12615.907499999999</v>
      </c>
      <c r="X240" s="2">
        <f>W240-R240</f>
        <v>-6222.8425000000007</v>
      </c>
      <c r="Y240" s="2">
        <f t="shared" si="42"/>
        <v>-0.4932536561480021</v>
      </c>
      <c r="Z240" s="2">
        <f t="shared" si="43"/>
        <v>5</v>
      </c>
      <c r="AA240" s="2">
        <f t="shared" si="44"/>
        <v>1</v>
      </c>
      <c r="AB240" s="2">
        <f t="shared" si="45"/>
        <v>2024</v>
      </c>
      <c r="AC240" s="2" t="str">
        <f t="shared" si="46"/>
        <v>Valid</v>
      </c>
      <c r="AD240" s="2">
        <f t="shared" si="47"/>
        <v>1</v>
      </c>
      <c r="AE240" s="2">
        <f t="shared" si="48"/>
        <v>1</v>
      </c>
      <c r="AH240" t="str">
        <f t="shared" si="52"/>
        <v>Arjun Bose</v>
      </c>
      <c r="AI240" t="str">
        <f t="shared" si="52"/>
        <v>Consumer</v>
      </c>
      <c r="AJ240" t="str">
        <f t="shared" si="52"/>
        <v>South</v>
      </c>
      <c r="AK240" t="str">
        <f t="shared" si="52"/>
        <v>Andhra Pradesh</v>
      </c>
      <c r="AL240" t="str">
        <f t="shared" si="52"/>
        <v>Vijayawada</v>
      </c>
      <c r="AM240" t="str">
        <f t="shared" si="51"/>
        <v>Office Supplies</v>
      </c>
      <c r="AN240" t="str">
        <f t="shared" si="51"/>
        <v>Storage</v>
      </c>
      <c r="AO240" t="str">
        <f t="shared" si="49"/>
        <v>First Class</v>
      </c>
      <c r="AP240" t="str">
        <f t="shared" si="50"/>
        <v>Paid</v>
      </c>
      <c r="AQ240" t="str">
        <f t="shared" si="50"/>
        <v>Completed</v>
      </c>
    </row>
    <row r="241" spans="1:43">
      <c r="A241" t="s">
        <v>994</v>
      </c>
      <c r="B241" s="3" t="s">
        <v>995</v>
      </c>
      <c r="C241" s="3">
        <v>45556</v>
      </c>
      <c r="D241" t="s">
        <v>996</v>
      </c>
      <c r="E241" t="s">
        <v>375</v>
      </c>
      <c r="F241" t="s">
        <v>177</v>
      </c>
      <c r="G241" t="s">
        <v>140</v>
      </c>
      <c r="H241" t="s">
        <v>270</v>
      </c>
      <c r="I241" t="s">
        <v>271</v>
      </c>
      <c r="J241" t="s">
        <v>160</v>
      </c>
      <c r="K241" t="s">
        <v>385</v>
      </c>
      <c r="L241" t="s">
        <v>997</v>
      </c>
      <c r="M241" t="s">
        <v>135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117</v>
      </c>
      <c r="U241" t="s">
        <v>118</v>
      </c>
      <c r="V241" s="2">
        <f t="shared" si="40"/>
        <v>0.2</v>
      </c>
      <c r="W241" s="2">
        <f t="shared" si="41"/>
        <v>3136.096</v>
      </c>
      <c r="X241" s="2">
        <f>W241-R241</f>
        <v>856.60600000000022</v>
      </c>
      <c r="Y241" s="2">
        <f t="shared" si="42"/>
        <v>0.273144061916472</v>
      </c>
      <c r="Z241" s="2" t="str">
        <f t="shared" si="43"/>
        <v/>
      </c>
      <c r="AA241" s="2" t="e">
        <f t="shared" si="44"/>
        <v>#VALUE!</v>
      </c>
      <c r="AB241" s="2" t="e">
        <f t="shared" si="45"/>
        <v>#VALUE!</v>
      </c>
      <c r="AC241" s="2" t="str">
        <f t="shared" si="46"/>
        <v>Text Value Not Recognized as Date</v>
      </c>
      <c r="AD241" s="2">
        <f t="shared" si="47"/>
        <v>0</v>
      </c>
      <c r="AE241" s="2">
        <f t="shared" si="48"/>
        <v>0</v>
      </c>
      <c r="AH241" t="str">
        <f t="shared" si="52"/>
        <v>Kabir Singh</v>
      </c>
      <c r="AI241" t="str">
        <f t="shared" si="52"/>
        <v>Corporate</v>
      </c>
      <c r="AJ241" t="str">
        <f t="shared" si="52"/>
        <v>South</v>
      </c>
      <c r="AK241" t="str">
        <f t="shared" si="52"/>
        <v>Karnataka</v>
      </c>
      <c r="AL241" t="str">
        <f t="shared" si="52"/>
        <v>Bengaluru</v>
      </c>
      <c r="AM241" t="str">
        <f t="shared" si="51"/>
        <v>Technology</v>
      </c>
      <c r="AN241" t="str">
        <f t="shared" si="51"/>
        <v>Machines</v>
      </c>
      <c r="AO241" t="str">
        <f t="shared" si="49"/>
        <v>First Class</v>
      </c>
      <c r="AP241" t="str">
        <f t="shared" si="50"/>
        <v>Paid</v>
      </c>
      <c r="AQ241" t="str">
        <f t="shared" si="50"/>
        <v>Completed</v>
      </c>
    </row>
    <row r="242" spans="1:43">
      <c r="A242" t="s">
        <v>998</v>
      </c>
      <c r="B242" s="3">
        <v>45643</v>
      </c>
      <c r="C242" s="3" t="s">
        <v>686</v>
      </c>
      <c r="D242" t="s">
        <v>999</v>
      </c>
      <c r="E242" t="s">
        <v>218</v>
      </c>
      <c r="F242" t="s">
        <v>177</v>
      </c>
      <c r="G242" t="s">
        <v>140</v>
      </c>
      <c r="H242" t="s">
        <v>141</v>
      </c>
      <c r="I242" t="s">
        <v>142</v>
      </c>
      <c r="J242" t="s">
        <v>113</v>
      </c>
      <c r="K242" t="s">
        <v>246</v>
      </c>
      <c r="L242" t="s">
        <v>1000</v>
      </c>
      <c r="M242" t="s">
        <v>135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117</v>
      </c>
      <c r="U242" t="s">
        <v>118</v>
      </c>
      <c r="V242" s="2">
        <f t="shared" si="40"/>
        <v>0</v>
      </c>
      <c r="W242" s="2">
        <f t="shared" si="41"/>
        <v>20835.899999999998</v>
      </c>
      <c r="X242" s="2">
        <f>W242-R242</f>
        <v>6907.7099999999973</v>
      </c>
      <c r="Y242" s="2">
        <f t="shared" si="42"/>
        <v>0.33152923559817421</v>
      </c>
      <c r="Z242" s="2" t="str">
        <f t="shared" si="43"/>
        <v/>
      </c>
      <c r="AA242" s="2">
        <f t="shared" si="44"/>
        <v>12</v>
      </c>
      <c r="AB242" s="2">
        <f t="shared" si="45"/>
        <v>2024</v>
      </c>
      <c r="AC242" s="2" t="str">
        <f t="shared" si="46"/>
        <v>Text Value Not Recognized as Date</v>
      </c>
      <c r="AD242" s="2">
        <f t="shared" si="47"/>
        <v>0</v>
      </c>
      <c r="AE242" s="2">
        <f t="shared" si="48"/>
        <v>0</v>
      </c>
      <c r="AH242" t="str">
        <f t="shared" si="52"/>
        <v>Aarav Sharma</v>
      </c>
      <c r="AI242" t="str">
        <f t="shared" si="52"/>
        <v>Corporate</v>
      </c>
      <c r="AJ242" t="str">
        <f t="shared" si="52"/>
        <v>South</v>
      </c>
      <c r="AK242" t="str">
        <f t="shared" si="52"/>
        <v>Telangana</v>
      </c>
      <c r="AL242" t="str">
        <f t="shared" si="52"/>
        <v>Hyderabad</v>
      </c>
      <c r="AM242" t="str">
        <f t="shared" si="51"/>
        <v>Office Supplies</v>
      </c>
      <c r="AN242" t="str">
        <f t="shared" si="51"/>
        <v>Binders</v>
      </c>
      <c r="AO242" t="str">
        <f t="shared" si="49"/>
        <v>First Class</v>
      </c>
      <c r="AP242" t="str">
        <f t="shared" si="50"/>
        <v>Paid</v>
      </c>
      <c r="AQ242" t="str">
        <f t="shared" si="50"/>
        <v>Completed</v>
      </c>
    </row>
    <row r="243" spans="1:43">
      <c r="A243" t="s">
        <v>1001</v>
      </c>
      <c r="B243" s="3">
        <v>45844</v>
      </c>
      <c r="C243" s="3">
        <v>45815</v>
      </c>
      <c r="D243" t="s">
        <v>1002</v>
      </c>
      <c r="E243" t="s">
        <v>222</v>
      </c>
      <c r="F243" t="s">
        <v>177</v>
      </c>
      <c r="G243" t="s">
        <v>110</v>
      </c>
      <c r="H243" t="s">
        <v>344</v>
      </c>
      <c r="I243" t="s">
        <v>345</v>
      </c>
      <c r="J243" t="s">
        <v>113</v>
      </c>
      <c r="K243" t="s">
        <v>213</v>
      </c>
      <c r="L243" t="s">
        <v>1003</v>
      </c>
      <c r="M243" t="s">
        <v>145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199</v>
      </c>
      <c r="U243" t="s">
        <v>190</v>
      </c>
      <c r="V243" s="2">
        <f t="shared" si="40"/>
        <v>0.25</v>
      </c>
      <c r="W243" s="2">
        <f t="shared" si="41"/>
        <v>1212.9000000000001</v>
      </c>
      <c r="X243" s="2">
        <f>W243-R243</f>
        <v>522.38000000000011</v>
      </c>
      <c r="Y243" s="2">
        <f t="shared" si="42"/>
        <v>0.4306867837414462</v>
      </c>
      <c r="Z243" s="2">
        <f t="shared" si="43"/>
        <v>-29</v>
      </c>
      <c r="AA243" s="2">
        <f t="shared" si="44"/>
        <v>7</v>
      </c>
      <c r="AB243" s="2">
        <f t="shared" si="45"/>
        <v>2025</v>
      </c>
      <c r="AC243" s="2" t="str">
        <f t="shared" si="46"/>
        <v>Invalid shipping record</v>
      </c>
      <c r="AD243" s="2">
        <f t="shared" si="47"/>
        <v>0</v>
      </c>
      <c r="AE243" s="2">
        <f t="shared" si="48"/>
        <v>0</v>
      </c>
      <c r="AH243" t="str">
        <f t="shared" si="52"/>
        <v>Sneha Kapoor</v>
      </c>
      <c r="AI243" t="str">
        <f t="shared" si="52"/>
        <v>Corporate</v>
      </c>
      <c r="AJ243" t="str">
        <f t="shared" si="52"/>
        <v>North</v>
      </c>
      <c r="AK243" t="str">
        <f t="shared" si="52"/>
        <v>Haryana</v>
      </c>
      <c r="AL243" t="str">
        <f t="shared" si="52"/>
        <v>Gurugram</v>
      </c>
      <c r="AM243" t="str">
        <f t="shared" si="51"/>
        <v>Office Supplies</v>
      </c>
      <c r="AN243" t="str">
        <f t="shared" si="51"/>
        <v>Storage</v>
      </c>
      <c r="AO243" t="str">
        <f t="shared" si="49"/>
        <v>Standard Class</v>
      </c>
      <c r="AP243" t="str">
        <f t="shared" si="50"/>
        <v>Pending</v>
      </c>
      <c r="AQ243" t="str">
        <f t="shared" si="50"/>
        <v>Returned</v>
      </c>
    </row>
    <row r="244" spans="1:43">
      <c r="A244" t="s">
        <v>1004</v>
      </c>
      <c r="B244" s="3">
        <v>45695</v>
      </c>
      <c r="C244" s="3">
        <v>45695</v>
      </c>
      <c r="D244" t="s">
        <v>1005</v>
      </c>
      <c r="E244" t="s">
        <v>139</v>
      </c>
      <c r="F244" t="s">
        <v>109</v>
      </c>
      <c r="G244" t="s">
        <v>110</v>
      </c>
      <c r="H244" t="s">
        <v>227</v>
      </c>
      <c r="I244" t="s">
        <v>228</v>
      </c>
      <c r="J244" t="s">
        <v>113</v>
      </c>
      <c r="K244" t="s">
        <v>133</v>
      </c>
      <c r="L244" t="s">
        <v>1006</v>
      </c>
      <c r="M244" t="s">
        <v>116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117</v>
      </c>
      <c r="U244" t="s">
        <v>118</v>
      </c>
      <c r="V244" s="2">
        <f t="shared" si="40"/>
        <v>0.05</v>
      </c>
      <c r="W244" s="2">
        <f t="shared" si="41"/>
        <v>5697.8339999999998</v>
      </c>
      <c r="X244" s="2">
        <f>W244-R244</f>
        <v>1446.3339999999998</v>
      </c>
      <c r="Y244" s="2">
        <f t="shared" si="42"/>
        <v>0.25383926593860051</v>
      </c>
      <c r="Z244" s="2">
        <f t="shared" si="43"/>
        <v>0</v>
      </c>
      <c r="AA244" s="2">
        <f t="shared" si="44"/>
        <v>2</v>
      </c>
      <c r="AB244" s="2">
        <f t="shared" si="45"/>
        <v>2025</v>
      </c>
      <c r="AC244" s="2" t="str">
        <f t="shared" si="46"/>
        <v>Valid</v>
      </c>
      <c r="AD244" s="2">
        <f t="shared" si="47"/>
        <v>0</v>
      </c>
      <c r="AE244" s="2">
        <f t="shared" si="48"/>
        <v>0</v>
      </c>
      <c r="AH244" t="str">
        <f t="shared" si="52"/>
        <v>Arjun Bose</v>
      </c>
      <c r="AI244" t="str">
        <f t="shared" si="52"/>
        <v>Consumer</v>
      </c>
      <c r="AJ244" t="str">
        <f t="shared" si="52"/>
        <v>North</v>
      </c>
      <c r="AK244" t="str">
        <f t="shared" si="52"/>
        <v>Uttar Pradesh</v>
      </c>
      <c r="AL244" t="str">
        <f t="shared" si="52"/>
        <v>Noida</v>
      </c>
      <c r="AM244" t="str">
        <f t="shared" si="51"/>
        <v>Office Supplies</v>
      </c>
      <c r="AN244" t="str">
        <f t="shared" si="51"/>
        <v>Art</v>
      </c>
      <c r="AO244" t="str">
        <f t="shared" si="49"/>
        <v>Second Class</v>
      </c>
      <c r="AP244" t="str">
        <f t="shared" si="50"/>
        <v>Paid</v>
      </c>
      <c r="AQ244" t="str">
        <f t="shared" si="50"/>
        <v>Completed</v>
      </c>
    </row>
    <row r="245" spans="1:43">
      <c r="A245" t="s">
        <v>1007</v>
      </c>
      <c r="B245" s="3" t="s">
        <v>315</v>
      </c>
      <c r="C245" s="3">
        <v>45871</v>
      </c>
      <c r="D245" t="s">
        <v>1008</v>
      </c>
      <c r="E245" t="s">
        <v>222</v>
      </c>
      <c r="F245" t="s">
        <v>122</v>
      </c>
      <c r="H245" t="s">
        <v>158</v>
      </c>
      <c r="I245" t="s">
        <v>159</v>
      </c>
      <c r="J245" t="s">
        <v>160</v>
      </c>
      <c r="K245" t="s">
        <v>161</v>
      </c>
      <c r="L245" t="s">
        <v>1009</v>
      </c>
      <c r="M245" t="s">
        <v>135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117</v>
      </c>
      <c r="U245" t="s">
        <v>828</v>
      </c>
      <c r="V245" s="2">
        <f t="shared" si="40"/>
        <v>0.1</v>
      </c>
      <c r="W245" s="2">
        <f t="shared" si="41"/>
        <v>4049.5140000000001</v>
      </c>
      <c r="X245" s="2">
        <f>W245-R245</f>
        <v>1540.3140000000003</v>
      </c>
      <c r="Y245" s="2">
        <f t="shared" si="42"/>
        <v>0.38037008885510715</v>
      </c>
      <c r="Z245" s="2" t="str">
        <f t="shared" si="43"/>
        <v/>
      </c>
      <c r="AA245" s="2" t="e">
        <f t="shared" si="44"/>
        <v>#VALUE!</v>
      </c>
      <c r="AB245" s="2" t="e">
        <f t="shared" si="45"/>
        <v>#VALUE!</v>
      </c>
      <c r="AC245" s="2" t="str">
        <f t="shared" si="46"/>
        <v>Missing region</v>
      </c>
      <c r="AD245" s="2">
        <f t="shared" si="47"/>
        <v>0</v>
      </c>
      <c r="AE245" s="2">
        <f t="shared" si="48"/>
        <v>0</v>
      </c>
      <c r="AH245" t="str">
        <f t="shared" si="52"/>
        <v>Sneha Kapoor</v>
      </c>
      <c r="AI245" t="str">
        <f t="shared" si="52"/>
        <v>Small Business</v>
      </c>
      <c r="AJ245" t="s">
        <v>306</v>
      </c>
      <c r="AK245" t="str">
        <f t="shared" si="52"/>
        <v>Madhya Pradesh</v>
      </c>
      <c r="AL245" t="str">
        <f t="shared" si="52"/>
        <v>Indore</v>
      </c>
      <c r="AM245" t="str">
        <f t="shared" si="51"/>
        <v>Technology</v>
      </c>
      <c r="AN245" t="str">
        <f t="shared" si="51"/>
        <v>Accessories</v>
      </c>
      <c r="AO245" t="str">
        <f t="shared" si="49"/>
        <v>First Class</v>
      </c>
      <c r="AP245" t="str">
        <f t="shared" si="50"/>
        <v>Paid</v>
      </c>
      <c r="AQ245" t="str">
        <f t="shared" si="50"/>
        <v>Completed</v>
      </c>
    </row>
    <row r="246" spans="1:43">
      <c r="A246" t="s">
        <v>1010</v>
      </c>
      <c r="B246" s="3">
        <v>45527</v>
      </c>
      <c r="C246" s="3">
        <v>45528</v>
      </c>
      <c r="D246" t="s">
        <v>1011</v>
      </c>
      <c r="E246" t="s">
        <v>165</v>
      </c>
      <c r="F246" t="s">
        <v>109</v>
      </c>
      <c r="G246" t="s">
        <v>140</v>
      </c>
      <c r="H246" t="s">
        <v>141</v>
      </c>
      <c r="I246" t="s">
        <v>142</v>
      </c>
      <c r="J246" t="s">
        <v>126</v>
      </c>
      <c r="K246" t="s">
        <v>252</v>
      </c>
      <c r="L246" t="s">
        <v>1012</v>
      </c>
      <c r="M246" t="s">
        <v>129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117</v>
      </c>
      <c r="U246" t="s">
        <v>118</v>
      </c>
      <c r="V246" s="2">
        <f t="shared" si="40"/>
        <v>0</v>
      </c>
      <c r="W246" s="2">
        <f t="shared" si="41"/>
        <v>6131.34</v>
      </c>
      <c r="X246" s="2">
        <f>W246-R246</f>
        <v>2070.46</v>
      </c>
      <c r="Y246" s="2">
        <f t="shared" si="42"/>
        <v>0.33768474754295147</v>
      </c>
      <c r="Z246" s="2">
        <f t="shared" si="43"/>
        <v>1</v>
      </c>
      <c r="AA246" s="2">
        <f t="shared" si="44"/>
        <v>8</v>
      </c>
      <c r="AB246" s="2">
        <f t="shared" si="45"/>
        <v>2024</v>
      </c>
      <c r="AC246" s="2" t="str">
        <f t="shared" si="46"/>
        <v>Valid</v>
      </c>
      <c r="AD246" s="2">
        <f t="shared" si="47"/>
        <v>0</v>
      </c>
      <c r="AE246" s="2">
        <f t="shared" si="48"/>
        <v>0</v>
      </c>
      <c r="AH246" t="str">
        <f t="shared" si="52"/>
        <v>Neha Gupta</v>
      </c>
      <c r="AI246" t="str">
        <f t="shared" si="52"/>
        <v>Consumer</v>
      </c>
      <c r="AJ246" t="str">
        <f t="shared" si="52"/>
        <v>South</v>
      </c>
      <c r="AK246" t="str">
        <f t="shared" si="52"/>
        <v>Telangana</v>
      </c>
      <c r="AL246" t="str">
        <f t="shared" si="52"/>
        <v>Hyderabad</v>
      </c>
      <c r="AM246" t="str">
        <f t="shared" si="51"/>
        <v>Furniture</v>
      </c>
      <c r="AN246" t="str">
        <f t="shared" si="51"/>
        <v>Bookcases</v>
      </c>
      <c r="AO246" t="str">
        <f t="shared" si="49"/>
        <v>Same Day</v>
      </c>
      <c r="AP246" t="str">
        <f t="shared" si="50"/>
        <v>Paid</v>
      </c>
      <c r="AQ246" t="str">
        <f t="shared" si="50"/>
        <v>Completed</v>
      </c>
    </row>
    <row r="247" spans="1:43">
      <c r="A247" t="s">
        <v>1013</v>
      </c>
      <c r="B247" s="3">
        <v>45583</v>
      </c>
      <c r="C247" s="3" t="s">
        <v>720</v>
      </c>
      <c r="D247" t="s">
        <v>1014</v>
      </c>
      <c r="E247" t="s">
        <v>165</v>
      </c>
      <c r="F247" t="s">
        <v>182</v>
      </c>
      <c r="G247" t="s">
        <v>140</v>
      </c>
      <c r="H247" t="s">
        <v>282</v>
      </c>
      <c r="I247" t="s">
        <v>283</v>
      </c>
      <c r="J247" t="s">
        <v>1015</v>
      </c>
      <c r="K247" t="s">
        <v>152</v>
      </c>
      <c r="L247" t="s">
        <v>1016</v>
      </c>
      <c r="M247" t="s">
        <v>116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117</v>
      </c>
      <c r="U247" t="s">
        <v>118</v>
      </c>
      <c r="V247" s="2">
        <f t="shared" si="40"/>
        <v>0</v>
      </c>
      <c r="W247" s="2">
        <f t="shared" si="41"/>
        <v>9827.7899999999991</v>
      </c>
      <c r="X247" s="2">
        <f>W247-R247</f>
        <v>4349.5099999999993</v>
      </c>
      <c r="Y247" s="2">
        <f t="shared" si="42"/>
        <v>0.44257254174132737</v>
      </c>
      <c r="Z247" s="2" t="str">
        <f t="shared" si="43"/>
        <v/>
      </c>
      <c r="AA247" s="2">
        <f t="shared" si="44"/>
        <v>10</v>
      </c>
      <c r="AB247" s="2">
        <f t="shared" si="45"/>
        <v>2024</v>
      </c>
      <c r="AC247" s="2" t="str">
        <f t="shared" si="46"/>
        <v>Text Value Not Recognized as Date</v>
      </c>
      <c r="AD247" s="2">
        <f t="shared" si="47"/>
        <v>0</v>
      </c>
      <c r="AE247" s="2">
        <f t="shared" si="48"/>
        <v>0</v>
      </c>
      <c r="AH247" t="str">
        <f t="shared" si="52"/>
        <v>Neha Gupta</v>
      </c>
      <c r="AI247" t="str">
        <f t="shared" si="52"/>
        <v>Home Office</v>
      </c>
      <c r="AJ247" t="str">
        <f t="shared" si="52"/>
        <v>South</v>
      </c>
      <c r="AK247" t="str">
        <f t="shared" si="52"/>
        <v>Kerala</v>
      </c>
      <c r="AL247" t="str">
        <f t="shared" si="52"/>
        <v>Kochi</v>
      </c>
      <c r="AM247" t="str">
        <f t="shared" si="51"/>
        <v>Furniture</v>
      </c>
      <c r="AN247" t="str">
        <f t="shared" si="51"/>
        <v>Chairs</v>
      </c>
      <c r="AO247" t="str">
        <f t="shared" si="49"/>
        <v>Second Class</v>
      </c>
      <c r="AP247" t="str">
        <f t="shared" si="50"/>
        <v>Paid</v>
      </c>
      <c r="AQ247" t="str">
        <f t="shared" si="50"/>
        <v>Completed</v>
      </c>
    </row>
    <row r="248" spans="1:43">
      <c r="A248" t="s">
        <v>1017</v>
      </c>
      <c r="B248" s="3">
        <v>45416</v>
      </c>
      <c r="C248" s="3">
        <v>45421</v>
      </c>
      <c r="D248" t="s">
        <v>1018</v>
      </c>
      <c r="E248" t="s">
        <v>148</v>
      </c>
      <c r="F248" t="s">
        <v>177</v>
      </c>
      <c r="G248" t="s">
        <v>110</v>
      </c>
      <c r="H248" t="s">
        <v>211</v>
      </c>
      <c r="I248" t="s">
        <v>212</v>
      </c>
      <c r="J248" t="s">
        <v>160</v>
      </c>
      <c r="K248" t="s">
        <v>385</v>
      </c>
      <c r="L248" t="s">
        <v>1019</v>
      </c>
      <c r="M248" t="s">
        <v>129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189</v>
      </c>
      <c r="U248" t="s">
        <v>44</v>
      </c>
      <c r="V248" s="2">
        <f t="shared" si="40"/>
        <v>0.25</v>
      </c>
      <c r="W248" s="2">
        <f t="shared" si="41"/>
        <v>521.88749999999993</v>
      </c>
      <c r="X248" s="2">
        <f>W248-R248</f>
        <v>77.36749999999995</v>
      </c>
      <c r="Y248" s="2">
        <f t="shared" si="42"/>
        <v>0.14824555100476627</v>
      </c>
      <c r="Z248" s="2">
        <f t="shared" si="43"/>
        <v>5</v>
      </c>
      <c r="AA248" s="2">
        <f t="shared" si="44"/>
        <v>5</v>
      </c>
      <c r="AB248" s="2">
        <f t="shared" si="45"/>
        <v>2024</v>
      </c>
      <c r="AC248" s="2" t="str">
        <f t="shared" si="46"/>
        <v>Valid</v>
      </c>
      <c r="AD248" s="2">
        <f t="shared" si="47"/>
        <v>0</v>
      </c>
      <c r="AE248" s="2">
        <f t="shared" si="48"/>
        <v>0</v>
      </c>
      <c r="AH248" t="str">
        <f t="shared" si="52"/>
        <v>Ananya Rao</v>
      </c>
      <c r="AI248" t="str">
        <f t="shared" si="52"/>
        <v>Corporate</v>
      </c>
      <c r="AJ248" t="str">
        <f t="shared" si="52"/>
        <v>North</v>
      </c>
      <c r="AK248" t="str">
        <f t="shared" si="52"/>
        <v>Punjab</v>
      </c>
      <c r="AL248" t="str">
        <f t="shared" si="52"/>
        <v>Ludhiana</v>
      </c>
      <c r="AM248" t="str">
        <f t="shared" si="51"/>
        <v>Technology</v>
      </c>
      <c r="AN248" t="str">
        <f t="shared" si="51"/>
        <v>Machines</v>
      </c>
      <c r="AO248" t="str">
        <f t="shared" si="49"/>
        <v>Same Day</v>
      </c>
      <c r="AP248" t="str">
        <f t="shared" si="50"/>
        <v>Refunded</v>
      </c>
      <c r="AQ248" t="str">
        <f t="shared" si="50"/>
        <v>Cancelled</v>
      </c>
    </row>
    <row r="249" spans="1:43">
      <c r="A249" t="s">
        <v>1020</v>
      </c>
      <c r="B249" s="3">
        <v>45498</v>
      </c>
      <c r="C249" s="3">
        <v>45505</v>
      </c>
      <c r="D249" t="s">
        <v>1021</v>
      </c>
      <c r="E249" t="s">
        <v>207</v>
      </c>
      <c r="F249" t="s">
        <v>177</v>
      </c>
      <c r="G249" t="s">
        <v>110</v>
      </c>
      <c r="H249" t="s">
        <v>111</v>
      </c>
      <c r="I249" t="s">
        <v>112</v>
      </c>
      <c r="J249" t="s">
        <v>160</v>
      </c>
      <c r="K249" t="s">
        <v>161</v>
      </c>
      <c r="L249" t="s">
        <v>1022</v>
      </c>
      <c r="M249" t="s">
        <v>116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117</v>
      </c>
      <c r="U249" t="s">
        <v>118</v>
      </c>
      <c r="V249" s="2">
        <f t="shared" si="40"/>
        <v>0.25</v>
      </c>
      <c r="W249" s="2">
        <f t="shared" si="41"/>
        <v>14960.400000000001</v>
      </c>
      <c r="X249" s="2">
        <f>W249-R249</f>
        <v>2459.5600000000013</v>
      </c>
      <c r="Y249" s="2">
        <f t="shared" si="42"/>
        <v>0.16440469506162944</v>
      </c>
      <c r="Z249" s="2">
        <f t="shared" si="43"/>
        <v>7</v>
      </c>
      <c r="AA249" s="2">
        <f t="shared" si="44"/>
        <v>7</v>
      </c>
      <c r="AB249" s="2">
        <f t="shared" si="45"/>
        <v>2024</v>
      </c>
      <c r="AC249" s="2" t="str">
        <f t="shared" si="46"/>
        <v>Valid</v>
      </c>
      <c r="AD249" s="2">
        <f t="shared" si="47"/>
        <v>0</v>
      </c>
      <c r="AE249" s="2">
        <f t="shared" si="48"/>
        <v>0</v>
      </c>
      <c r="AH249" t="str">
        <f t="shared" si="52"/>
        <v>Rahul Verma</v>
      </c>
      <c r="AI249" t="str">
        <f t="shared" si="52"/>
        <v>Corporate</v>
      </c>
      <c r="AJ249" t="str">
        <f t="shared" si="52"/>
        <v>North</v>
      </c>
      <c r="AK249" t="str">
        <f t="shared" si="52"/>
        <v>Rajasthan</v>
      </c>
      <c r="AL249" t="str">
        <f t="shared" si="52"/>
        <v>Jaipur</v>
      </c>
      <c r="AM249" t="str">
        <f t="shared" si="51"/>
        <v>Technology</v>
      </c>
      <c r="AN249" t="str">
        <f t="shared" si="51"/>
        <v>Accessories</v>
      </c>
      <c r="AO249" t="str">
        <f t="shared" si="49"/>
        <v>Second Class</v>
      </c>
      <c r="AP249" t="str">
        <f t="shared" si="50"/>
        <v>Paid</v>
      </c>
      <c r="AQ249" t="str">
        <f t="shared" si="50"/>
        <v>Completed</v>
      </c>
    </row>
    <row r="250" spans="1:43">
      <c r="A250" t="s">
        <v>1023</v>
      </c>
      <c r="B250" s="3">
        <v>45445</v>
      </c>
      <c r="C250" s="3">
        <v>45479</v>
      </c>
      <c r="D250" t="s">
        <v>1024</v>
      </c>
      <c r="E250" t="s">
        <v>232</v>
      </c>
      <c r="F250" t="s">
        <v>182</v>
      </c>
      <c r="G250" t="s">
        <v>123</v>
      </c>
      <c r="H250" t="s">
        <v>124</v>
      </c>
      <c r="I250" t="s">
        <v>125</v>
      </c>
      <c r="J250" t="s">
        <v>113</v>
      </c>
      <c r="K250" t="s">
        <v>178</v>
      </c>
      <c r="L250" t="s">
        <v>1025</v>
      </c>
      <c r="M250" t="s">
        <v>116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117</v>
      </c>
      <c r="U250" t="s">
        <v>118</v>
      </c>
      <c r="V250" s="2">
        <f t="shared" si="40"/>
        <v>0.15</v>
      </c>
      <c r="W250" s="2">
        <f t="shared" si="41"/>
        <v>6027.5114999999996</v>
      </c>
      <c r="X250" s="2">
        <f>W250-R250</f>
        <v>1143.6914999999999</v>
      </c>
      <c r="Y250" s="2">
        <f t="shared" si="42"/>
        <v>0.18974522072666306</v>
      </c>
      <c r="Z250" s="2">
        <f t="shared" si="43"/>
        <v>34</v>
      </c>
      <c r="AA250" s="2">
        <f t="shared" si="44"/>
        <v>6</v>
      </c>
      <c r="AB250" s="2">
        <f t="shared" si="45"/>
        <v>2024</v>
      </c>
      <c r="AC250" s="2" t="str">
        <f t="shared" si="46"/>
        <v>Valid</v>
      </c>
      <c r="AD250" s="2">
        <f t="shared" si="47"/>
        <v>0</v>
      </c>
      <c r="AE250" s="2">
        <f t="shared" si="48"/>
        <v>0</v>
      </c>
      <c r="AH250" t="str">
        <f t="shared" si="52"/>
        <v>Rohan Mehta</v>
      </c>
      <c r="AI250" t="str">
        <f t="shared" si="52"/>
        <v>Home Office</v>
      </c>
      <c r="AJ250" t="str">
        <f t="shared" si="52"/>
        <v>East</v>
      </c>
      <c r="AK250" t="str">
        <f t="shared" si="52"/>
        <v>Odisha</v>
      </c>
      <c r="AL250" t="str">
        <f t="shared" si="52"/>
        <v>Bhubaneswar</v>
      </c>
      <c r="AM250" t="str">
        <f t="shared" si="51"/>
        <v>Office Supplies</v>
      </c>
      <c r="AN250" t="str">
        <f t="shared" si="51"/>
        <v>Labels</v>
      </c>
      <c r="AO250" t="str">
        <f t="shared" si="49"/>
        <v>Second Class</v>
      </c>
      <c r="AP250" t="str">
        <f t="shared" si="50"/>
        <v>Paid</v>
      </c>
      <c r="AQ250" t="str">
        <f t="shared" si="50"/>
        <v>Completed</v>
      </c>
    </row>
    <row r="251" spans="1:43">
      <c r="A251" t="s">
        <v>1026</v>
      </c>
      <c r="B251" s="3">
        <v>45870</v>
      </c>
      <c r="C251" s="3">
        <v>45871</v>
      </c>
      <c r="D251" t="s">
        <v>1027</v>
      </c>
      <c r="E251" t="s">
        <v>121</v>
      </c>
      <c r="F251" t="s">
        <v>177</v>
      </c>
      <c r="G251" t="s">
        <v>110</v>
      </c>
      <c r="H251" t="s">
        <v>111</v>
      </c>
      <c r="I251" t="s">
        <v>112</v>
      </c>
      <c r="J251" t="s">
        <v>126</v>
      </c>
      <c r="K251" t="s">
        <v>143</v>
      </c>
      <c r="L251" t="s">
        <v>1028</v>
      </c>
      <c r="M251" t="s">
        <v>135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117</v>
      </c>
      <c r="U251" t="s">
        <v>118</v>
      </c>
      <c r="V251" s="2">
        <f t="shared" si="40"/>
        <v>0.2</v>
      </c>
      <c r="W251" s="2">
        <f t="shared" si="41"/>
        <v>8928.9279999999999</v>
      </c>
      <c r="X251" s="2">
        <f>W251-R251</f>
        <v>3294.5479999999998</v>
      </c>
      <c r="Y251" s="2">
        <f t="shared" si="42"/>
        <v>0.36897464062875185</v>
      </c>
      <c r="Z251" s="2">
        <f t="shared" si="43"/>
        <v>1</v>
      </c>
      <c r="AA251" s="2">
        <f t="shared" si="44"/>
        <v>8</v>
      </c>
      <c r="AB251" s="2">
        <f t="shared" si="45"/>
        <v>2025</v>
      </c>
      <c r="AC251" s="2" t="str">
        <f t="shared" si="46"/>
        <v>Valid</v>
      </c>
      <c r="AD251" s="2">
        <f t="shared" si="47"/>
        <v>0</v>
      </c>
      <c r="AE251" s="2">
        <f t="shared" si="48"/>
        <v>0</v>
      </c>
      <c r="AH251" t="str">
        <f t="shared" si="52"/>
        <v>Mira Das</v>
      </c>
      <c r="AI251" t="str">
        <f t="shared" si="52"/>
        <v>Corporate</v>
      </c>
      <c r="AJ251" t="str">
        <f t="shared" si="52"/>
        <v>North</v>
      </c>
      <c r="AK251" t="str">
        <f t="shared" si="52"/>
        <v>Rajasthan</v>
      </c>
      <c r="AL251" t="str">
        <f t="shared" si="52"/>
        <v>Jaipur</v>
      </c>
      <c r="AM251" t="str">
        <f t="shared" si="51"/>
        <v>Furniture</v>
      </c>
      <c r="AN251" t="str">
        <f t="shared" si="51"/>
        <v>Furnishings</v>
      </c>
      <c r="AO251" t="str">
        <f t="shared" si="49"/>
        <v>First Class</v>
      </c>
      <c r="AP251" t="str">
        <f t="shared" si="50"/>
        <v>Paid</v>
      </c>
      <c r="AQ251" t="str">
        <f t="shared" si="50"/>
        <v>Completed</v>
      </c>
    </row>
    <row r="252" spans="1:43">
      <c r="A252" t="s">
        <v>1029</v>
      </c>
      <c r="B252" s="3">
        <v>45343</v>
      </c>
      <c r="C252" s="3">
        <v>45349</v>
      </c>
      <c r="D252" t="s">
        <v>1030</v>
      </c>
      <c r="E252" t="s">
        <v>139</v>
      </c>
      <c r="F252" t="s">
        <v>122</v>
      </c>
      <c r="G252" t="s">
        <v>123</v>
      </c>
      <c r="H252" t="s">
        <v>186</v>
      </c>
      <c r="I252" t="s">
        <v>187</v>
      </c>
      <c r="J252" t="s">
        <v>126</v>
      </c>
      <c r="K252" t="s">
        <v>143</v>
      </c>
      <c r="L252" t="s">
        <v>1031</v>
      </c>
      <c r="M252" t="s">
        <v>145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199</v>
      </c>
      <c r="U252" t="s">
        <v>190</v>
      </c>
      <c r="V252" s="2">
        <f t="shared" si="40"/>
        <v>0.15</v>
      </c>
      <c r="W252" s="2">
        <f t="shared" si="41"/>
        <v>14338.904999999999</v>
      </c>
      <c r="X252" s="2">
        <f>W252-R252</f>
        <v>2441.2549999999992</v>
      </c>
      <c r="Y252" s="2">
        <f t="shared" si="42"/>
        <v>0.17025393501107647</v>
      </c>
      <c r="Z252" s="2">
        <f t="shared" si="43"/>
        <v>6</v>
      </c>
      <c r="AA252" s="2">
        <f t="shared" si="44"/>
        <v>2</v>
      </c>
      <c r="AB252" s="2">
        <f t="shared" si="45"/>
        <v>2024</v>
      </c>
      <c r="AC252" s="2" t="str">
        <f t="shared" si="46"/>
        <v>Conflicting Duplicate Order ID</v>
      </c>
      <c r="AD252" s="2">
        <f t="shared" si="47"/>
        <v>0</v>
      </c>
      <c r="AE252" s="2">
        <f t="shared" si="48"/>
        <v>0</v>
      </c>
      <c r="AH252" t="str">
        <f t="shared" si="52"/>
        <v>Arjun Bose</v>
      </c>
      <c r="AI252" t="str">
        <f t="shared" si="52"/>
        <v>Small Business</v>
      </c>
      <c r="AJ252" t="str">
        <f t="shared" si="52"/>
        <v>East</v>
      </c>
      <c r="AK252" t="str">
        <f t="shared" si="52"/>
        <v>West Bengal</v>
      </c>
      <c r="AL252" t="str">
        <f t="shared" si="52"/>
        <v>Kolkata</v>
      </c>
      <c r="AM252" t="str">
        <f t="shared" si="51"/>
        <v>Furniture</v>
      </c>
      <c r="AN252" t="str">
        <f t="shared" si="51"/>
        <v>Furnishings</v>
      </c>
      <c r="AO252" t="str">
        <f t="shared" si="49"/>
        <v>Standard Class</v>
      </c>
      <c r="AP252" t="str">
        <f t="shared" si="50"/>
        <v>Pending</v>
      </c>
      <c r="AQ252" t="str">
        <f t="shared" si="50"/>
        <v>Returned</v>
      </c>
    </row>
    <row r="253" spans="1:43">
      <c r="A253" t="s">
        <v>1032</v>
      </c>
      <c r="B253" s="3">
        <v>45753</v>
      </c>
      <c r="C253" s="3">
        <v>45757</v>
      </c>
      <c r="D253" t="s">
        <v>1033</v>
      </c>
      <c r="E253" t="s">
        <v>148</v>
      </c>
      <c r="F253" t="s">
        <v>177</v>
      </c>
      <c r="G253" t="s">
        <v>149</v>
      </c>
      <c r="H253" t="s">
        <v>276</v>
      </c>
      <c r="I253" t="s">
        <v>277</v>
      </c>
      <c r="J253" t="s">
        <v>126</v>
      </c>
      <c r="K253" t="s">
        <v>127</v>
      </c>
      <c r="L253" t="s">
        <v>1034</v>
      </c>
      <c r="M253" t="s">
        <v>116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117</v>
      </c>
      <c r="U253" t="s">
        <v>118</v>
      </c>
      <c r="V253" s="2">
        <f t="shared" si="40"/>
        <v>0</v>
      </c>
      <c r="W253" s="2">
        <f t="shared" si="41"/>
        <v>6132.96</v>
      </c>
      <c r="X253" s="2">
        <f>W253-R253</f>
        <v>1251.8599999999997</v>
      </c>
      <c r="Y253" s="2">
        <f t="shared" si="42"/>
        <v>0.20412003339333692</v>
      </c>
      <c r="Z253" s="2">
        <f t="shared" si="43"/>
        <v>4</v>
      </c>
      <c r="AA253" s="2">
        <f t="shared" si="44"/>
        <v>4</v>
      </c>
      <c r="AB253" s="2">
        <f t="shared" si="45"/>
        <v>2025</v>
      </c>
      <c r="AC253" s="2" t="str">
        <f t="shared" si="46"/>
        <v>Valid</v>
      </c>
      <c r="AD253" s="2">
        <f t="shared" si="47"/>
        <v>0</v>
      </c>
      <c r="AE253" s="2">
        <f t="shared" si="48"/>
        <v>0</v>
      </c>
      <c r="AH253" t="str">
        <f t="shared" si="52"/>
        <v>Ananya Rao</v>
      </c>
      <c r="AI253" t="str">
        <f t="shared" si="52"/>
        <v>Corporate</v>
      </c>
      <c r="AJ253" t="str">
        <f t="shared" si="52"/>
        <v>West</v>
      </c>
      <c r="AK253" t="str">
        <f t="shared" si="52"/>
        <v>Gujarat</v>
      </c>
      <c r="AL253" t="str">
        <f t="shared" si="52"/>
        <v>Ahmedabad</v>
      </c>
      <c r="AM253" t="str">
        <f t="shared" si="51"/>
        <v>Furniture</v>
      </c>
      <c r="AN253" t="str">
        <f t="shared" si="51"/>
        <v>Tables</v>
      </c>
      <c r="AO253" t="str">
        <f t="shared" si="49"/>
        <v>Second Class</v>
      </c>
      <c r="AP253" t="str">
        <f t="shared" si="50"/>
        <v>Paid</v>
      </c>
      <c r="AQ253" t="str">
        <f t="shared" si="50"/>
        <v>Completed</v>
      </c>
    </row>
    <row r="254" spans="1:43">
      <c r="A254" t="s">
        <v>1035</v>
      </c>
      <c r="B254" s="3" t="s">
        <v>1036</v>
      </c>
      <c r="C254" s="3">
        <v>45836</v>
      </c>
      <c r="D254" t="s">
        <v>1037</v>
      </c>
      <c r="E254" t="s">
        <v>139</v>
      </c>
      <c r="F254" t="s">
        <v>177</v>
      </c>
      <c r="G254" t="s">
        <v>110</v>
      </c>
      <c r="H254" t="s">
        <v>344</v>
      </c>
      <c r="I254" t="s">
        <v>345</v>
      </c>
      <c r="J254" t="s">
        <v>113</v>
      </c>
      <c r="K254" t="s">
        <v>213</v>
      </c>
      <c r="L254" t="s">
        <v>1038</v>
      </c>
      <c r="M254" t="s">
        <v>135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199</v>
      </c>
      <c r="U254" t="s">
        <v>190</v>
      </c>
      <c r="V254" s="2">
        <f t="shared" si="40"/>
        <v>0.2</v>
      </c>
      <c r="W254" s="2">
        <f t="shared" si="41"/>
        <v>2329.4720000000002</v>
      </c>
      <c r="X254" s="2">
        <f>W254-R254</f>
        <v>725.85200000000032</v>
      </c>
      <c r="Y254" s="2">
        <f t="shared" si="42"/>
        <v>0.31159507390515973</v>
      </c>
      <c r="Z254" s="2" t="str">
        <f t="shared" si="43"/>
        <v/>
      </c>
      <c r="AA254" s="2" t="e">
        <f t="shared" si="44"/>
        <v>#VALUE!</v>
      </c>
      <c r="AB254" s="2" t="e">
        <f t="shared" si="45"/>
        <v>#VALUE!</v>
      </c>
      <c r="AC254" s="2" t="str">
        <f t="shared" si="46"/>
        <v>Text Value Not Recognized as Date</v>
      </c>
      <c r="AD254" s="2">
        <f t="shared" si="47"/>
        <v>0</v>
      </c>
      <c r="AE254" s="2">
        <f t="shared" si="48"/>
        <v>0</v>
      </c>
      <c r="AH254" t="str">
        <f t="shared" si="52"/>
        <v>Arjun Bose</v>
      </c>
      <c r="AI254" t="str">
        <f t="shared" si="52"/>
        <v>Corporate</v>
      </c>
      <c r="AJ254" t="str">
        <f t="shared" si="52"/>
        <v>North</v>
      </c>
      <c r="AK254" t="str">
        <f t="shared" si="52"/>
        <v>Haryana</v>
      </c>
      <c r="AL254" t="str">
        <f t="shared" si="52"/>
        <v>Gurugram</v>
      </c>
      <c r="AM254" t="str">
        <f t="shared" si="51"/>
        <v>Office Supplies</v>
      </c>
      <c r="AN254" t="str">
        <f t="shared" si="51"/>
        <v>Storage</v>
      </c>
      <c r="AO254" t="str">
        <f t="shared" si="49"/>
        <v>First Class</v>
      </c>
      <c r="AP254" t="str">
        <f t="shared" si="50"/>
        <v>Pending</v>
      </c>
      <c r="AQ254" t="str">
        <f t="shared" si="50"/>
        <v>Returned</v>
      </c>
    </row>
    <row r="255" spans="1:43">
      <c r="A255" t="s">
        <v>1039</v>
      </c>
      <c r="B255" s="3">
        <v>45547</v>
      </c>
      <c r="C255" s="3">
        <v>45548</v>
      </c>
      <c r="D255" t="s">
        <v>1040</v>
      </c>
      <c r="E255" t="s">
        <v>203</v>
      </c>
      <c r="F255" t="s">
        <v>122</v>
      </c>
      <c r="G255" t="s">
        <v>110</v>
      </c>
      <c r="H255" t="s">
        <v>111</v>
      </c>
      <c r="I255" t="s">
        <v>112</v>
      </c>
      <c r="J255" t="s">
        <v>160</v>
      </c>
      <c r="K255" t="s">
        <v>266</v>
      </c>
      <c r="L255" t="s">
        <v>1041</v>
      </c>
      <c r="M255" t="s">
        <v>129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189</v>
      </c>
      <c r="U255" t="s">
        <v>44</v>
      </c>
      <c r="V255" s="2">
        <f t="shared" si="40"/>
        <v>0.05</v>
      </c>
      <c r="W255" s="2">
        <f t="shared" si="41"/>
        <v>4746.9029999999993</v>
      </c>
      <c r="X255" s="2">
        <f>W255-R255</f>
        <v>1921.5229999999992</v>
      </c>
      <c r="Y255" s="2">
        <f t="shared" si="42"/>
        <v>0.40479508428969363</v>
      </c>
      <c r="Z255" s="2">
        <f t="shared" si="43"/>
        <v>1</v>
      </c>
      <c r="AA255" s="2">
        <f t="shared" si="44"/>
        <v>9</v>
      </c>
      <c r="AB255" s="2">
        <f t="shared" si="45"/>
        <v>2024</v>
      </c>
      <c r="AC255" s="2" t="str">
        <f t="shared" si="46"/>
        <v>Valid</v>
      </c>
      <c r="AD255" s="2">
        <f t="shared" si="47"/>
        <v>0</v>
      </c>
      <c r="AE255" s="2">
        <f t="shared" si="48"/>
        <v>1</v>
      </c>
      <c r="AH255" t="str">
        <f t="shared" si="52"/>
        <v>Priya Menon</v>
      </c>
      <c r="AI255" t="str">
        <f t="shared" si="52"/>
        <v>Small Business</v>
      </c>
      <c r="AJ255" t="str">
        <f t="shared" si="52"/>
        <v>North</v>
      </c>
      <c r="AK255" t="str">
        <f t="shared" si="52"/>
        <v>Rajasthan</v>
      </c>
      <c r="AL255" t="str">
        <f t="shared" si="52"/>
        <v>Jaipur</v>
      </c>
      <c r="AM255" t="str">
        <f t="shared" si="51"/>
        <v>Technology</v>
      </c>
      <c r="AN255" t="str">
        <f t="shared" si="51"/>
        <v>Phones</v>
      </c>
      <c r="AO255" t="str">
        <f t="shared" si="49"/>
        <v>Same Day</v>
      </c>
      <c r="AP255" t="str">
        <f t="shared" si="50"/>
        <v>Refunded</v>
      </c>
      <c r="AQ255" t="str">
        <f t="shared" si="50"/>
        <v>Cancelled</v>
      </c>
    </row>
    <row r="256" spans="1:43">
      <c r="A256" t="s">
        <v>1042</v>
      </c>
      <c r="B256" s="3">
        <v>45658</v>
      </c>
      <c r="C256" s="3">
        <v>45717</v>
      </c>
      <c r="D256" t="s">
        <v>1043</v>
      </c>
      <c r="E256" t="s">
        <v>148</v>
      </c>
      <c r="F256" t="s">
        <v>109</v>
      </c>
      <c r="G256" t="s">
        <v>149</v>
      </c>
      <c r="H256" t="s">
        <v>158</v>
      </c>
      <c r="I256" t="s">
        <v>159</v>
      </c>
      <c r="J256" t="s">
        <v>160</v>
      </c>
      <c r="K256" t="s">
        <v>161</v>
      </c>
      <c r="L256" t="s">
        <v>1044</v>
      </c>
      <c r="M256" t="s">
        <v>129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117</v>
      </c>
      <c r="U256" t="s">
        <v>190</v>
      </c>
      <c r="V256" s="2">
        <f t="shared" si="40"/>
        <v>0.2</v>
      </c>
      <c r="W256" s="2">
        <f t="shared" si="41"/>
        <v>5603.08</v>
      </c>
      <c r="X256" s="2">
        <f>W256-R256</f>
        <v>2470.56</v>
      </c>
      <c r="Y256" s="2">
        <f t="shared" si="42"/>
        <v>0.44092891766671188</v>
      </c>
      <c r="Z256" s="2">
        <f t="shared" si="43"/>
        <v>59</v>
      </c>
      <c r="AA256" s="2">
        <f t="shared" si="44"/>
        <v>1</v>
      </c>
      <c r="AB256" s="2">
        <f t="shared" si="45"/>
        <v>2025</v>
      </c>
      <c r="AC256" s="2" t="str">
        <f t="shared" si="46"/>
        <v>Valid</v>
      </c>
      <c r="AD256" s="2">
        <f t="shared" si="47"/>
        <v>0</v>
      </c>
      <c r="AE256" s="2">
        <f t="shared" si="48"/>
        <v>0</v>
      </c>
      <c r="AH256" t="str">
        <f t="shared" si="52"/>
        <v>Ananya Rao</v>
      </c>
      <c r="AI256" t="str">
        <f t="shared" si="52"/>
        <v>Consumer</v>
      </c>
      <c r="AJ256" t="str">
        <f t="shared" si="52"/>
        <v>West</v>
      </c>
      <c r="AK256" t="str">
        <f t="shared" si="52"/>
        <v>Madhya Pradesh</v>
      </c>
      <c r="AL256" t="str">
        <f t="shared" si="52"/>
        <v>Indore</v>
      </c>
      <c r="AM256" t="str">
        <f t="shared" si="51"/>
        <v>Technology</v>
      </c>
      <c r="AN256" t="str">
        <f t="shared" si="51"/>
        <v>Accessories</v>
      </c>
      <c r="AO256" t="str">
        <f t="shared" si="49"/>
        <v>Same Day</v>
      </c>
      <c r="AP256" t="str">
        <f t="shared" si="50"/>
        <v>Paid</v>
      </c>
      <c r="AQ256" t="str">
        <f t="shared" si="50"/>
        <v>Returned</v>
      </c>
    </row>
    <row r="257" spans="1:43">
      <c r="A257" t="s">
        <v>1045</v>
      </c>
      <c r="B257" s="3">
        <v>45692</v>
      </c>
      <c r="C257" s="3">
        <v>45698</v>
      </c>
      <c r="D257" t="s">
        <v>1046</v>
      </c>
      <c r="E257" t="s">
        <v>132</v>
      </c>
      <c r="F257" t="s">
        <v>177</v>
      </c>
      <c r="G257" t="s">
        <v>149</v>
      </c>
      <c r="H257" t="s">
        <v>150</v>
      </c>
      <c r="I257" t="s">
        <v>151</v>
      </c>
      <c r="J257" t="s">
        <v>160</v>
      </c>
      <c r="K257" t="s">
        <v>266</v>
      </c>
      <c r="L257" t="s">
        <v>1047</v>
      </c>
      <c r="M257" t="s">
        <v>135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117</v>
      </c>
      <c r="U257" t="s">
        <v>118</v>
      </c>
      <c r="V257" s="2">
        <f t="shared" si="40"/>
        <v>0</v>
      </c>
      <c r="W257" s="2">
        <f t="shared" si="41"/>
        <v>12810</v>
      </c>
      <c r="X257" s="2">
        <f>W257-R257</f>
        <v>3475.8799999999992</v>
      </c>
      <c r="Y257" s="2">
        <f t="shared" si="42"/>
        <v>0.27134113973458229</v>
      </c>
      <c r="Z257" s="2">
        <f t="shared" si="43"/>
        <v>6</v>
      </c>
      <c r="AA257" s="2">
        <f t="shared" si="44"/>
        <v>2</v>
      </c>
      <c r="AB257" s="2">
        <f t="shared" si="45"/>
        <v>2025</v>
      </c>
      <c r="AC257" s="2" t="str">
        <f t="shared" si="46"/>
        <v>Valid</v>
      </c>
      <c r="AD257" s="2">
        <f t="shared" si="47"/>
        <v>0</v>
      </c>
      <c r="AE257" s="2">
        <f t="shared" si="48"/>
        <v>0</v>
      </c>
      <c r="AH257" t="str">
        <f t="shared" si="52"/>
        <v>Isha Nair</v>
      </c>
      <c r="AI257" t="str">
        <f t="shared" si="52"/>
        <v>Corporate</v>
      </c>
      <c r="AJ257" t="str">
        <f t="shared" si="52"/>
        <v>West</v>
      </c>
      <c r="AK257" t="str">
        <f t="shared" si="52"/>
        <v>Maharashtra</v>
      </c>
      <c r="AL257" t="str">
        <f t="shared" si="52"/>
        <v>Mumbai</v>
      </c>
      <c r="AM257" t="str">
        <f t="shared" si="51"/>
        <v>Technology</v>
      </c>
      <c r="AN257" t="str">
        <f t="shared" si="51"/>
        <v>Phones</v>
      </c>
      <c r="AO257" t="str">
        <f t="shared" si="49"/>
        <v>First Class</v>
      </c>
      <c r="AP257" t="str">
        <f t="shared" si="50"/>
        <v>Paid</v>
      </c>
      <c r="AQ257" t="str">
        <f t="shared" si="50"/>
        <v>Completed</v>
      </c>
    </row>
    <row r="258" spans="1:43">
      <c r="A258" t="s">
        <v>1048</v>
      </c>
      <c r="B258" s="3">
        <v>45601</v>
      </c>
      <c r="C258" s="3">
        <v>45599</v>
      </c>
      <c r="D258" t="s">
        <v>1049</v>
      </c>
      <c r="E258" t="s">
        <v>148</v>
      </c>
      <c r="F258" t="s">
        <v>109</v>
      </c>
      <c r="G258" t="s">
        <v>123</v>
      </c>
      <c r="H258" t="s">
        <v>186</v>
      </c>
      <c r="I258" t="s">
        <v>187</v>
      </c>
      <c r="J258" t="s">
        <v>126</v>
      </c>
      <c r="K258" t="s">
        <v>127</v>
      </c>
      <c r="L258" t="s">
        <v>1050</v>
      </c>
      <c r="M258" t="s">
        <v>135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117</v>
      </c>
      <c r="U258" t="s">
        <v>118</v>
      </c>
      <c r="V258" s="2">
        <f t="shared" si="40"/>
        <v>0.05</v>
      </c>
      <c r="W258" s="2">
        <f t="shared" si="41"/>
        <v>19328.215500000002</v>
      </c>
      <c r="X258" s="2">
        <f>W258-R258</f>
        <v>7288.7155000000021</v>
      </c>
      <c r="Y258" s="2">
        <f t="shared" si="42"/>
        <v>0.3771023507058891</v>
      </c>
      <c r="Z258" s="2">
        <f t="shared" si="43"/>
        <v>-2</v>
      </c>
      <c r="AA258" s="2">
        <f t="shared" si="44"/>
        <v>11</v>
      </c>
      <c r="AB258" s="2">
        <f t="shared" si="45"/>
        <v>2024</v>
      </c>
      <c r="AC258" s="2" t="str">
        <f t="shared" si="46"/>
        <v>Invalid shipping record</v>
      </c>
      <c r="AD258" s="2">
        <f t="shared" si="47"/>
        <v>0</v>
      </c>
      <c r="AE258" s="2">
        <f t="shared" si="48"/>
        <v>0</v>
      </c>
      <c r="AH258" t="str">
        <f t="shared" si="52"/>
        <v>Ananya Rao</v>
      </c>
      <c r="AI258" t="str">
        <f t="shared" si="52"/>
        <v>Consumer</v>
      </c>
      <c r="AJ258" t="str">
        <f t="shared" si="52"/>
        <v>East</v>
      </c>
      <c r="AK258" t="str">
        <f t="shared" si="52"/>
        <v>West Bengal</v>
      </c>
      <c r="AL258" t="str">
        <f t="shared" si="52"/>
        <v>Kolkata</v>
      </c>
      <c r="AM258" t="str">
        <f t="shared" si="51"/>
        <v>Furniture</v>
      </c>
      <c r="AN258" t="str">
        <f t="shared" si="51"/>
        <v>Tables</v>
      </c>
      <c r="AO258" t="str">
        <f t="shared" si="49"/>
        <v>First Class</v>
      </c>
      <c r="AP258" t="str">
        <f t="shared" si="50"/>
        <v>Paid</v>
      </c>
      <c r="AQ258" t="str">
        <f t="shared" si="50"/>
        <v>Completed</v>
      </c>
    </row>
    <row r="259" spans="1:43">
      <c r="A259" t="s">
        <v>1051</v>
      </c>
      <c r="B259" s="3">
        <v>45878</v>
      </c>
      <c r="C259" s="3">
        <v>45881</v>
      </c>
      <c r="D259" t="s">
        <v>1052</v>
      </c>
      <c r="E259" t="s">
        <v>256</v>
      </c>
      <c r="F259" t="s">
        <v>177</v>
      </c>
      <c r="G259" t="s">
        <v>140</v>
      </c>
      <c r="H259" t="s">
        <v>270</v>
      </c>
      <c r="I259" t="s">
        <v>271</v>
      </c>
      <c r="J259" t="s">
        <v>160</v>
      </c>
      <c r="K259" t="s">
        <v>161</v>
      </c>
      <c r="L259" t="s">
        <v>1053</v>
      </c>
      <c r="M259" t="s">
        <v>116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117</v>
      </c>
      <c r="U259" t="s">
        <v>44</v>
      </c>
      <c r="V259" s="2">
        <f t="shared" ref="V259:V322" si="53">IF(ISBLANK(P259), 0, P259)</f>
        <v>0</v>
      </c>
      <c r="W259" s="2">
        <f t="shared" ref="W259:W322" si="54">N259 * O259 * (1 - P259)</f>
        <v>6474.54</v>
      </c>
      <c r="X259" s="2">
        <f>W259-R259</f>
        <v>1378.63</v>
      </c>
      <c r="Y259" s="2">
        <f t="shared" ref="Y259:Y322" si="55">IFERROR(X259 / W259, 0)</f>
        <v>0.21293095725719513</v>
      </c>
      <c r="Z259" s="2">
        <f t="shared" ref="Z259:Z322" si="56">IF(OR(ISBLANK(B259), ISBLANK(C259), ISTEXT(B259), ISTEXT(C259)), "", C259 - B259)</f>
        <v>3</v>
      </c>
      <c r="AA259" s="2">
        <f t="shared" ref="AA259:AA322" si="57">MONTH(B259)</f>
        <v>8</v>
      </c>
      <c r="AB259" s="2">
        <f t="shared" ref="AB259:AB322" si="58">YEAR(B259)</f>
        <v>2025</v>
      </c>
      <c r="AC259" s="2" t="str">
        <f t="shared" ref="AC259:AC322" si="59">IF(COUNTIF(A:A, A259) &gt; 1, "Conflicting Duplicate Order ID",
 IF(OR(G259="Unknown", ISBLANK(G259)), "Missing region",
 IF(OR(M259="Unknown", ISBLANK(M259)), "Missing ship_mode",
 IF(OR(ISBLANK(B259), ISBLANK(C259)), "Missing Date",
 IF(OR(ISTEXT(B259), ISTEXT(C259)), "Text Value Not Recognized as Date",
 IF(C259 &lt; B259, "Invalid shipping record",
 IF(P259 &lt; 0, "Invalid",
 IF(P259 &gt; 0.7, "Invalid",
 "Valid"))))))))</f>
        <v>Valid</v>
      </c>
      <c r="AD259" s="2">
        <f t="shared" ref="AD259:AD322" si="60">IF(ABS(Q259 - W259) &gt; 0.01, 1, 0)</f>
        <v>0</v>
      </c>
      <c r="AE259" s="2">
        <f t="shared" ref="AE259:AE322" si="61">IF(ABS(S259 - X259) &gt; 0.01, 1, 0)</f>
        <v>0</v>
      </c>
      <c r="AH259" t="str">
        <f t="shared" si="52"/>
        <v>Diya Patel</v>
      </c>
      <c r="AI259" t="str">
        <f t="shared" si="52"/>
        <v>Corporate</v>
      </c>
      <c r="AJ259" t="str">
        <f t="shared" si="52"/>
        <v>South</v>
      </c>
      <c r="AK259" t="str">
        <f t="shared" si="52"/>
        <v>Karnataka</v>
      </c>
      <c r="AL259" t="str">
        <f t="shared" si="52"/>
        <v>Bengaluru</v>
      </c>
      <c r="AM259" t="str">
        <f t="shared" si="51"/>
        <v>Technology</v>
      </c>
      <c r="AN259" t="str">
        <f t="shared" si="51"/>
        <v>Accessories</v>
      </c>
      <c r="AO259" t="str">
        <f t="shared" ref="AO259:AO322" si="62">PROPER(TRIM(M259))</f>
        <v>Second Class</v>
      </c>
      <c r="AP259" t="str">
        <f t="shared" ref="AP259:AQ322" si="63">PROPER(TRIM(T259))</f>
        <v>Paid</v>
      </c>
      <c r="AQ259" t="str">
        <f t="shared" si="63"/>
        <v>Cancelled</v>
      </c>
    </row>
    <row r="260" spans="1:43">
      <c r="A260" t="s">
        <v>1054</v>
      </c>
      <c r="B260" s="3">
        <v>45656</v>
      </c>
      <c r="C260" s="3">
        <v>45661</v>
      </c>
      <c r="D260" t="s">
        <v>1055</v>
      </c>
      <c r="E260" t="s">
        <v>222</v>
      </c>
      <c r="F260" t="s">
        <v>177</v>
      </c>
      <c r="G260" t="s">
        <v>140</v>
      </c>
      <c r="H260" t="s">
        <v>357</v>
      </c>
      <c r="I260" t="s">
        <v>358</v>
      </c>
      <c r="J260" t="s">
        <v>126</v>
      </c>
      <c r="K260" t="s">
        <v>127</v>
      </c>
      <c r="L260" t="s">
        <v>1056</v>
      </c>
      <c r="M260" t="s">
        <v>129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117</v>
      </c>
      <c r="U260" t="s">
        <v>118</v>
      </c>
      <c r="V260" s="2">
        <f t="shared" si="53"/>
        <v>0.25</v>
      </c>
      <c r="W260" s="2">
        <f t="shared" si="54"/>
        <v>5580.1050000000005</v>
      </c>
      <c r="X260" s="2">
        <f>W260-R260</f>
        <v>1273.0950000000003</v>
      </c>
      <c r="Y260" s="2">
        <f t="shared" si="55"/>
        <v>0.22814893268137429</v>
      </c>
      <c r="Z260" s="2">
        <f t="shared" si="56"/>
        <v>5</v>
      </c>
      <c r="AA260" s="2">
        <f t="shared" si="57"/>
        <v>12</v>
      </c>
      <c r="AB260" s="2">
        <f t="shared" si="58"/>
        <v>2024</v>
      </c>
      <c r="AC260" s="2" t="str">
        <f t="shared" si="59"/>
        <v>Valid</v>
      </c>
      <c r="AD260" s="2">
        <f t="shared" si="60"/>
        <v>0</v>
      </c>
      <c r="AE260" s="2">
        <f t="shared" si="61"/>
        <v>0</v>
      </c>
      <c r="AH260" t="str">
        <f t="shared" si="52"/>
        <v>Sneha Kapoor</v>
      </c>
      <c r="AI260" t="str">
        <f t="shared" si="52"/>
        <v>Corporate</v>
      </c>
      <c r="AJ260" t="str">
        <f t="shared" si="52"/>
        <v>South</v>
      </c>
      <c r="AK260" t="str">
        <f t="shared" si="52"/>
        <v>Tamil Nadu</v>
      </c>
      <c r="AL260" t="str">
        <f t="shared" si="52"/>
        <v>Chennai</v>
      </c>
      <c r="AM260" t="str">
        <f t="shared" si="51"/>
        <v>Furniture</v>
      </c>
      <c r="AN260" t="str">
        <f t="shared" si="51"/>
        <v>Tables</v>
      </c>
      <c r="AO260" t="str">
        <f t="shared" si="62"/>
        <v>Same Day</v>
      </c>
      <c r="AP260" t="str">
        <f t="shared" si="63"/>
        <v>Paid</v>
      </c>
      <c r="AQ260" t="str">
        <f t="shared" si="63"/>
        <v>Completed</v>
      </c>
    </row>
    <row r="261" spans="1:43">
      <c r="A261" t="s">
        <v>1057</v>
      </c>
      <c r="B261" s="3">
        <v>45464</v>
      </c>
      <c r="C261" s="3">
        <v>45472</v>
      </c>
      <c r="D261" t="s">
        <v>1058</v>
      </c>
      <c r="E261" t="s">
        <v>165</v>
      </c>
      <c r="F261" t="s">
        <v>109</v>
      </c>
      <c r="G261" t="s">
        <v>140</v>
      </c>
      <c r="H261" t="s">
        <v>357</v>
      </c>
      <c r="I261" t="s">
        <v>358</v>
      </c>
      <c r="J261" t="s">
        <v>160</v>
      </c>
      <c r="K261" t="s">
        <v>385</v>
      </c>
      <c r="L261" t="s">
        <v>1059</v>
      </c>
      <c r="M261" t="s">
        <v>145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117</v>
      </c>
      <c r="U261" t="s">
        <v>118</v>
      </c>
      <c r="V261" s="2">
        <f t="shared" si="53"/>
        <v>0.2</v>
      </c>
      <c r="W261" s="2">
        <f t="shared" si="54"/>
        <v>18265.088</v>
      </c>
      <c r="X261" s="2">
        <f>W261-R261</f>
        <v>7827.9480000000003</v>
      </c>
      <c r="Y261" s="2">
        <f t="shared" si="55"/>
        <v>0.42857433810338064</v>
      </c>
      <c r="Z261" s="2">
        <f t="shared" si="56"/>
        <v>8</v>
      </c>
      <c r="AA261" s="2">
        <f t="shared" si="57"/>
        <v>6</v>
      </c>
      <c r="AB261" s="2">
        <f t="shared" si="58"/>
        <v>2024</v>
      </c>
      <c r="AC261" s="2" t="str">
        <f t="shared" si="59"/>
        <v>Valid</v>
      </c>
      <c r="AD261" s="2">
        <f t="shared" si="60"/>
        <v>0</v>
      </c>
      <c r="AE261" s="2">
        <f t="shared" si="61"/>
        <v>0</v>
      </c>
      <c r="AH261" t="str">
        <f t="shared" si="52"/>
        <v>Neha Gupta</v>
      </c>
      <c r="AI261" t="str">
        <f t="shared" si="52"/>
        <v>Consumer</v>
      </c>
      <c r="AJ261" t="str">
        <f t="shared" si="52"/>
        <v>South</v>
      </c>
      <c r="AK261" t="str">
        <f t="shared" si="52"/>
        <v>Tamil Nadu</v>
      </c>
      <c r="AL261" t="str">
        <f t="shared" si="52"/>
        <v>Chennai</v>
      </c>
      <c r="AM261" t="str">
        <f t="shared" si="51"/>
        <v>Technology</v>
      </c>
      <c r="AN261" t="str">
        <f t="shared" si="51"/>
        <v>Machines</v>
      </c>
      <c r="AO261" t="str">
        <f t="shared" si="62"/>
        <v>Standard Class</v>
      </c>
      <c r="AP261" t="str">
        <f t="shared" si="63"/>
        <v>Paid</v>
      </c>
      <c r="AQ261" t="str">
        <f t="shared" si="63"/>
        <v>Completed</v>
      </c>
    </row>
    <row r="262" spans="1:43">
      <c r="A262" t="s">
        <v>1060</v>
      </c>
      <c r="B262" s="3">
        <v>45923</v>
      </c>
      <c r="C262" s="3">
        <v>45927</v>
      </c>
      <c r="D262" t="s">
        <v>1061</v>
      </c>
      <c r="E262" t="s">
        <v>176</v>
      </c>
      <c r="F262" t="s">
        <v>177</v>
      </c>
      <c r="G262" t="s">
        <v>123</v>
      </c>
      <c r="H262" t="s">
        <v>186</v>
      </c>
      <c r="I262" t="s">
        <v>187</v>
      </c>
      <c r="J262" t="s">
        <v>113</v>
      </c>
      <c r="K262" t="s">
        <v>246</v>
      </c>
      <c r="L262" t="s">
        <v>1062</v>
      </c>
      <c r="M262" t="s">
        <v>129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248</v>
      </c>
      <c r="U262" t="s">
        <v>190</v>
      </c>
      <c r="V262" s="2">
        <f t="shared" si="53"/>
        <v>0.25</v>
      </c>
      <c r="W262" s="2">
        <f t="shared" si="54"/>
        <v>15209.880000000001</v>
      </c>
      <c r="X262" s="2">
        <f>W262-R262</f>
        <v>4318.7300000000014</v>
      </c>
      <c r="Y262" s="2">
        <f t="shared" si="55"/>
        <v>0.28394241111698454</v>
      </c>
      <c r="Z262" s="2">
        <f t="shared" si="56"/>
        <v>4</v>
      </c>
      <c r="AA262" s="2">
        <f t="shared" si="57"/>
        <v>9</v>
      </c>
      <c r="AB262" s="2">
        <f t="shared" si="58"/>
        <v>2025</v>
      </c>
      <c r="AC262" s="2" t="str">
        <f t="shared" si="59"/>
        <v>Valid</v>
      </c>
      <c r="AD262" s="2">
        <f t="shared" si="60"/>
        <v>0</v>
      </c>
      <c r="AE262" s="2">
        <f t="shared" si="61"/>
        <v>0</v>
      </c>
      <c r="AH262" t="str">
        <f t="shared" si="52"/>
        <v>Aditi Sen</v>
      </c>
      <c r="AI262" t="str">
        <f t="shared" si="52"/>
        <v>Corporate</v>
      </c>
      <c r="AJ262" t="str">
        <f t="shared" ref="AJ262:AN325" si="64">PROPER(TRIM(G262))</f>
        <v>East</v>
      </c>
      <c r="AK262" t="str">
        <f t="shared" si="64"/>
        <v>West Bengal</v>
      </c>
      <c r="AL262" t="str">
        <f t="shared" si="64"/>
        <v>Kolkata</v>
      </c>
      <c r="AM262" t="str">
        <f t="shared" si="51"/>
        <v>Office Supplies</v>
      </c>
      <c r="AN262" t="str">
        <f t="shared" si="51"/>
        <v>Binders</v>
      </c>
      <c r="AO262" t="str">
        <f t="shared" si="62"/>
        <v>Same Day</v>
      </c>
      <c r="AP262" t="str">
        <f t="shared" si="63"/>
        <v>Failed</v>
      </c>
      <c r="AQ262" t="str">
        <f t="shared" si="63"/>
        <v>Returned</v>
      </c>
    </row>
    <row r="263" spans="1:43">
      <c r="A263" t="s">
        <v>1063</v>
      </c>
      <c r="B263" s="3">
        <v>45826</v>
      </c>
      <c r="C263" s="3">
        <v>45832</v>
      </c>
      <c r="D263" t="s">
        <v>1064</v>
      </c>
      <c r="E263" t="s">
        <v>222</v>
      </c>
      <c r="F263" t="s">
        <v>177</v>
      </c>
      <c r="G263" t="s">
        <v>110</v>
      </c>
      <c r="H263" t="s">
        <v>111</v>
      </c>
      <c r="I263" t="s">
        <v>112</v>
      </c>
      <c r="J263" t="s">
        <v>113</v>
      </c>
      <c r="K263" t="s">
        <v>178</v>
      </c>
      <c r="L263" t="s">
        <v>1065</v>
      </c>
      <c r="M263" t="s">
        <v>145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248</v>
      </c>
      <c r="U263" t="s">
        <v>44</v>
      </c>
      <c r="V263" s="2">
        <f t="shared" si="53"/>
        <v>0.2</v>
      </c>
      <c r="W263" s="2">
        <f t="shared" si="54"/>
        <v>1648.1760000000004</v>
      </c>
      <c r="X263" s="2">
        <f>W263-R263</f>
        <v>660.26600000000042</v>
      </c>
      <c r="Y263" s="2">
        <f t="shared" si="55"/>
        <v>0.40060406170214846</v>
      </c>
      <c r="Z263" s="2">
        <f t="shared" si="56"/>
        <v>6</v>
      </c>
      <c r="AA263" s="2">
        <f t="shared" si="57"/>
        <v>6</v>
      </c>
      <c r="AB263" s="2">
        <f t="shared" si="58"/>
        <v>2025</v>
      </c>
      <c r="AC263" s="2" t="str">
        <f t="shared" si="59"/>
        <v>Valid</v>
      </c>
      <c r="AD263" s="2">
        <f t="shared" si="60"/>
        <v>0</v>
      </c>
      <c r="AE263" s="2">
        <f t="shared" si="61"/>
        <v>0</v>
      </c>
      <c r="AH263" t="str">
        <f t="shared" ref="AH263:AN326" si="65">PROPER(TRIM(E263))</f>
        <v>Sneha Kapoor</v>
      </c>
      <c r="AI263" t="str">
        <f t="shared" si="65"/>
        <v>Corporate</v>
      </c>
      <c r="AJ263" t="str">
        <f t="shared" si="64"/>
        <v>North</v>
      </c>
      <c r="AK263" t="str">
        <f t="shared" si="64"/>
        <v>Rajasthan</v>
      </c>
      <c r="AL263" t="str">
        <f t="shared" si="64"/>
        <v>Jaipur</v>
      </c>
      <c r="AM263" t="str">
        <f t="shared" si="51"/>
        <v>Office Supplies</v>
      </c>
      <c r="AN263" t="str">
        <f t="shared" si="51"/>
        <v>Labels</v>
      </c>
      <c r="AO263" t="str">
        <f t="shared" si="62"/>
        <v>Standard Class</v>
      </c>
      <c r="AP263" t="str">
        <f t="shared" si="63"/>
        <v>Failed</v>
      </c>
      <c r="AQ263" t="str">
        <f t="shared" si="63"/>
        <v>Cancelled</v>
      </c>
    </row>
    <row r="264" spans="1:43">
      <c r="A264" t="s">
        <v>1066</v>
      </c>
      <c r="B264" s="3">
        <v>45803</v>
      </c>
      <c r="C264" s="3">
        <v>45809</v>
      </c>
      <c r="D264" t="s">
        <v>774</v>
      </c>
      <c r="E264" t="s">
        <v>139</v>
      </c>
      <c r="F264" t="s">
        <v>122</v>
      </c>
      <c r="G264" t="s">
        <v>110</v>
      </c>
      <c r="H264" t="s">
        <v>465</v>
      </c>
      <c r="I264" t="s">
        <v>466</v>
      </c>
      <c r="J264" t="s">
        <v>160</v>
      </c>
      <c r="K264" t="s">
        <v>266</v>
      </c>
      <c r="L264" t="s">
        <v>1067</v>
      </c>
      <c r="M264" t="s">
        <v>129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199</v>
      </c>
      <c r="U264" t="s">
        <v>190</v>
      </c>
      <c r="V264" s="2">
        <f t="shared" si="53"/>
        <v>0</v>
      </c>
      <c r="W264" s="2">
        <f t="shared" si="54"/>
        <v>13399.44</v>
      </c>
      <c r="X264" s="2">
        <f>W264-R264</f>
        <v>4818.09</v>
      </c>
      <c r="Y264" s="2">
        <f t="shared" si="55"/>
        <v>0.3595739821962709</v>
      </c>
      <c r="Z264" s="2">
        <f t="shared" si="56"/>
        <v>6</v>
      </c>
      <c r="AA264" s="2">
        <f t="shared" si="57"/>
        <v>5</v>
      </c>
      <c r="AB264" s="2">
        <f t="shared" si="58"/>
        <v>2025</v>
      </c>
      <c r="AC264" s="2" t="str">
        <f t="shared" si="59"/>
        <v>Valid</v>
      </c>
      <c r="AD264" s="2">
        <f t="shared" si="60"/>
        <v>0</v>
      </c>
      <c r="AE264" s="2">
        <f t="shared" si="61"/>
        <v>0</v>
      </c>
      <c r="AH264" t="str">
        <f t="shared" si="65"/>
        <v>Arjun Bose</v>
      </c>
      <c r="AI264" t="str">
        <f t="shared" si="65"/>
        <v>Small Business</v>
      </c>
      <c r="AJ264" t="str">
        <f t="shared" si="64"/>
        <v>North</v>
      </c>
      <c r="AK264" t="str">
        <f t="shared" si="64"/>
        <v>Delhi</v>
      </c>
      <c r="AL264" t="str">
        <f t="shared" si="64"/>
        <v>New Delhi</v>
      </c>
      <c r="AM264" t="str">
        <f t="shared" si="51"/>
        <v>Technology</v>
      </c>
      <c r="AN264" t="str">
        <f t="shared" si="51"/>
        <v>Phones</v>
      </c>
      <c r="AO264" t="str">
        <f t="shared" si="62"/>
        <v>Same Day</v>
      </c>
      <c r="AP264" t="str">
        <f t="shared" si="63"/>
        <v>Pending</v>
      </c>
      <c r="AQ264" t="str">
        <f t="shared" si="63"/>
        <v>Returned</v>
      </c>
    </row>
    <row r="265" spans="1:43">
      <c r="A265" t="s">
        <v>1068</v>
      </c>
      <c r="B265" s="3">
        <v>45875</v>
      </c>
      <c r="C265" s="3">
        <v>45938</v>
      </c>
      <c r="D265" t="s">
        <v>1069</v>
      </c>
      <c r="E265" t="s">
        <v>232</v>
      </c>
      <c r="F265" t="s">
        <v>122</v>
      </c>
      <c r="G265" t="s">
        <v>110</v>
      </c>
      <c r="H265" t="s">
        <v>465</v>
      </c>
      <c r="I265" t="s">
        <v>466</v>
      </c>
      <c r="J265" t="s">
        <v>113</v>
      </c>
      <c r="K265" t="s">
        <v>246</v>
      </c>
      <c r="L265" t="s">
        <v>1070</v>
      </c>
      <c r="M265" t="s">
        <v>116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199</v>
      </c>
      <c r="U265" t="s">
        <v>190</v>
      </c>
      <c r="V265" s="2">
        <f t="shared" si="53"/>
        <v>0.1</v>
      </c>
      <c r="W265" s="2">
        <f t="shared" si="54"/>
        <v>32743.844999999998</v>
      </c>
      <c r="X265" s="2">
        <f>W265-R265</f>
        <v>10291.794999999998</v>
      </c>
      <c r="Y265" s="2">
        <f t="shared" si="55"/>
        <v>0.314312353970647</v>
      </c>
      <c r="Z265" s="2">
        <f t="shared" si="56"/>
        <v>63</v>
      </c>
      <c r="AA265" s="2">
        <f t="shared" si="57"/>
        <v>8</v>
      </c>
      <c r="AB265" s="2">
        <f t="shared" si="58"/>
        <v>2025</v>
      </c>
      <c r="AC265" s="2" t="str">
        <f t="shared" si="59"/>
        <v>Valid</v>
      </c>
      <c r="AD265" s="2">
        <f t="shared" si="60"/>
        <v>0</v>
      </c>
      <c r="AE265" s="2">
        <f t="shared" si="61"/>
        <v>0</v>
      </c>
      <c r="AH265" t="str">
        <f t="shared" si="65"/>
        <v>Rohan Mehta</v>
      </c>
      <c r="AI265" t="str">
        <f t="shared" si="65"/>
        <v>Small Business</v>
      </c>
      <c r="AJ265" t="str">
        <f t="shared" si="64"/>
        <v>North</v>
      </c>
      <c r="AK265" t="str">
        <f t="shared" si="64"/>
        <v>Delhi</v>
      </c>
      <c r="AL265" t="str">
        <f t="shared" si="64"/>
        <v>New Delhi</v>
      </c>
      <c r="AM265" t="str">
        <f t="shared" si="51"/>
        <v>Office Supplies</v>
      </c>
      <c r="AN265" t="str">
        <f t="shared" si="51"/>
        <v>Binders</v>
      </c>
      <c r="AO265" t="str">
        <f t="shared" si="62"/>
        <v>Second Class</v>
      </c>
      <c r="AP265" t="str">
        <f t="shared" si="63"/>
        <v>Pending</v>
      </c>
      <c r="AQ265" t="str">
        <f t="shared" si="63"/>
        <v>Returned</v>
      </c>
    </row>
    <row r="266" spans="1:43">
      <c r="A266" t="s">
        <v>1071</v>
      </c>
      <c r="B266" s="3" t="s">
        <v>1072</v>
      </c>
      <c r="C266" s="3">
        <v>45433</v>
      </c>
      <c r="D266" t="s">
        <v>1073</v>
      </c>
      <c r="E266" t="s">
        <v>256</v>
      </c>
      <c r="F266" t="s">
        <v>122</v>
      </c>
      <c r="G266" t="s">
        <v>123</v>
      </c>
      <c r="H266" t="s">
        <v>237</v>
      </c>
      <c r="I266" t="s">
        <v>238</v>
      </c>
      <c r="J266" t="s">
        <v>160</v>
      </c>
      <c r="K266" t="s">
        <v>166</v>
      </c>
      <c r="L266" t="s">
        <v>1074</v>
      </c>
      <c r="M266" t="s">
        <v>145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117</v>
      </c>
      <c r="U266" t="s">
        <v>118</v>
      </c>
      <c r="V266" s="2">
        <f t="shared" si="53"/>
        <v>0</v>
      </c>
      <c r="W266" s="2">
        <f t="shared" si="54"/>
        <v>6012.28</v>
      </c>
      <c r="X266" s="2">
        <f>W266-R266</f>
        <v>2084.64</v>
      </c>
      <c r="Y266" s="2">
        <f t="shared" si="55"/>
        <v>0.34673035853286938</v>
      </c>
      <c r="Z266" s="2" t="str">
        <f t="shared" si="56"/>
        <v/>
      </c>
      <c r="AA266" s="2" t="e">
        <f t="shared" si="57"/>
        <v>#VALUE!</v>
      </c>
      <c r="AB266" s="2" t="e">
        <f t="shared" si="58"/>
        <v>#VALUE!</v>
      </c>
      <c r="AC266" s="2" t="str">
        <f t="shared" si="59"/>
        <v>Text Value Not Recognized as Date</v>
      </c>
      <c r="AD266" s="2">
        <f t="shared" si="60"/>
        <v>0</v>
      </c>
      <c r="AE266" s="2">
        <f t="shared" si="61"/>
        <v>0</v>
      </c>
      <c r="AH266" t="str">
        <f t="shared" si="65"/>
        <v>Diya Patel</v>
      </c>
      <c r="AI266" t="str">
        <f t="shared" si="65"/>
        <v>Small Business</v>
      </c>
      <c r="AJ266" t="str">
        <f t="shared" si="64"/>
        <v>East</v>
      </c>
      <c r="AK266" t="str">
        <f t="shared" si="64"/>
        <v>Bihar</v>
      </c>
      <c r="AL266" t="str">
        <f t="shared" si="64"/>
        <v>Patna</v>
      </c>
      <c r="AM266" t="str">
        <f t="shared" si="51"/>
        <v>Technology</v>
      </c>
      <c r="AN266" t="str">
        <f t="shared" si="51"/>
        <v>Copiers</v>
      </c>
      <c r="AO266" t="str">
        <f t="shared" si="62"/>
        <v>Standard Class</v>
      </c>
      <c r="AP266" t="str">
        <f t="shared" si="63"/>
        <v>Paid</v>
      </c>
      <c r="AQ266" t="str">
        <f t="shared" si="63"/>
        <v>Completed</v>
      </c>
    </row>
    <row r="267" spans="1:43">
      <c r="A267" t="s">
        <v>1075</v>
      </c>
      <c r="B267" s="3">
        <v>45610</v>
      </c>
      <c r="C267" s="3">
        <v>45618</v>
      </c>
      <c r="D267" t="s">
        <v>1076</v>
      </c>
      <c r="E267" t="s">
        <v>203</v>
      </c>
      <c r="F267" t="s">
        <v>177</v>
      </c>
      <c r="G267" t="s">
        <v>123</v>
      </c>
      <c r="H267" t="s">
        <v>237</v>
      </c>
      <c r="I267" t="s">
        <v>238</v>
      </c>
      <c r="J267" t="s">
        <v>126</v>
      </c>
      <c r="K267" t="s">
        <v>252</v>
      </c>
      <c r="L267" t="s">
        <v>1077</v>
      </c>
      <c r="M267" t="s">
        <v>129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189</v>
      </c>
      <c r="U267" t="s">
        <v>44</v>
      </c>
      <c r="V267" s="2">
        <f t="shared" si="53"/>
        <v>0.15</v>
      </c>
      <c r="W267" s="2">
        <f t="shared" si="54"/>
        <v>495.0145</v>
      </c>
      <c r="X267" s="2">
        <f>W267-R267</f>
        <v>209.8845</v>
      </c>
      <c r="Y267" s="2">
        <f t="shared" si="55"/>
        <v>0.42399667080459258</v>
      </c>
      <c r="Z267" s="2">
        <f t="shared" si="56"/>
        <v>8</v>
      </c>
      <c r="AA267" s="2">
        <f t="shared" si="57"/>
        <v>11</v>
      </c>
      <c r="AB267" s="2">
        <f t="shared" si="58"/>
        <v>2024</v>
      </c>
      <c r="AC267" s="2" t="str">
        <f t="shared" si="59"/>
        <v>Valid</v>
      </c>
      <c r="AD267" s="2">
        <f t="shared" si="60"/>
        <v>0</v>
      </c>
      <c r="AE267" s="2">
        <f t="shared" si="61"/>
        <v>0</v>
      </c>
      <c r="AH267" t="str">
        <f t="shared" si="65"/>
        <v>Priya Menon</v>
      </c>
      <c r="AI267" t="str">
        <f t="shared" si="65"/>
        <v>Corporate</v>
      </c>
      <c r="AJ267" t="str">
        <f t="shared" si="64"/>
        <v>East</v>
      </c>
      <c r="AK267" t="str">
        <f t="shared" si="64"/>
        <v>Bihar</v>
      </c>
      <c r="AL267" t="str">
        <f t="shared" si="64"/>
        <v>Patna</v>
      </c>
      <c r="AM267" t="str">
        <f t="shared" si="51"/>
        <v>Furniture</v>
      </c>
      <c r="AN267" t="str">
        <f t="shared" si="51"/>
        <v>Bookcases</v>
      </c>
      <c r="AO267" t="str">
        <f t="shared" si="62"/>
        <v>Same Day</v>
      </c>
      <c r="AP267" t="str">
        <f t="shared" si="63"/>
        <v>Refunded</v>
      </c>
      <c r="AQ267" t="str">
        <f t="shared" si="63"/>
        <v>Cancelled</v>
      </c>
    </row>
    <row r="268" spans="1:43">
      <c r="A268" t="s">
        <v>1078</v>
      </c>
      <c r="B268" s="3">
        <v>45780</v>
      </c>
      <c r="C268" s="3">
        <v>45787</v>
      </c>
      <c r="D268" t="s">
        <v>1079</v>
      </c>
      <c r="E268" t="s">
        <v>165</v>
      </c>
      <c r="F268" t="s">
        <v>182</v>
      </c>
      <c r="G268" t="s">
        <v>149</v>
      </c>
      <c r="H268" t="s">
        <v>150</v>
      </c>
      <c r="I268" t="s">
        <v>151</v>
      </c>
      <c r="J268" t="s">
        <v>113</v>
      </c>
      <c r="K268" t="s">
        <v>213</v>
      </c>
      <c r="L268" t="s">
        <v>1080</v>
      </c>
      <c r="M268" t="s">
        <v>116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117</v>
      </c>
      <c r="U268" t="s">
        <v>118</v>
      </c>
      <c r="V268" s="2">
        <f t="shared" si="53"/>
        <v>0</v>
      </c>
      <c r="W268" s="2">
        <f t="shared" si="54"/>
        <v>13017.72</v>
      </c>
      <c r="X268" s="2">
        <f>W268-R268</f>
        <v>2847.1499999999996</v>
      </c>
      <c r="Y268" s="2">
        <f t="shared" si="55"/>
        <v>0.21871341525244051</v>
      </c>
      <c r="Z268" s="2">
        <f t="shared" si="56"/>
        <v>7</v>
      </c>
      <c r="AA268" s="2">
        <f t="shared" si="57"/>
        <v>5</v>
      </c>
      <c r="AB268" s="2">
        <f t="shared" si="58"/>
        <v>2025</v>
      </c>
      <c r="AC268" s="2" t="str">
        <f t="shared" si="59"/>
        <v>Valid</v>
      </c>
      <c r="AD268" s="2">
        <f t="shared" si="60"/>
        <v>0</v>
      </c>
      <c r="AE268" s="2">
        <f t="shared" si="61"/>
        <v>0</v>
      </c>
      <c r="AH268" t="str">
        <f t="shared" si="65"/>
        <v>Neha Gupta</v>
      </c>
      <c r="AI268" t="str">
        <f t="shared" si="65"/>
        <v>Home Office</v>
      </c>
      <c r="AJ268" t="str">
        <f t="shared" si="64"/>
        <v>West</v>
      </c>
      <c r="AK268" t="str">
        <f t="shared" si="64"/>
        <v>Maharashtra</v>
      </c>
      <c r="AL268" t="str">
        <f t="shared" si="64"/>
        <v>Mumbai</v>
      </c>
      <c r="AM268" t="str">
        <f t="shared" si="51"/>
        <v>Office Supplies</v>
      </c>
      <c r="AN268" t="str">
        <f t="shared" si="51"/>
        <v>Storage</v>
      </c>
      <c r="AO268" t="str">
        <f t="shared" si="62"/>
        <v>Second Class</v>
      </c>
      <c r="AP268" t="str">
        <f t="shared" si="63"/>
        <v>Paid</v>
      </c>
      <c r="AQ268" t="str">
        <f t="shared" si="63"/>
        <v>Completed</v>
      </c>
    </row>
    <row r="269" spans="1:43">
      <c r="A269" t="s">
        <v>1081</v>
      </c>
      <c r="B269" s="3">
        <v>45805</v>
      </c>
      <c r="C269" s="3">
        <v>45753</v>
      </c>
      <c r="D269" t="s">
        <v>1082</v>
      </c>
      <c r="E269" t="s">
        <v>256</v>
      </c>
      <c r="F269" t="s">
        <v>177</v>
      </c>
      <c r="G269" t="s">
        <v>123</v>
      </c>
      <c r="H269" t="s">
        <v>335</v>
      </c>
      <c r="I269" t="s">
        <v>336</v>
      </c>
      <c r="J269" t="s">
        <v>126</v>
      </c>
      <c r="K269" t="s">
        <v>143</v>
      </c>
      <c r="L269" t="s">
        <v>1083</v>
      </c>
      <c r="M269" t="s">
        <v>135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117</v>
      </c>
      <c r="U269" t="s">
        <v>118</v>
      </c>
      <c r="V269" s="2">
        <f t="shared" si="53"/>
        <v>0.25</v>
      </c>
      <c r="W269" s="2">
        <f t="shared" si="54"/>
        <v>785.40000000000009</v>
      </c>
      <c r="X269" s="2">
        <f>W269-R269</f>
        <v>228.18000000000006</v>
      </c>
      <c r="Y269" s="2">
        <f t="shared" si="55"/>
        <v>0.29052711993888469</v>
      </c>
      <c r="Z269" s="2">
        <f t="shared" si="56"/>
        <v>-52</v>
      </c>
      <c r="AA269" s="2">
        <f t="shared" si="57"/>
        <v>5</v>
      </c>
      <c r="AB269" s="2">
        <f t="shared" si="58"/>
        <v>2025</v>
      </c>
      <c r="AC269" s="2" t="str">
        <f t="shared" si="59"/>
        <v>Invalid shipping record</v>
      </c>
      <c r="AD269" s="2">
        <f t="shared" si="60"/>
        <v>0</v>
      </c>
      <c r="AE269" s="2">
        <f t="shared" si="61"/>
        <v>0</v>
      </c>
      <c r="AH269" t="str">
        <f t="shared" si="65"/>
        <v>Diya Patel</v>
      </c>
      <c r="AI269" t="str">
        <f t="shared" si="65"/>
        <v>Corporate</v>
      </c>
      <c r="AJ269" t="str">
        <f t="shared" si="64"/>
        <v>East</v>
      </c>
      <c r="AK269" t="str">
        <f t="shared" si="64"/>
        <v>Jharkhand</v>
      </c>
      <c r="AL269" t="str">
        <f t="shared" si="64"/>
        <v>Ranchi</v>
      </c>
      <c r="AM269" t="str">
        <f t="shared" si="51"/>
        <v>Furniture</v>
      </c>
      <c r="AN269" t="str">
        <f t="shared" si="51"/>
        <v>Furnishings</v>
      </c>
      <c r="AO269" t="str">
        <f t="shared" si="62"/>
        <v>First Class</v>
      </c>
      <c r="AP269" t="str">
        <f t="shared" si="63"/>
        <v>Paid</v>
      </c>
      <c r="AQ269" t="str">
        <f t="shared" si="63"/>
        <v>Completed</v>
      </c>
    </row>
    <row r="270" spans="1:43">
      <c r="A270" t="s">
        <v>1084</v>
      </c>
      <c r="B270" s="3">
        <v>45886</v>
      </c>
      <c r="C270" s="3">
        <v>45886</v>
      </c>
      <c r="D270" t="s">
        <v>1085</v>
      </c>
      <c r="E270" t="s">
        <v>218</v>
      </c>
      <c r="F270" t="s">
        <v>182</v>
      </c>
      <c r="G270" t="s">
        <v>110</v>
      </c>
      <c r="H270" t="s">
        <v>211</v>
      </c>
      <c r="I270" t="s">
        <v>212</v>
      </c>
      <c r="J270" t="s">
        <v>160</v>
      </c>
      <c r="K270" t="s">
        <v>161</v>
      </c>
      <c r="L270" t="s">
        <v>1086</v>
      </c>
      <c r="M270" t="s">
        <v>135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117</v>
      </c>
      <c r="U270" t="s">
        <v>118</v>
      </c>
      <c r="V270" s="2">
        <f t="shared" si="53"/>
        <v>0.25</v>
      </c>
      <c r="W270" s="2">
        <f t="shared" si="54"/>
        <v>3319.05</v>
      </c>
      <c r="X270" s="2">
        <f>W270-R270</f>
        <v>1194.4500000000003</v>
      </c>
      <c r="Y270" s="2">
        <f t="shared" si="55"/>
        <v>0.35987707325891449</v>
      </c>
      <c r="Z270" s="2">
        <f t="shared" si="56"/>
        <v>0</v>
      </c>
      <c r="AA270" s="2">
        <f t="shared" si="57"/>
        <v>8</v>
      </c>
      <c r="AB270" s="2">
        <f t="shared" si="58"/>
        <v>2025</v>
      </c>
      <c r="AC270" s="2" t="str">
        <f t="shared" si="59"/>
        <v>Valid</v>
      </c>
      <c r="AD270" s="2">
        <f t="shared" si="60"/>
        <v>0</v>
      </c>
      <c r="AE270" s="2">
        <f t="shared" si="61"/>
        <v>0</v>
      </c>
      <c r="AH270" t="str">
        <f t="shared" si="65"/>
        <v>Aarav Sharma</v>
      </c>
      <c r="AI270" t="str">
        <f t="shared" si="65"/>
        <v>Home Office</v>
      </c>
      <c r="AJ270" t="str">
        <f t="shared" si="64"/>
        <v>North</v>
      </c>
      <c r="AK270" t="str">
        <f t="shared" si="64"/>
        <v>Punjab</v>
      </c>
      <c r="AL270" t="str">
        <f t="shared" si="64"/>
        <v>Ludhiana</v>
      </c>
      <c r="AM270" t="str">
        <f t="shared" si="51"/>
        <v>Technology</v>
      </c>
      <c r="AN270" t="str">
        <f t="shared" si="51"/>
        <v>Accessories</v>
      </c>
      <c r="AO270" t="str">
        <f t="shared" si="62"/>
        <v>First Class</v>
      </c>
      <c r="AP270" t="str">
        <f t="shared" si="63"/>
        <v>Paid</v>
      </c>
      <c r="AQ270" t="str">
        <f t="shared" si="63"/>
        <v>Completed</v>
      </c>
    </row>
    <row r="271" spans="1:43">
      <c r="A271" t="s">
        <v>1087</v>
      </c>
      <c r="B271" s="3">
        <v>45698</v>
      </c>
      <c r="C271" s="3">
        <v>45700</v>
      </c>
      <c r="D271" t="s">
        <v>1088</v>
      </c>
      <c r="E271" t="s">
        <v>207</v>
      </c>
      <c r="F271" t="s">
        <v>122</v>
      </c>
      <c r="G271" t="s">
        <v>149</v>
      </c>
      <c r="H271" t="s">
        <v>111</v>
      </c>
      <c r="I271" t="s">
        <v>197</v>
      </c>
      <c r="J271" t="s">
        <v>126</v>
      </c>
      <c r="K271" t="s">
        <v>127</v>
      </c>
      <c r="L271" t="s">
        <v>1089</v>
      </c>
      <c r="M271" t="s">
        <v>129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117</v>
      </c>
      <c r="U271" t="s">
        <v>118</v>
      </c>
      <c r="V271" s="2">
        <f t="shared" si="53"/>
        <v>0</v>
      </c>
      <c r="W271" s="2">
        <f t="shared" si="54"/>
        <v>1925.86</v>
      </c>
      <c r="X271" s="2">
        <f>W271-R271</f>
        <v>603.9699999999998</v>
      </c>
      <c r="Y271" s="2">
        <f t="shared" si="55"/>
        <v>0.31361054282242729</v>
      </c>
      <c r="Z271" s="2">
        <f t="shared" si="56"/>
        <v>2</v>
      </c>
      <c r="AA271" s="2">
        <f t="shared" si="57"/>
        <v>2</v>
      </c>
      <c r="AB271" s="2">
        <f t="shared" si="58"/>
        <v>2025</v>
      </c>
      <c r="AC271" s="2" t="str">
        <f t="shared" si="59"/>
        <v>Valid</v>
      </c>
      <c r="AD271" s="2">
        <f t="shared" si="60"/>
        <v>0</v>
      </c>
      <c r="AE271" s="2">
        <f t="shared" si="61"/>
        <v>0</v>
      </c>
      <c r="AH271" t="str">
        <f t="shared" si="65"/>
        <v>Rahul Verma</v>
      </c>
      <c r="AI271" t="str">
        <f t="shared" si="65"/>
        <v>Small Business</v>
      </c>
      <c r="AJ271" t="str">
        <f t="shared" si="64"/>
        <v>West</v>
      </c>
      <c r="AK271" t="str">
        <f t="shared" si="64"/>
        <v>Rajasthan</v>
      </c>
      <c r="AL271" t="str">
        <f t="shared" si="64"/>
        <v>Udaipur</v>
      </c>
      <c r="AM271" t="str">
        <f t="shared" si="51"/>
        <v>Furniture</v>
      </c>
      <c r="AN271" t="str">
        <f t="shared" si="51"/>
        <v>Tables</v>
      </c>
      <c r="AO271" t="str">
        <f t="shared" si="62"/>
        <v>Same Day</v>
      </c>
      <c r="AP271" t="str">
        <f t="shared" si="63"/>
        <v>Paid</v>
      </c>
      <c r="AQ271" t="str">
        <f t="shared" si="63"/>
        <v>Completed</v>
      </c>
    </row>
    <row r="272" spans="1:43">
      <c r="A272" t="s">
        <v>1090</v>
      </c>
      <c r="B272" s="3">
        <v>45303</v>
      </c>
      <c r="C272" s="3" t="s">
        <v>507</v>
      </c>
      <c r="D272" t="s">
        <v>1091</v>
      </c>
      <c r="E272" t="s">
        <v>176</v>
      </c>
      <c r="F272" t="s">
        <v>177</v>
      </c>
      <c r="G272" t="s">
        <v>110</v>
      </c>
      <c r="H272" t="s">
        <v>227</v>
      </c>
      <c r="I272" t="s">
        <v>228</v>
      </c>
      <c r="J272" t="s">
        <v>160</v>
      </c>
      <c r="K272" t="s">
        <v>385</v>
      </c>
      <c r="L272" t="s">
        <v>1092</v>
      </c>
      <c r="M272" t="s">
        <v>129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117</v>
      </c>
      <c r="U272" t="s">
        <v>118</v>
      </c>
      <c r="V272" s="2">
        <f t="shared" si="53"/>
        <v>0</v>
      </c>
      <c r="W272" s="2">
        <f t="shared" si="54"/>
        <v>2482.3200000000002</v>
      </c>
      <c r="X272" s="2">
        <f>W272-R272</f>
        <v>962.11000000000013</v>
      </c>
      <c r="Y272" s="2">
        <f t="shared" si="55"/>
        <v>0.38758500112797706</v>
      </c>
      <c r="Z272" s="2" t="str">
        <f t="shared" si="56"/>
        <v/>
      </c>
      <c r="AA272" s="2">
        <f t="shared" si="57"/>
        <v>1</v>
      </c>
      <c r="AB272" s="2">
        <f t="shared" si="58"/>
        <v>2024</v>
      </c>
      <c r="AC272" s="2" t="str">
        <f t="shared" si="59"/>
        <v>Text Value Not Recognized as Date</v>
      </c>
      <c r="AD272" s="2">
        <f t="shared" si="60"/>
        <v>0</v>
      </c>
      <c r="AE272" s="2">
        <f t="shared" si="61"/>
        <v>0</v>
      </c>
      <c r="AH272" t="str">
        <f t="shared" si="65"/>
        <v>Aditi Sen</v>
      </c>
      <c r="AI272" t="str">
        <f t="shared" si="65"/>
        <v>Corporate</v>
      </c>
      <c r="AJ272" t="str">
        <f t="shared" si="64"/>
        <v>North</v>
      </c>
      <c r="AK272" t="str">
        <f t="shared" si="64"/>
        <v>Uttar Pradesh</v>
      </c>
      <c r="AL272" t="str">
        <f t="shared" si="64"/>
        <v>Noida</v>
      </c>
      <c r="AM272" t="str">
        <f t="shared" si="51"/>
        <v>Technology</v>
      </c>
      <c r="AN272" t="str">
        <f t="shared" si="51"/>
        <v>Machines</v>
      </c>
      <c r="AO272" t="str">
        <f t="shared" si="62"/>
        <v>Same Day</v>
      </c>
      <c r="AP272" t="str">
        <f t="shared" si="63"/>
        <v>Paid</v>
      </c>
      <c r="AQ272" t="str">
        <f t="shared" si="63"/>
        <v>Completed</v>
      </c>
    </row>
    <row r="273" spans="1:43">
      <c r="A273" t="s">
        <v>1093</v>
      </c>
      <c r="B273" s="3">
        <v>45647</v>
      </c>
      <c r="C273" s="3">
        <v>45651</v>
      </c>
      <c r="D273" t="s">
        <v>1094</v>
      </c>
      <c r="E273" t="s">
        <v>176</v>
      </c>
      <c r="F273" t="s">
        <v>109</v>
      </c>
      <c r="G273" t="s">
        <v>140</v>
      </c>
      <c r="H273" t="s">
        <v>141</v>
      </c>
      <c r="I273" t="s">
        <v>142</v>
      </c>
      <c r="J273" t="s">
        <v>113</v>
      </c>
      <c r="K273" t="s">
        <v>246</v>
      </c>
      <c r="L273" t="s">
        <v>1095</v>
      </c>
      <c r="M273" t="s">
        <v>145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248</v>
      </c>
      <c r="U273" t="s">
        <v>44</v>
      </c>
      <c r="V273" s="2">
        <f t="shared" si="53"/>
        <v>0</v>
      </c>
      <c r="W273" s="2">
        <f t="shared" si="54"/>
        <v>11674.25</v>
      </c>
      <c r="X273" s="2">
        <f>W273-R273</f>
        <v>2053.0599999999995</v>
      </c>
      <c r="Y273" s="2">
        <f t="shared" si="55"/>
        <v>0.17586226095894808</v>
      </c>
      <c r="Z273" s="2">
        <f t="shared" si="56"/>
        <v>4</v>
      </c>
      <c r="AA273" s="2">
        <f t="shared" si="57"/>
        <v>12</v>
      </c>
      <c r="AB273" s="2">
        <f t="shared" si="58"/>
        <v>2024</v>
      </c>
      <c r="AC273" s="2" t="str">
        <f t="shared" si="59"/>
        <v>Valid</v>
      </c>
      <c r="AD273" s="2">
        <f t="shared" si="60"/>
        <v>0</v>
      </c>
      <c r="AE273" s="2">
        <f t="shared" si="61"/>
        <v>0</v>
      </c>
      <c r="AH273" t="str">
        <f t="shared" si="65"/>
        <v>Aditi Sen</v>
      </c>
      <c r="AI273" t="str">
        <f t="shared" si="65"/>
        <v>Consumer</v>
      </c>
      <c r="AJ273" t="str">
        <f t="shared" si="64"/>
        <v>South</v>
      </c>
      <c r="AK273" t="str">
        <f t="shared" si="64"/>
        <v>Telangana</v>
      </c>
      <c r="AL273" t="str">
        <f t="shared" si="64"/>
        <v>Hyderabad</v>
      </c>
      <c r="AM273" t="str">
        <f t="shared" si="51"/>
        <v>Office Supplies</v>
      </c>
      <c r="AN273" t="str">
        <f t="shared" si="51"/>
        <v>Binders</v>
      </c>
      <c r="AO273" t="str">
        <f t="shared" si="62"/>
        <v>Standard Class</v>
      </c>
      <c r="AP273" t="str">
        <f t="shared" si="63"/>
        <v>Failed</v>
      </c>
      <c r="AQ273" t="str">
        <f t="shared" si="63"/>
        <v>Cancelled</v>
      </c>
    </row>
    <row r="274" spans="1:43">
      <c r="A274" t="s">
        <v>1096</v>
      </c>
      <c r="B274" s="3">
        <v>45522</v>
      </c>
      <c r="C274" s="3">
        <v>45528</v>
      </c>
      <c r="D274" t="s">
        <v>1097</v>
      </c>
      <c r="E274" t="s">
        <v>139</v>
      </c>
      <c r="F274" t="s">
        <v>109</v>
      </c>
      <c r="G274" t="s">
        <v>140</v>
      </c>
      <c r="H274" t="s">
        <v>171</v>
      </c>
      <c r="I274" t="s">
        <v>172</v>
      </c>
      <c r="J274" t="s">
        <v>126</v>
      </c>
      <c r="K274" t="s">
        <v>152</v>
      </c>
      <c r="L274" t="s">
        <v>1098</v>
      </c>
      <c r="M274" t="s">
        <v>135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117</v>
      </c>
      <c r="U274" t="s">
        <v>118</v>
      </c>
      <c r="V274" s="2">
        <f t="shared" si="53"/>
        <v>0.1</v>
      </c>
      <c r="W274" s="2">
        <f t="shared" si="54"/>
        <v>3510.4230000000002</v>
      </c>
      <c r="X274" s="2">
        <f>W274-R274</f>
        <v>1318.9230000000002</v>
      </c>
      <c r="Y274" s="2">
        <f t="shared" si="55"/>
        <v>0.37571625983535323</v>
      </c>
      <c r="Z274" s="2">
        <f t="shared" si="56"/>
        <v>6</v>
      </c>
      <c r="AA274" s="2">
        <f t="shared" si="57"/>
        <v>8</v>
      </c>
      <c r="AB274" s="2">
        <f t="shared" si="58"/>
        <v>2024</v>
      </c>
      <c r="AC274" s="2" t="str">
        <f t="shared" si="59"/>
        <v>Conflicting Duplicate Order ID</v>
      </c>
      <c r="AD274" s="2">
        <f t="shared" si="60"/>
        <v>0</v>
      </c>
      <c r="AE274" s="2">
        <f t="shared" si="61"/>
        <v>1</v>
      </c>
      <c r="AH274" t="str">
        <f t="shared" si="65"/>
        <v>Arjun Bose</v>
      </c>
      <c r="AI274" t="str">
        <f t="shared" si="65"/>
        <v>Consumer</v>
      </c>
      <c r="AJ274" t="str">
        <f t="shared" si="64"/>
        <v>South</v>
      </c>
      <c r="AK274" t="str">
        <f t="shared" si="64"/>
        <v>Andhra Pradesh</v>
      </c>
      <c r="AL274" t="str">
        <f t="shared" si="64"/>
        <v>Vijayawada</v>
      </c>
      <c r="AM274" t="str">
        <f t="shared" si="64"/>
        <v>Furniture</v>
      </c>
      <c r="AN274" t="str">
        <f t="shared" si="64"/>
        <v>Chairs</v>
      </c>
      <c r="AO274" t="str">
        <f t="shared" si="62"/>
        <v>First Class</v>
      </c>
      <c r="AP274" t="str">
        <f t="shared" si="63"/>
        <v>Paid</v>
      </c>
      <c r="AQ274" t="str">
        <f t="shared" si="63"/>
        <v>Completed</v>
      </c>
    </row>
    <row r="275" spans="1:43">
      <c r="A275" t="s">
        <v>1099</v>
      </c>
      <c r="B275" s="3">
        <v>45701</v>
      </c>
      <c r="C275" s="3">
        <v>45701</v>
      </c>
      <c r="D275" t="s">
        <v>1100</v>
      </c>
      <c r="E275" t="s">
        <v>132</v>
      </c>
      <c r="F275" t="s">
        <v>109</v>
      </c>
      <c r="G275" t="s">
        <v>123</v>
      </c>
      <c r="H275" t="s">
        <v>237</v>
      </c>
      <c r="I275" t="s">
        <v>238</v>
      </c>
      <c r="J275" t="s">
        <v>113</v>
      </c>
      <c r="K275" t="s">
        <v>114</v>
      </c>
      <c r="L275" t="s">
        <v>1101</v>
      </c>
      <c r="M275" t="s">
        <v>116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117</v>
      </c>
      <c r="U275" t="s">
        <v>190</v>
      </c>
      <c r="V275" s="2">
        <f t="shared" si="53"/>
        <v>0</v>
      </c>
      <c r="W275" s="2">
        <f t="shared" si="54"/>
        <v>22694.670000000002</v>
      </c>
      <c r="X275" s="2">
        <f>W275-R275</f>
        <v>7289.3100000000013</v>
      </c>
      <c r="Y275" s="2">
        <f t="shared" si="55"/>
        <v>0.32119039404406413</v>
      </c>
      <c r="Z275" s="2">
        <f t="shared" si="56"/>
        <v>0</v>
      </c>
      <c r="AA275" s="2">
        <f t="shared" si="57"/>
        <v>2</v>
      </c>
      <c r="AB275" s="2">
        <f t="shared" si="58"/>
        <v>2025</v>
      </c>
      <c r="AC275" s="2" t="str">
        <f t="shared" si="59"/>
        <v>Valid</v>
      </c>
      <c r="AD275" s="2">
        <f t="shared" si="60"/>
        <v>0</v>
      </c>
      <c r="AE275" s="2">
        <f t="shared" si="61"/>
        <v>0</v>
      </c>
      <c r="AH275" t="str">
        <f t="shared" si="65"/>
        <v>Isha Nair</v>
      </c>
      <c r="AI275" t="str">
        <f t="shared" si="65"/>
        <v>Consumer</v>
      </c>
      <c r="AJ275" t="str">
        <f t="shared" si="64"/>
        <v>East</v>
      </c>
      <c r="AK275" t="str">
        <f t="shared" si="64"/>
        <v>Bihar</v>
      </c>
      <c r="AL275" t="str">
        <f t="shared" si="64"/>
        <v>Patna</v>
      </c>
      <c r="AM275" t="str">
        <f t="shared" si="64"/>
        <v>Office Supplies</v>
      </c>
      <c r="AN275" t="str">
        <f t="shared" si="64"/>
        <v>Paper</v>
      </c>
      <c r="AO275" t="str">
        <f t="shared" si="62"/>
        <v>Second Class</v>
      </c>
      <c r="AP275" t="str">
        <f t="shared" si="63"/>
        <v>Paid</v>
      </c>
      <c r="AQ275" t="str">
        <f t="shared" si="63"/>
        <v>Returned</v>
      </c>
    </row>
    <row r="276" spans="1:43">
      <c r="A276" t="s">
        <v>1102</v>
      </c>
      <c r="B276" s="3">
        <v>45477</v>
      </c>
      <c r="C276" s="3" t="s">
        <v>1103</v>
      </c>
      <c r="D276" t="s">
        <v>1104</v>
      </c>
      <c r="E276" t="s">
        <v>232</v>
      </c>
      <c r="F276" t="s">
        <v>109</v>
      </c>
      <c r="G276" t="s">
        <v>140</v>
      </c>
      <c r="H276" t="s">
        <v>282</v>
      </c>
      <c r="I276" t="s">
        <v>283</v>
      </c>
      <c r="J276" t="s">
        <v>160</v>
      </c>
      <c r="K276" t="s">
        <v>166</v>
      </c>
      <c r="L276" t="s">
        <v>1105</v>
      </c>
      <c r="M276" t="s">
        <v>145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248</v>
      </c>
      <c r="U276" t="s">
        <v>190</v>
      </c>
      <c r="V276" s="2">
        <f t="shared" si="53"/>
        <v>0.15</v>
      </c>
      <c r="W276" s="2">
        <f t="shared" si="54"/>
        <v>21658.221000000001</v>
      </c>
      <c r="X276" s="2">
        <f>W276-R276</f>
        <v>6167.5310000000009</v>
      </c>
      <c r="Y276" s="2">
        <f t="shared" si="55"/>
        <v>0.28476627881856043</v>
      </c>
      <c r="Z276" s="2" t="str">
        <f t="shared" si="56"/>
        <v/>
      </c>
      <c r="AA276" s="2">
        <f t="shared" si="57"/>
        <v>7</v>
      </c>
      <c r="AB276" s="2">
        <f t="shared" si="58"/>
        <v>2024</v>
      </c>
      <c r="AC276" s="2" t="str">
        <f t="shared" si="59"/>
        <v>Text Value Not Recognized as Date</v>
      </c>
      <c r="AD276" s="2">
        <f t="shared" si="60"/>
        <v>0</v>
      </c>
      <c r="AE276" s="2">
        <f t="shared" si="61"/>
        <v>0</v>
      </c>
      <c r="AH276" t="str">
        <f t="shared" si="65"/>
        <v>Rohan Mehta</v>
      </c>
      <c r="AI276" t="str">
        <f t="shared" si="65"/>
        <v>Consumer</v>
      </c>
      <c r="AJ276" t="str">
        <f t="shared" si="64"/>
        <v>South</v>
      </c>
      <c r="AK276" t="str">
        <f t="shared" si="64"/>
        <v>Kerala</v>
      </c>
      <c r="AL276" t="str">
        <f t="shared" si="64"/>
        <v>Kochi</v>
      </c>
      <c r="AM276" t="str">
        <f t="shared" si="64"/>
        <v>Technology</v>
      </c>
      <c r="AN276" t="str">
        <f t="shared" si="64"/>
        <v>Copiers</v>
      </c>
      <c r="AO276" t="str">
        <f t="shared" si="62"/>
        <v>Standard Class</v>
      </c>
      <c r="AP276" t="str">
        <f t="shared" si="63"/>
        <v>Failed</v>
      </c>
      <c r="AQ276" t="str">
        <f t="shared" si="63"/>
        <v>Returned</v>
      </c>
    </row>
    <row r="277" spans="1:43">
      <c r="A277" t="s">
        <v>1106</v>
      </c>
      <c r="B277" s="3">
        <v>45337</v>
      </c>
      <c r="C277" s="3">
        <v>45344</v>
      </c>
      <c r="D277" t="s">
        <v>1107</v>
      </c>
      <c r="E277" t="s">
        <v>203</v>
      </c>
      <c r="F277" t="s">
        <v>122</v>
      </c>
      <c r="G277" t="s">
        <v>123</v>
      </c>
      <c r="H277" t="s">
        <v>186</v>
      </c>
      <c r="I277" t="s">
        <v>187</v>
      </c>
      <c r="J277" t="s">
        <v>126</v>
      </c>
      <c r="K277" t="s">
        <v>143</v>
      </c>
      <c r="L277" t="s">
        <v>1108</v>
      </c>
      <c r="M277" t="s">
        <v>129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117</v>
      </c>
      <c r="U277" t="s">
        <v>118</v>
      </c>
      <c r="V277" s="2">
        <f t="shared" si="53"/>
        <v>0</v>
      </c>
      <c r="W277" s="2">
        <f t="shared" si="54"/>
        <v>980.51</v>
      </c>
      <c r="X277" s="2">
        <f>W277-R277</f>
        <v>319.59000000000003</v>
      </c>
      <c r="Y277" s="2">
        <f t="shared" si="55"/>
        <v>0.32594262169687205</v>
      </c>
      <c r="Z277" s="2">
        <f t="shared" si="56"/>
        <v>7</v>
      </c>
      <c r="AA277" s="2">
        <f t="shared" si="57"/>
        <v>2</v>
      </c>
      <c r="AB277" s="2">
        <f t="shared" si="58"/>
        <v>2024</v>
      </c>
      <c r="AC277" s="2" t="str">
        <f t="shared" si="59"/>
        <v>Valid</v>
      </c>
      <c r="AD277" s="2">
        <f t="shared" si="60"/>
        <v>0</v>
      </c>
      <c r="AE277" s="2">
        <f t="shared" si="61"/>
        <v>0</v>
      </c>
      <c r="AH277" t="str">
        <f t="shared" si="65"/>
        <v>Priya Menon</v>
      </c>
      <c r="AI277" t="str">
        <f t="shared" si="65"/>
        <v>Small Business</v>
      </c>
      <c r="AJ277" t="str">
        <f t="shared" si="64"/>
        <v>East</v>
      </c>
      <c r="AK277" t="str">
        <f t="shared" si="64"/>
        <v>West Bengal</v>
      </c>
      <c r="AL277" t="str">
        <f t="shared" si="64"/>
        <v>Kolkata</v>
      </c>
      <c r="AM277" t="str">
        <f t="shared" si="64"/>
        <v>Furniture</v>
      </c>
      <c r="AN277" t="str">
        <f t="shared" si="64"/>
        <v>Furnishings</v>
      </c>
      <c r="AO277" t="str">
        <f t="shared" si="62"/>
        <v>Same Day</v>
      </c>
      <c r="AP277" t="str">
        <f t="shared" si="63"/>
        <v>Paid</v>
      </c>
      <c r="AQ277" t="str">
        <f t="shared" si="63"/>
        <v>Completed</v>
      </c>
    </row>
    <row r="278" spans="1:43">
      <c r="A278" t="s">
        <v>1109</v>
      </c>
      <c r="B278" s="3" t="s">
        <v>852</v>
      </c>
      <c r="C278" s="3" t="s">
        <v>1110</v>
      </c>
      <c r="D278" t="s">
        <v>1111</v>
      </c>
      <c r="E278" t="s">
        <v>218</v>
      </c>
      <c r="F278" t="s">
        <v>122</v>
      </c>
      <c r="H278" t="s">
        <v>260</v>
      </c>
      <c r="I278" t="s">
        <v>261</v>
      </c>
      <c r="J278" t="s">
        <v>126</v>
      </c>
      <c r="K278" t="s">
        <v>152</v>
      </c>
      <c r="L278" t="s">
        <v>1112</v>
      </c>
      <c r="M278" t="s">
        <v>116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117</v>
      </c>
      <c r="U278" t="s">
        <v>118</v>
      </c>
      <c r="V278" s="2">
        <f t="shared" si="53"/>
        <v>-0.14000000000000001</v>
      </c>
      <c r="W278" s="2">
        <f t="shared" si="54"/>
        <v>23198.065200000005</v>
      </c>
      <c r="X278" s="2">
        <f>W278-R278</f>
        <v>14784.535200000004</v>
      </c>
      <c r="Y278" s="2">
        <f t="shared" si="55"/>
        <v>0.63731759836591895</v>
      </c>
      <c r="Z278" s="2" t="str">
        <f t="shared" si="56"/>
        <v/>
      </c>
      <c r="AA278" s="2" t="e">
        <f t="shared" si="57"/>
        <v>#VALUE!</v>
      </c>
      <c r="AB278" s="2" t="e">
        <f t="shared" si="58"/>
        <v>#VALUE!</v>
      </c>
      <c r="AC278" s="2" t="str">
        <f t="shared" si="59"/>
        <v>Conflicting Duplicate Order ID</v>
      </c>
      <c r="AD278" s="2">
        <f t="shared" si="60"/>
        <v>1</v>
      </c>
      <c r="AE278" s="2">
        <f t="shared" si="61"/>
        <v>1</v>
      </c>
      <c r="AH278" t="str">
        <f t="shared" si="65"/>
        <v>Aarav Sharma</v>
      </c>
      <c r="AI278" t="str">
        <f t="shared" si="65"/>
        <v>Small Business</v>
      </c>
      <c r="AJ278" t="s">
        <v>306</v>
      </c>
      <c r="AK278" t="str">
        <f t="shared" si="64"/>
        <v>Assam</v>
      </c>
      <c r="AL278" t="str">
        <f t="shared" si="64"/>
        <v>Guwahati</v>
      </c>
      <c r="AM278" t="str">
        <f t="shared" si="64"/>
        <v>Furniture</v>
      </c>
      <c r="AN278" t="str">
        <f t="shared" si="64"/>
        <v>Chairs</v>
      </c>
      <c r="AO278" t="str">
        <f t="shared" si="62"/>
        <v>Second Class</v>
      </c>
      <c r="AP278" t="str">
        <f t="shared" si="63"/>
        <v>Paid</v>
      </c>
      <c r="AQ278" t="str">
        <f t="shared" si="63"/>
        <v>Completed</v>
      </c>
    </row>
    <row r="279" spans="1:43">
      <c r="A279" t="s">
        <v>1113</v>
      </c>
      <c r="B279" s="3">
        <v>45812</v>
      </c>
      <c r="C279" s="3">
        <v>45812</v>
      </c>
      <c r="D279" t="s">
        <v>955</v>
      </c>
      <c r="E279" t="s">
        <v>132</v>
      </c>
      <c r="F279" t="s">
        <v>177</v>
      </c>
      <c r="G279" t="s">
        <v>110</v>
      </c>
      <c r="H279" t="s">
        <v>344</v>
      </c>
      <c r="I279" t="s">
        <v>345</v>
      </c>
      <c r="J279" t="s">
        <v>160</v>
      </c>
      <c r="K279" t="s">
        <v>161</v>
      </c>
      <c r="L279" t="s">
        <v>1114</v>
      </c>
      <c r="M279" t="s">
        <v>116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199</v>
      </c>
      <c r="U279" t="s">
        <v>44</v>
      </c>
      <c r="V279" s="2">
        <f t="shared" si="53"/>
        <v>0.15</v>
      </c>
      <c r="W279" s="2">
        <f t="shared" si="54"/>
        <v>1813.6704999999999</v>
      </c>
      <c r="X279" s="2">
        <f>W279-R279</f>
        <v>811.1004999999999</v>
      </c>
      <c r="Y279" s="2">
        <f t="shared" si="55"/>
        <v>0.4472149158295291</v>
      </c>
      <c r="Z279" s="2">
        <f t="shared" si="56"/>
        <v>0</v>
      </c>
      <c r="AA279" s="2">
        <f t="shared" si="57"/>
        <v>6</v>
      </c>
      <c r="AB279" s="2">
        <f t="shared" si="58"/>
        <v>2025</v>
      </c>
      <c r="AC279" s="2" t="str">
        <f t="shared" si="59"/>
        <v>Valid</v>
      </c>
      <c r="AD279" s="2">
        <f t="shared" si="60"/>
        <v>1</v>
      </c>
      <c r="AE279" s="2">
        <f t="shared" si="61"/>
        <v>0</v>
      </c>
      <c r="AH279" t="str">
        <f t="shared" si="65"/>
        <v>Isha Nair</v>
      </c>
      <c r="AI279" t="str">
        <f t="shared" si="65"/>
        <v>Corporate</v>
      </c>
      <c r="AJ279" t="str">
        <f t="shared" si="64"/>
        <v>North</v>
      </c>
      <c r="AK279" t="str">
        <f t="shared" si="64"/>
        <v>Haryana</v>
      </c>
      <c r="AL279" t="str">
        <f t="shared" si="64"/>
        <v>Gurugram</v>
      </c>
      <c r="AM279" t="str">
        <f t="shared" si="64"/>
        <v>Technology</v>
      </c>
      <c r="AN279" t="str">
        <f t="shared" si="64"/>
        <v>Accessories</v>
      </c>
      <c r="AO279" t="str">
        <f t="shared" si="62"/>
        <v>Second Class</v>
      </c>
      <c r="AP279" t="str">
        <f t="shared" si="63"/>
        <v>Pending</v>
      </c>
      <c r="AQ279" t="str">
        <f t="shared" si="63"/>
        <v>Cancelled</v>
      </c>
    </row>
    <row r="280" spans="1:43">
      <c r="A280" t="s">
        <v>1115</v>
      </c>
      <c r="B280" s="3">
        <v>45841</v>
      </c>
      <c r="C280" s="3">
        <v>45730</v>
      </c>
      <c r="D280" t="s">
        <v>1116</v>
      </c>
      <c r="E280" t="s">
        <v>203</v>
      </c>
      <c r="F280" t="s">
        <v>122</v>
      </c>
      <c r="G280" t="s">
        <v>110</v>
      </c>
      <c r="H280" t="s">
        <v>465</v>
      </c>
      <c r="I280" t="s">
        <v>466</v>
      </c>
      <c r="J280" t="s">
        <v>160</v>
      </c>
      <c r="K280" t="s">
        <v>161</v>
      </c>
      <c r="L280" t="s">
        <v>1117</v>
      </c>
      <c r="M280" t="s">
        <v>129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117</v>
      </c>
      <c r="U280" t="s">
        <v>190</v>
      </c>
      <c r="V280" s="2">
        <f t="shared" si="53"/>
        <v>0.05</v>
      </c>
      <c r="W280" s="2">
        <f t="shared" si="54"/>
        <v>3780.6579999999999</v>
      </c>
      <c r="X280" s="2">
        <f>W280-R280</f>
        <v>1632.348</v>
      </c>
      <c r="Y280" s="2">
        <f t="shared" si="55"/>
        <v>0.43176293650470365</v>
      </c>
      <c r="Z280" s="2">
        <f t="shared" si="56"/>
        <v>-111</v>
      </c>
      <c r="AA280" s="2">
        <f t="shared" si="57"/>
        <v>7</v>
      </c>
      <c r="AB280" s="2">
        <f t="shared" si="58"/>
        <v>2025</v>
      </c>
      <c r="AC280" s="2" t="str">
        <f t="shared" si="59"/>
        <v>Invalid shipping record</v>
      </c>
      <c r="AD280" s="2">
        <f t="shared" si="60"/>
        <v>0</v>
      </c>
      <c r="AE280" s="2">
        <f t="shared" si="61"/>
        <v>0</v>
      </c>
      <c r="AH280" t="str">
        <f t="shared" si="65"/>
        <v>Priya Menon</v>
      </c>
      <c r="AI280" t="str">
        <f t="shared" si="65"/>
        <v>Small Business</v>
      </c>
      <c r="AJ280" t="str">
        <f t="shared" si="64"/>
        <v>North</v>
      </c>
      <c r="AK280" t="str">
        <f t="shared" si="64"/>
        <v>Delhi</v>
      </c>
      <c r="AL280" t="str">
        <f t="shared" si="64"/>
        <v>New Delhi</v>
      </c>
      <c r="AM280" t="str">
        <f t="shared" si="64"/>
        <v>Technology</v>
      </c>
      <c r="AN280" t="str">
        <f t="shared" si="64"/>
        <v>Accessories</v>
      </c>
      <c r="AO280" t="str">
        <f t="shared" si="62"/>
        <v>Same Day</v>
      </c>
      <c r="AP280" t="str">
        <f t="shared" si="63"/>
        <v>Paid</v>
      </c>
      <c r="AQ280" t="str">
        <f t="shared" si="63"/>
        <v>Returned</v>
      </c>
    </row>
    <row r="281" spans="1:43">
      <c r="A281" t="s">
        <v>1118</v>
      </c>
      <c r="B281" s="3">
        <v>45391</v>
      </c>
      <c r="C281" s="3">
        <v>45392</v>
      </c>
      <c r="D281" t="s">
        <v>1119</v>
      </c>
      <c r="E281" t="s">
        <v>232</v>
      </c>
      <c r="F281" t="s">
        <v>122</v>
      </c>
      <c r="G281" t="s">
        <v>149</v>
      </c>
      <c r="H281" t="s">
        <v>150</v>
      </c>
      <c r="I281" t="s">
        <v>151</v>
      </c>
      <c r="J281" t="s">
        <v>113</v>
      </c>
      <c r="K281" t="s">
        <v>213</v>
      </c>
      <c r="L281" t="s">
        <v>1120</v>
      </c>
      <c r="M281" t="s">
        <v>135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117</v>
      </c>
      <c r="U281" t="s">
        <v>118</v>
      </c>
      <c r="V281" s="2">
        <f t="shared" si="53"/>
        <v>0.05</v>
      </c>
      <c r="W281" s="2">
        <f t="shared" si="54"/>
        <v>4141.1639999999998</v>
      </c>
      <c r="X281" s="2">
        <f>W281-R281</f>
        <v>1386.9939999999997</v>
      </c>
      <c r="Y281" s="2">
        <f t="shared" si="55"/>
        <v>0.33492853700070796</v>
      </c>
      <c r="Z281" s="2">
        <f t="shared" si="56"/>
        <v>1</v>
      </c>
      <c r="AA281" s="2">
        <f t="shared" si="57"/>
        <v>4</v>
      </c>
      <c r="AB281" s="2">
        <f t="shared" si="58"/>
        <v>2024</v>
      </c>
      <c r="AC281" s="2" t="str">
        <f t="shared" si="59"/>
        <v>Valid</v>
      </c>
      <c r="AD281" s="2">
        <f t="shared" si="60"/>
        <v>0</v>
      </c>
      <c r="AE281" s="2">
        <f t="shared" si="61"/>
        <v>0</v>
      </c>
      <c r="AH281" t="str">
        <f t="shared" si="65"/>
        <v>Rohan Mehta</v>
      </c>
      <c r="AI281" t="str">
        <f t="shared" si="65"/>
        <v>Small Business</v>
      </c>
      <c r="AJ281" t="str">
        <f t="shared" si="64"/>
        <v>West</v>
      </c>
      <c r="AK281" t="str">
        <f t="shared" si="64"/>
        <v>Maharashtra</v>
      </c>
      <c r="AL281" t="str">
        <f t="shared" si="64"/>
        <v>Mumbai</v>
      </c>
      <c r="AM281" t="str">
        <f t="shared" si="64"/>
        <v>Office Supplies</v>
      </c>
      <c r="AN281" t="str">
        <f t="shared" si="64"/>
        <v>Storage</v>
      </c>
      <c r="AO281" t="str">
        <f t="shared" si="62"/>
        <v>First Class</v>
      </c>
      <c r="AP281" t="str">
        <f t="shared" si="63"/>
        <v>Paid</v>
      </c>
      <c r="AQ281" t="str">
        <f t="shared" si="63"/>
        <v>Completed</v>
      </c>
    </row>
    <row r="282" spans="1:43">
      <c r="A282" t="s">
        <v>1121</v>
      </c>
      <c r="B282" s="3">
        <v>45649</v>
      </c>
      <c r="C282" s="3" t="s">
        <v>1122</v>
      </c>
      <c r="D282" t="s">
        <v>1123</v>
      </c>
      <c r="E282" t="s">
        <v>176</v>
      </c>
      <c r="F282" t="s">
        <v>109</v>
      </c>
      <c r="G282" t="s">
        <v>140</v>
      </c>
      <c r="H282" t="s">
        <v>270</v>
      </c>
      <c r="I282" t="s">
        <v>271</v>
      </c>
      <c r="J282" t="s">
        <v>160</v>
      </c>
      <c r="K282" t="s">
        <v>166</v>
      </c>
      <c r="L282" t="s">
        <v>1124</v>
      </c>
      <c r="M282" t="s">
        <v>145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117</v>
      </c>
      <c r="U282" t="s">
        <v>118</v>
      </c>
      <c r="V282" s="2">
        <f t="shared" si="53"/>
        <v>0</v>
      </c>
      <c r="W282" s="2">
        <f t="shared" si="54"/>
        <v>8943.0299999999988</v>
      </c>
      <c r="X282" s="2">
        <f>W282-R282</f>
        <v>3777.6499999999987</v>
      </c>
      <c r="Y282" s="2">
        <f t="shared" si="55"/>
        <v>0.42241276167026154</v>
      </c>
      <c r="Z282" s="2" t="str">
        <f t="shared" si="56"/>
        <v/>
      </c>
      <c r="AA282" s="2">
        <f t="shared" si="57"/>
        <v>12</v>
      </c>
      <c r="AB282" s="2">
        <f t="shared" si="58"/>
        <v>2024</v>
      </c>
      <c r="AC282" s="2" t="str">
        <f t="shared" si="59"/>
        <v>Conflicting Duplicate Order ID</v>
      </c>
      <c r="AD282" s="2">
        <f t="shared" si="60"/>
        <v>0</v>
      </c>
      <c r="AE282" s="2">
        <f t="shared" si="61"/>
        <v>0</v>
      </c>
      <c r="AH282" t="str">
        <f t="shared" si="65"/>
        <v>Aditi Sen</v>
      </c>
      <c r="AI282" t="str">
        <f t="shared" si="65"/>
        <v>Consumer</v>
      </c>
      <c r="AJ282" t="str">
        <f t="shared" si="64"/>
        <v>South</v>
      </c>
      <c r="AK282" t="str">
        <f t="shared" si="64"/>
        <v>Karnataka</v>
      </c>
      <c r="AL282" t="str">
        <f t="shared" si="64"/>
        <v>Bengaluru</v>
      </c>
      <c r="AM282" t="str">
        <f t="shared" si="64"/>
        <v>Technology</v>
      </c>
      <c r="AN282" t="str">
        <f t="shared" si="64"/>
        <v>Copiers</v>
      </c>
      <c r="AO282" t="str">
        <f t="shared" si="62"/>
        <v>Standard Class</v>
      </c>
      <c r="AP282" t="str">
        <f t="shared" si="63"/>
        <v>Paid</v>
      </c>
      <c r="AQ282" t="str">
        <f t="shared" si="63"/>
        <v>Completed</v>
      </c>
    </row>
    <row r="283" spans="1:43">
      <c r="A283" t="s">
        <v>1125</v>
      </c>
      <c r="B283" s="3" t="s">
        <v>1126</v>
      </c>
      <c r="C283" s="3">
        <v>45865</v>
      </c>
      <c r="D283" t="s">
        <v>1127</v>
      </c>
      <c r="E283" t="s">
        <v>375</v>
      </c>
      <c r="F283" t="s">
        <v>109</v>
      </c>
      <c r="G283" t="s">
        <v>123</v>
      </c>
      <c r="H283" t="s">
        <v>335</v>
      </c>
      <c r="I283" t="s">
        <v>336</v>
      </c>
      <c r="J283" t="s">
        <v>113</v>
      </c>
      <c r="K283" t="s">
        <v>246</v>
      </c>
      <c r="L283" t="s">
        <v>1128</v>
      </c>
      <c r="M283" t="s">
        <v>116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117</v>
      </c>
      <c r="U283" t="s">
        <v>118</v>
      </c>
      <c r="V283" s="2">
        <f t="shared" si="53"/>
        <v>0.2</v>
      </c>
      <c r="W283" s="2">
        <f t="shared" si="54"/>
        <v>16504.223999999998</v>
      </c>
      <c r="X283" s="2">
        <f>W283-R283</f>
        <v>5241.5139999999992</v>
      </c>
      <c r="Y283" s="2">
        <f t="shared" si="55"/>
        <v>0.31758621308096641</v>
      </c>
      <c r="Z283" s="2" t="str">
        <f t="shared" si="56"/>
        <v/>
      </c>
      <c r="AA283" s="2" t="e">
        <f t="shared" si="57"/>
        <v>#VALUE!</v>
      </c>
      <c r="AB283" s="2" t="e">
        <f t="shared" si="58"/>
        <v>#VALUE!</v>
      </c>
      <c r="AC283" s="2" t="str">
        <f t="shared" si="59"/>
        <v>Text Value Not Recognized as Date</v>
      </c>
      <c r="AD283" s="2">
        <f t="shared" si="60"/>
        <v>0</v>
      </c>
      <c r="AE283" s="2">
        <f t="shared" si="61"/>
        <v>0</v>
      </c>
      <c r="AH283" t="str">
        <f t="shared" si="65"/>
        <v>Kabir Singh</v>
      </c>
      <c r="AI283" t="str">
        <f t="shared" si="65"/>
        <v>Consumer</v>
      </c>
      <c r="AJ283" t="str">
        <f t="shared" si="64"/>
        <v>East</v>
      </c>
      <c r="AK283" t="str">
        <f t="shared" si="64"/>
        <v>Jharkhand</v>
      </c>
      <c r="AL283" t="str">
        <f t="shared" si="64"/>
        <v>Ranchi</v>
      </c>
      <c r="AM283" t="str">
        <f t="shared" si="64"/>
        <v>Office Supplies</v>
      </c>
      <c r="AN283" t="str">
        <f t="shared" si="64"/>
        <v>Binders</v>
      </c>
      <c r="AO283" t="str">
        <f t="shared" si="62"/>
        <v>Second Class</v>
      </c>
      <c r="AP283" t="str">
        <f t="shared" si="63"/>
        <v>Paid</v>
      </c>
      <c r="AQ283" t="str">
        <f t="shared" si="63"/>
        <v>Completed</v>
      </c>
    </row>
    <row r="284" spans="1:43">
      <c r="A284" t="s">
        <v>1129</v>
      </c>
      <c r="B284" s="3">
        <v>45566</v>
      </c>
      <c r="C284" s="3">
        <v>45567</v>
      </c>
      <c r="D284" t="s">
        <v>1130</v>
      </c>
      <c r="E284" t="s">
        <v>108</v>
      </c>
      <c r="F284" t="s">
        <v>182</v>
      </c>
      <c r="G284" t="s">
        <v>123</v>
      </c>
      <c r="H284" t="s">
        <v>260</v>
      </c>
      <c r="I284" t="s">
        <v>261</v>
      </c>
      <c r="J284" t="s">
        <v>126</v>
      </c>
      <c r="K284" t="s">
        <v>127</v>
      </c>
      <c r="L284" t="s">
        <v>1131</v>
      </c>
      <c r="M284" t="s">
        <v>116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117</v>
      </c>
      <c r="U284" t="s">
        <v>118</v>
      </c>
      <c r="V284" s="2">
        <f t="shared" si="53"/>
        <v>0</v>
      </c>
      <c r="W284" s="2">
        <f t="shared" si="54"/>
        <v>4596</v>
      </c>
      <c r="X284" s="2">
        <f>W284-R284</f>
        <v>1375.67</v>
      </c>
      <c r="Y284" s="2">
        <f t="shared" si="55"/>
        <v>0.29931897302001742</v>
      </c>
      <c r="Z284" s="2">
        <f t="shared" si="56"/>
        <v>1</v>
      </c>
      <c r="AA284" s="2">
        <f t="shared" si="57"/>
        <v>10</v>
      </c>
      <c r="AB284" s="2">
        <f t="shared" si="58"/>
        <v>2024</v>
      </c>
      <c r="AC284" s="2" t="str">
        <f t="shared" si="59"/>
        <v>Valid</v>
      </c>
      <c r="AD284" s="2">
        <f t="shared" si="60"/>
        <v>0</v>
      </c>
      <c r="AE284" s="2">
        <f t="shared" si="61"/>
        <v>0</v>
      </c>
      <c r="AH284" t="str">
        <f t="shared" si="65"/>
        <v>Karan Malhotra</v>
      </c>
      <c r="AI284" t="str">
        <f t="shared" si="65"/>
        <v>Home Office</v>
      </c>
      <c r="AJ284" t="str">
        <f t="shared" si="64"/>
        <v>East</v>
      </c>
      <c r="AK284" t="str">
        <f t="shared" si="64"/>
        <v>Assam</v>
      </c>
      <c r="AL284" t="str">
        <f t="shared" si="64"/>
        <v>Guwahati</v>
      </c>
      <c r="AM284" t="str">
        <f t="shared" si="64"/>
        <v>Furniture</v>
      </c>
      <c r="AN284" t="str">
        <f t="shared" si="64"/>
        <v>Tables</v>
      </c>
      <c r="AO284" t="str">
        <f t="shared" si="62"/>
        <v>Second Class</v>
      </c>
      <c r="AP284" t="str">
        <f t="shared" si="63"/>
        <v>Paid</v>
      </c>
      <c r="AQ284" t="str">
        <f t="shared" si="63"/>
        <v>Completed</v>
      </c>
    </row>
    <row r="285" spans="1:43">
      <c r="A285" t="s">
        <v>1132</v>
      </c>
      <c r="B285" s="3">
        <v>45729</v>
      </c>
      <c r="C285" s="3" t="s">
        <v>1133</v>
      </c>
      <c r="D285" t="s">
        <v>1134</v>
      </c>
      <c r="E285" t="s">
        <v>157</v>
      </c>
      <c r="F285" t="s">
        <v>109</v>
      </c>
      <c r="G285" t="s">
        <v>149</v>
      </c>
      <c r="H285" t="s">
        <v>150</v>
      </c>
      <c r="I285" t="s">
        <v>151</v>
      </c>
      <c r="J285" t="s">
        <v>126</v>
      </c>
      <c r="K285" t="s">
        <v>143</v>
      </c>
      <c r="L285" t="s">
        <v>1135</v>
      </c>
      <c r="M285" t="s">
        <v>135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117</v>
      </c>
      <c r="U285" t="s">
        <v>118</v>
      </c>
      <c r="V285" s="2">
        <f t="shared" si="53"/>
        <v>0</v>
      </c>
      <c r="W285" s="2">
        <f t="shared" si="54"/>
        <v>1814.01</v>
      </c>
      <c r="X285" s="2">
        <f>W285-R285</f>
        <v>780.54</v>
      </c>
      <c r="Y285" s="2">
        <f t="shared" si="55"/>
        <v>0.43028428729720342</v>
      </c>
      <c r="Z285" s="2" t="str">
        <f t="shared" si="56"/>
        <v/>
      </c>
      <c r="AA285" s="2">
        <f t="shared" si="57"/>
        <v>3</v>
      </c>
      <c r="AB285" s="2">
        <f t="shared" si="58"/>
        <v>2025</v>
      </c>
      <c r="AC285" s="2" t="str">
        <f t="shared" si="59"/>
        <v>Text Value Not Recognized as Date</v>
      </c>
      <c r="AD285" s="2">
        <f t="shared" si="60"/>
        <v>0</v>
      </c>
      <c r="AE285" s="2">
        <f t="shared" si="61"/>
        <v>0</v>
      </c>
      <c r="AH285" t="str">
        <f t="shared" si="65"/>
        <v>Vikram Iyer</v>
      </c>
      <c r="AI285" t="str">
        <f t="shared" si="65"/>
        <v>Consumer</v>
      </c>
      <c r="AJ285" t="str">
        <f t="shared" si="64"/>
        <v>West</v>
      </c>
      <c r="AK285" t="str">
        <f t="shared" si="64"/>
        <v>Maharashtra</v>
      </c>
      <c r="AL285" t="str">
        <f t="shared" si="64"/>
        <v>Mumbai</v>
      </c>
      <c r="AM285" t="str">
        <f t="shared" si="64"/>
        <v>Furniture</v>
      </c>
      <c r="AN285" t="str">
        <f t="shared" si="64"/>
        <v>Furnishings</v>
      </c>
      <c r="AO285" t="str">
        <f t="shared" si="62"/>
        <v>First Class</v>
      </c>
      <c r="AP285" t="str">
        <f t="shared" si="63"/>
        <v>Paid</v>
      </c>
      <c r="AQ285" t="str">
        <f t="shared" si="63"/>
        <v>Completed</v>
      </c>
    </row>
    <row r="286" spans="1:43">
      <c r="A286" t="s">
        <v>1136</v>
      </c>
      <c r="B286" s="3">
        <v>45634</v>
      </c>
      <c r="C286" s="3">
        <v>45640</v>
      </c>
      <c r="D286" t="s">
        <v>1137</v>
      </c>
      <c r="E286" t="s">
        <v>108</v>
      </c>
      <c r="F286" t="s">
        <v>109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1138</v>
      </c>
      <c r="M286" t="s">
        <v>129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117</v>
      </c>
      <c r="U286" t="s">
        <v>190</v>
      </c>
      <c r="V286" s="2">
        <f t="shared" si="53"/>
        <v>0</v>
      </c>
      <c r="W286" s="2">
        <f t="shared" si="54"/>
        <v>4730.76</v>
      </c>
      <c r="X286" s="2">
        <f>W286-R286</f>
        <v>1591.0300000000002</v>
      </c>
      <c r="Y286" s="2">
        <f t="shared" si="55"/>
        <v>0.33631594077907145</v>
      </c>
      <c r="Z286" s="2">
        <f t="shared" si="56"/>
        <v>6</v>
      </c>
      <c r="AA286" s="2">
        <f t="shared" si="57"/>
        <v>12</v>
      </c>
      <c r="AB286" s="2">
        <f t="shared" si="58"/>
        <v>2024</v>
      </c>
      <c r="AC286" s="2" t="str">
        <f t="shared" si="59"/>
        <v>Valid</v>
      </c>
      <c r="AD286" s="2">
        <f t="shared" si="60"/>
        <v>0</v>
      </c>
      <c r="AE286" s="2">
        <f t="shared" si="61"/>
        <v>0</v>
      </c>
      <c r="AH286" t="str">
        <f t="shared" si="65"/>
        <v>Karan Malhotra</v>
      </c>
      <c r="AI286" t="str">
        <f t="shared" si="65"/>
        <v>Consumer</v>
      </c>
      <c r="AJ286" t="str">
        <f t="shared" si="64"/>
        <v>East</v>
      </c>
      <c r="AK286" t="str">
        <f t="shared" si="64"/>
        <v>Odisha</v>
      </c>
      <c r="AL286" t="str">
        <f t="shared" si="64"/>
        <v>Bhubaneswar</v>
      </c>
      <c r="AM286" t="str">
        <f t="shared" si="64"/>
        <v>Furniture</v>
      </c>
      <c r="AN286" t="str">
        <f t="shared" si="64"/>
        <v>Tables</v>
      </c>
      <c r="AO286" t="str">
        <f t="shared" si="62"/>
        <v>Same Day</v>
      </c>
      <c r="AP286" t="str">
        <f t="shared" si="63"/>
        <v>Paid</v>
      </c>
      <c r="AQ286" t="str">
        <f t="shared" si="63"/>
        <v>Returned</v>
      </c>
    </row>
    <row r="287" spans="1:43">
      <c r="A287" t="s">
        <v>1139</v>
      </c>
      <c r="B287" s="3">
        <v>45884</v>
      </c>
      <c r="C287" s="3">
        <v>45889</v>
      </c>
      <c r="D287" t="s">
        <v>1140</v>
      </c>
      <c r="E287" t="s">
        <v>165</v>
      </c>
      <c r="F287" t="s">
        <v>182</v>
      </c>
      <c r="G287" t="s">
        <v>110</v>
      </c>
      <c r="H287" t="s">
        <v>111</v>
      </c>
      <c r="I287" t="s">
        <v>112</v>
      </c>
      <c r="J287" t="s">
        <v>113</v>
      </c>
      <c r="K287" t="s">
        <v>213</v>
      </c>
      <c r="L287" t="s">
        <v>1141</v>
      </c>
      <c r="M287" t="s">
        <v>145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117</v>
      </c>
      <c r="U287" t="s">
        <v>118</v>
      </c>
      <c r="V287" s="2">
        <f t="shared" si="53"/>
        <v>0</v>
      </c>
      <c r="W287" s="2">
        <f t="shared" si="54"/>
        <v>36735.93</v>
      </c>
      <c r="X287" s="2">
        <f>W287-R287</f>
        <v>5915.09</v>
      </c>
      <c r="Y287" s="2">
        <f t="shared" si="55"/>
        <v>0.16101647624001897</v>
      </c>
      <c r="Z287" s="2">
        <f t="shared" si="56"/>
        <v>5</v>
      </c>
      <c r="AA287" s="2">
        <f t="shared" si="57"/>
        <v>8</v>
      </c>
      <c r="AB287" s="2">
        <f t="shared" si="58"/>
        <v>2025</v>
      </c>
      <c r="AC287" s="2" t="str">
        <f t="shared" si="59"/>
        <v>Valid</v>
      </c>
      <c r="AD287" s="2">
        <f t="shared" si="60"/>
        <v>0</v>
      </c>
      <c r="AE287" s="2">
        <f t="shared" si="61"/>
        <v>0</v>
      </c>
      <c r="AH287" t="str">
        <f t="shared" si="65"/>
        <v>Neha Gupta</v>
      </c>
      <c r="AI287" t="str">
        <f t="shared" si="65"/>
        <v>Home Office</v>
      </c>
      <c r="AJ287" t="str">
        <f t="shared" si="64"/>
        <v>North</v>
      </c>
      <c r="AK287" t="str">
        <f t="shared" si="64"/>
        <v>Rajasthan</v>
      </c>
      <c r="AL287" t="str">
        <f t="shared" si="64"/>
        <v>Jaipur</v>
      </c>
      <c r="AM287" t="str">
        <f t="shared" si="64"/>
        <v>Office Supplies</v>
      </c>
      <c r="AN287" t="str">
        <f t="shared" si="64"/>
        <v>Storage</v>
      </c>
      <c r="AO287" t="str">
        <f t="shared" si="62"/>
        <v>Standard Class</v>
      </c>
      <c r="AP287" t="str">
        <f t="shared" si="63"/>
        <v>Paid</v>
      </c>
      <c r="AQ287" t="str">
        <f t="shared" si="63"/>
        <v>Completed</v>
      </c>
    </row>
    <row r="288" spans="1:43">
      <c r="A288" t="s">
        <v>1142</v>
      </c>
      <c r="B288" s="3" t="s">
        <v>1143</v>
      </c>
      <c r="C288" s="3">
        <v>45353</v>
      </c>
      <c r="D288" t="s">
        <v>1144</v>
      </c>
      <c r="E288" t="s">
        <v>203</v>
      </c>
      <c r="F288" t="s">
        <v>122</v>
      </c>
      <c r="G288" t="s">
        <v>110</v>
      </c>
      <c r="H288" t="s">
        <v>465</v>
      </c>
      <c r="I288" t="s">
        <v>466</v>
      </c>
      <c r="J288" t="s">
        <v>126</v>
      </c>
      <c r="K288" t="s">
        <v>143</v>
      </c>
      <c r="L288" t="s">
        <v>1145</v>
      </c>
      <c r="M288" t="s">
        <v>135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199</v>
      </c>
      <c r="U288" t="s">
        <v>190</v>
      </c>
      <c r="V288" s="2">
        <f t="shared" si="53"/>
        <v>0.1</v>
      </c>
      <c r="W288" s="2">
        <f t="shared" si="54"/>
        <v>4421.3399999999992</v>
      </c>
      <c r="X288" s="2">
        <f>W288-R288</f>
        <v>1931.3599999999992</v>
      </c>
      <c r="Y288" s="2">
        <f t="shared" si="55"/>
        <v>0.43682684435035524</v>
      </c>
      <c r="Z288" s="2" t="str">
        <f t="shared" si="56"/>
        <v/>
      </c>
      <c r="AA288" s="2" t="e">
        <f t="shared" si="57"/>
        <v>#VALUE!</v>
      </c>
      <c r="AB288" s="2" t="e">
        <f t="shared" si="58"/>
        <v>#VALUE!</v>
      </c>
      <c r="AC288" s="2" t="str">
        <f t="shared" si="59"/>
        <v>Text Value Not Recognized as Date</v>
      </c>
      <c r="AD288" s="2">
        <f t="shared" si="60"/>
        <v>0</v>
      </c>
      <c r="AE288" s="2">
        <f t="shared" si="61"/>
        <v>0</v>
      </c>
      <c r="AH288" t="str">
        <f t="shared" si="65"/>
        <v>Priya Menon</v>
      </c>
      <c r="AI288" t="str">
        <f t="shared" si="65"/>
        <v>Small Business</v>
      </c>
      <c r="AJ288" t="str">
        <f t="shared" si="64"/>
        <v>North</v>
      </c>
      <c r="AK288" t="str">
        <f t="shared" si="64"/>
        <v>Delhi</v>
      </c>
      <c r="AL288" t="str">
        <f t="shared" si="64"/>
        <v>New Delhi</v>
      </c>
      <c r="AM288" t="str">
        <f t="shared" si="64"/>
        <v>Furniture</v>
      </c>
      <c r="AN288" t="str">
        <f t="shared" si="64"/>
        <v>Furnishings</v>
      </c>
      <c r="AO288" t="str">
        <f t="shared" si="62"/>
        <v>First Class</v>
      </c>
      <c r="AP288" t="str">
        <f t="shared" si="63"/>
        <v>Pending</v>
      </c>
      <c r="AQ288" t="str">
        <f t="shared" si="63"/>
        <v>Returned</v>
      </c>
    </row>
    <row r="289" spans="1:43">
      <c r="A289" t="s">
        <v>1146</v>
      </c>
      <c r="B289" s="3">
        <v>45540</v>
      </c>
      <c r="C289" s="3">
        <v>45482</v>
      </c>
      <c r="D289" t="s">
        <v>1147</v>
      </c>
      <c r="E289" t="s">
        <v>165</v>
      </c>
      <c r="F289" t="s">
        <v>122</v>
      </c>
      <c r="G289" t="s">
        <v>140</v>
      </c>
      <c r="H289" t="s">
        <v>357</v>
      </c>
      <c r="I289" t="s">
        <v>358</v>
      </c>
      <c r="J289" t="s">
        <v>160</v>
      </c>
      <c r="K289" t="s">
        <v>166</v>
      </c>
      <c r="L289" t="s">
        <v>1148</v>
      </c>
      <c r="M289" t="s">
        <v>145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117</v>
      </c>
      <c r="U289" t="s">
        <v>44</v>
      </c>
      <c r="V289" s="2">
        <f t="shared" si="53"/>
        <v>0.15</v>
      </c>
      <c r="W289" s="2">
        <f t="shared" si="54"/>
        <v>6516.9329999999991</v>
      </c>
      <c r="X289" s="2">
        <f>W289-R289</f>
        <v>2005.3929999999991</v>
      </c>
      <c r="Y289" s="2">
        <f t="shared" si="55"/>
        <v>0.30772036477895343</v>
      </c>
      <c r="Z289" s="2">
        <f t="shared" si="56"/>
        <v>-58</v>
      </c>
      <c r="AA289" s="2">
        <f t="shared" si="57"/>
        <v>9</v>
      </c>
      <c r="AB289" s="2">
        <f t="shared" si="58"/>
        <v>2024</v>
      </c>
      <c r="AC289" s="2" t="str">
        <f t="shared" si="59"/>
        <v>Invalid shipping record</v>
      </c>
      <c r="AD289" s="2">
        <f t="shared" si="60"/>
        <v>0</v>
      </c>
      <c r="AE289" s="2">
        <f t="shared" si="61"/>
        <v>0</v>
      </c>
      <c r="AH289" t="str">
        <f t="shared" si="65"/>
        <v>Neha Gupta</v>
      </c>
      <c r="AI289" t="str">
        <f t="shared" si="65"/>
        <v>Small Business</v>
      </c>
      <c r="AJ289" t="str">
        <f t="shared" si="64"/>
        <v>South</v>
      </c>
      <c r="AK289" t="str">
        <f t="shared" si="64"/>
        <v>Tamil Nadu</v>
      </c>
      <c r="AL289" t="str">
        <f t="shared" si="64"/>
        <v>Chennai</v>
      </c>
      <c r="AM289" t="str">
        <f t="shared" si="64"/>
        <v>Technology</v>
      </c>
      <c r="AN289" t="str">
        <f t="shared" si="64"/>
        <v>Copiers</v>
      </c>
      <c r="AO289" t="str">
        <f t="shared" si="62"/>
        <v>Standard Class</v>
      </c>
      <c r="AP289" t="str">
        <f t="shared" si="63"/>
        <v>Paid</v>
      </c>
      <c r="AQ289" t="str">
        <f t="shared" si="63"/>
        <v>Cancelled</v>
      </c>
    </row>
    <row r="290" spans="1:43">
      <c r="A290" t="s">
        <v>1149</v>
      </c>
      <c r="B290" s="3">
        <v>45467</v>
      </c>
      <c r="C290" s="3">
        <v>45467</v>
      </c>
      <c r="D290" t="s">
        <v>1150</v>
      </c>
      <c r="E290" t="s">
        <v>232</v>
      </c>
      <c r="F290" t="s">
        <v>122</v>
      </c>
      <c r="G290" t="s">
        <v>123</v>
      </c>
      <c r="H290" t="s">
        <v>237</v>
      </c>
      <c r="I290" t="s">
        <v>238</v>
      </c>
      <c r="J290" t="s">
        <v>113</v>
      </c>
      <c r="K290" t="s">
        <v>246</v>
      </c>
      <c r="L290" t="s">
        <v>1151</v>
      </c>
      <c r="M290" t="s">
        <v>129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117</v>
      </c>
      <c r="U290" t="s">
        <v>118</v>
      </c>
      <c r="V290" s="2">
        <f t="shared" si="53"/>
        <v>0.15</v>
      </c>
      <c r="W290" s="2">
        <f t="shared" si="54"/>
        <v>7411.829999999999</v>
      </c>
      <c r="X290" s="2">
        <f>W290-R290</f>
        <v>2507.1999999999989</v>
      </c>
      <c r="Y290" s="2">
        <f t="shared" si="55"/>
        <v>0.3382700358750807</v>
      </c>
      <c r="Z290" s="2">
        <f t="shared" si="56"/>
        <v>0</v>
      </c>
      <c r="AA290" s="2">
        <f t="shared" si="57"/>
        <v>6</v>
      </c>
      <c r="AB290" s="2">
        <f t="shared" si="58"/>
        <v>2024</v>
      </c>
      <c r="AC290" s="2" t="str">
        <f t="shared" si="59"/>
        <v>Valid</v>
      </c>
      <c r="AD290" s="2">
        <f t="shared" si="60"/>
        <v>0</v>
      </c>
      <c r="AE290" s="2">
        <f t="shared" si="61"/>
        <v>0</v>
      </c>
      <c r="AH290" t="str">
        <f t="shared" si="65"/>
        <v>Rohan Mehta</v>
      </c>
      <c r="AI290" t="str">
        <f t="shared" si="65"/>
        <v>Small Business</v>
      </c>
      <c r="AJ290" t="str">
        <f t="shared" si="64"/>
        <v>East</v>
      </c>
      <c r="AK290" t="str">
        <f t="shared" si="64"/>
        <v>Bihar</v>
      </c>
      <c r="AL290" t="str">
        <f t="shared" si="64"/>
        <v>Patna</v>
      </c>
      <c r="AM290" t="str">
        <f t="shared" si="64"/>
        <v>Office Supplies</v>
      </c>
      <c r="AN290" t="str">
        <f t="shared" si="64"/>
        <v>Binders</v>
      </c>
      <c r="AO290" t="str">
        <f t="shared" si="62"/>
        <v>Same Day</v>
      </c>
      <c r="AP290" t="str">
        <f t="shared" si="63"/>
        <v>Paid</v>
      </c>
      <c r="AQ290" t="str">
        <f t="shared" si="63"/>
        <v>Completed</v>
      </c>
    </row>
    <row r="291" spans="1:43">
      <c r="A291" t="s">
        <v>1152</v>
      </c>
      <c r="B291" s="3" t="s">
        <v>292</v>
      </c>
      <c r="C291" s="3">
        <v>45835</v>
      </c>
      <c r="D291" t="s">
        <v>1153</v>
      </c>
      <c r="E291" t="s">
        <v>108</v>
      </c>
      <c r="F291" t="s">
        <v>182</v>
      </c>
      <c r="G291" t="s">
        <v>140</v>
      </c>
      <c r="H291" t="s">
        <v>357</v>
      </c>
      <c r="I291" t="s">
        <v>358</v>
      </c>
      <c r="J291" t="s">
        <v>126</v>
      </c>
      <c r="K291" t="s">
        <v>252</v>
      </c>
      <c r="L291" t="s">
        <v>1154</v>
      </c>
      <c r="M291" t="s">
        <v>135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117</v>
      </c>
      <c r="U291" t="s">
        <v>118</v>
      </c>
      <c r="V291" s="2">
        <f t="shared" si="53"/>
        <v>0.05</v>
      </c>
      <c r="W291" s="2">
        <f t="shared" si="54"/>
        <v>8258.7109999999993</v>
      </c>
      <c r="X291" s="2">
        <f>W291-R291</f>
        <v>1239.7409999999991</v>
      </c>
      <c r="Y291" s="2">
        <f t="shared" si="55"/>
        <v>0.15011313508851432</v>
      </c>
      <c r="Z291" s="2" t="str">
        <f t="shared" si="56"/>
        <v/>
      </c>
      <c r="AA291" s="2" t="e">
        <f t="shared" si="57"/>
        <v>#VALUE!</v>
      </c>
      <c r="AB291" s="2" t="e">
        <f t="shared" si="58"/>
        <v>#VALUE!</v>
      </c>
      <c r="AC291" s="2" t="str">
        <f t="shared" si="59"/>
        <v>Text Value Not Recognized as Date</v>
      </c>
      <c r="AD291" s="2">
        <f t="shared" si="60"/>
        <v>0</v>
      </c>
      <c r="AE291" s="2">
        <f t="shared" si="61"/>
        <v>0</v>
      </c>
      <c r="AH291" t="str">
        <f t="shared" si="65"/>
        <v>Karan Malhotra</v>
      </c>
      <c r="AI291" t="str">
        <f t="shared" si="65"/>
        <v>Home Office</v>
      </c>
      <c r="AJ291" t="str">
        <f t="shared" si="64"/>
        <v>South</v>
      </c>
      <c r="AK291" t="str">
        <f t="shared" si="64"/>
        <v>Tamil Nadu</v>
      </c>
      <c r="AL291" t="str">
        <f t="shared" si="64"/>
        <v>Chennai</v>
      </c>
      <c r="AM291" t="str">
        <f t="shared" si="64"/>
        <v>Furniture</v>
      </c>
      <c r="AN291" t="str">
        <f t="shared" si="64"/>
        <v>Bookcases</v>
      </c>
      <c r="AO291" t="str">
        <f t="shared" si="62"/>
        <v>First Class</v>
      </c>
      <c r="AP291" t="str">
        <f t="shared" si="63"/>
        <v>Paid</v>
      </c>
      <c r="AQ291" t="str">
        <f t="shared" si="63"/>
        <v>Completed</v>
      </c>
    </row>
    <row r="292" spans="1:43">
      <c r="A292" t="s">
        <v>1155</v>
      </c>
      <c r="B292" s="3">
        <v>45891</v>
      </c>
      <c r="C292" s="3">
        <v>45895</v>
      </c>
      <c r="D292" t="s">
        <v>1156</v>
      </c>
      <c r="E292" t="s">
        <v>256</v>
      </c>
      <c r="F292" t="s">
        <v>182</v>
      </c>
      <c r="G292" t="s">
        <v>123</v>
      </c>
      <c r="H292" t="s">
        <v>335</v>
      </c>
      <c r="I292" t="s">
        <v>336</v>
      </c>
      <c r="J292" t="s">
        <v>126</v>
      </c>
      <c r="K292" t="s">
        <v>127</v>
      </c>
      <c r="L292" t="s">
        <v>1157</v>
      </c>
      <c r="M292" t="s">
        <v>145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117</v>
      </c>
      <c r="U292" t="s">
        <v>118</v>
      </c>
      <c r="V292" s="2">
        <f t="shared" si="53"/>
        <v>0.1</v>
      </c>
      <c r="W292" s="2">
        <f t="shared" si="54"/>
        <v>1658.3670000000002</v>
      </c>
      <c r="X292" s="2">
        <f>W292-R292</f>
        <v>687.24700000000018</v>
      </c>
      <c r="Y292" s="2">
        <f t="shared" si="55"/>
        <v>0.41441188832146331</v>
      </c>
      <c r="Z292" s="2">
        <f t="shared" si="56"/>
        <v>4</v>
      </c>
      <c r="AA292" s="2">
        <f t="shared" si="57"/>
        <v>8</v>
      </c>
      <c r="AB292" s="2">
        <f t="shared" si="58"/>
        <v>2025</v>
      </c>
      <c r="AC292" s="2" t="str">
        <f t="shared" si="59"/>
        <v>Valid</v>
      </c>
      <c r="AD292" s="2">
        <f t="shared" si="60"/>
        <v>0</v>
      </c>
      <c r="AE292" s="2">
        <f t="shared" si="61"/>
        <v>0</v>
      </c>
      <c r="AH292" t="str">
        <f t="shared" si="65"/>
        <v>Diya Patel</v>
      </c>
      <c r="AI292" t="str">
        <f t="shared" si="65"/>
        <v>Home Office</v>
      </c>
      <c r="AJ292" t="str">
        <f t="shared" si="64"/>
        <v>East</v>
      </c>
      <c r="AK292" t="str">
        <f t="shared" si="64"/>
        <v>Jharkhand</v>
      </c>
      <c r="AL292" t="str">
        <f t="shared" si="64"/>
        <v>Ranchi</v>
      </c>
      <c r="AM292" t="str">
        <f t="shared" si="64"/>
        <v>Furniture</v>
      </c>
      <c r="AN292" t="str">
        <f t="shared" si="64"/>
        <v>Tables</v>
      </c>
      <c r="AO292" t="str">
        <f t="shared" si="62"/>
        <v>Standard Class</v>
      </c>
      <c r="AP292" t="str">
        <f t="shared" si="63"/>
        <v>Paid</v>
      </c>
      <c r="AQ292" t="str">
        <f t="shared" si="63"/>
        <v>Completed</v>
      </c>
    </row>
    <row r="293" spans="1:43">
      <c r="A293" t="s">
        <v>1158</v>
      </c>
      <c r="B293" s="3">
        <v>45387</v>
      </c>
      <c r="C293" s="3">
        <v>45392</v>
      </c>
      <c r="D293" t="s">
        <v>1159</v>
      </c>
      <c r="E293" t="s">
        <v>203</v>
      </c>
      <c r="F293" t="s">
        <v>182</v>
      </c>
      <c r="G293" t="s">
        <v>110</v>
      </c>
      <c r="H293" t="s">
        <v>111</v>
      </c>
      <c r="I293" t="s">
        <v>112</v>
      </c>
      <c r="J293" t="s">
        <v>113</v>
      </c>
      <c r="K293" t="s">
        <v>246</v>
      </c>
      <c r="L293" t="s">
        <v>1160</v>
      </c>
      <c r="M293" t="s">
        <v>145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117</v>
      </c>
      <c r="U293" t="s">
        <v>118</v>
      </c>
      <c r="V293" s="2">
        <f t="shared" si="53"/>
        <v>0.25</v>
      </c>
      <c r="W293" s="2">
        <f t="shared" si="54"/>
        <v>9685.98</v>
      </c>
      <c r="X293" s="2">
        <f>W293-R293</f>
        <v>1955.9399999999996</v>
      </c>
      <c r="Y293" s="2">
        <f t="shared" si="55"/>
        <v>0.20193516815025425</v>
      </c>
      <c r="Z293" s="2">
        <f t="shared" si="56"/>
        <v>5</v>
      </c>
      <c r="AA293" s="2">
        <f t="shared" si="57"/>
        <v>4</v>
      </c>
      <c r="AB293" s="2">
        <f t="shared" si="58"/>
        <v>2024</v>
      </c>
      <c r="AC293" s="2" t="str">
        <f t="shared" si="59"/>
        <v>Valid</v>
      </c>
      <c r="AD293" s="2">
        <f t="shared" si="60"/>
        <v>0</v>
      </c>
      <c r="AE293" s="2">
        <f t="shared" si="61"/>
        <v>0</v>
      </c>
      <c r="AH293" t="str">
        <f t="shared" si="65"/>
        <v>Priya Menon</v>
      </c>
      <c r="AI293" t="str">
        <f t="shared" si="65"/>
        <v>Home Office</v>
      </c>
      <c r="AJ293" t="str">
        <f t="shared" si="64"/>
        <v>North</v>
      </c>
      <c r="AK293" t="str">
        <f t="shared" si="64"/>
        <v>Rajasthan</v>
      </c>
      <c r="AL293" t="str">
        <f t="shared" si="64"/>
        <v>Jaipur</v>
      </c>
      <c r="AM293" t="str">
        <f t="shared" si="64"/>
        <v>Office Supplies</v>
      </c>
      <c r="AN293" t="str">
        <f t="shared" si="64"/>
        <v>Binders</v>
      </c>
      <c r="AO293" t="str">
        <f t="shared" si="62"/>
        <v>Standard Class</v>
      </c>
      <c r="AP293" t="str">
        <f t="shared" si="63"/>
        <v>Paid</v>
      </c>
      <c r="AQ293" t="str">
        <f t="shared" si="63"/>
        <v>Completed</v>
      </c>
    </row>
    <row r="294" spans="1:43">
      <c r="A294" t="s">
        <v>1161</v>
      </c>
      <c r="B294" s="3">
        <v>45716</v>
      </c>
      <c r="C294" s="3">
        <v>45719</v>
      </c>
      <c r="D294" t="s">
        <v>1162</v>
      </c>
      <c r="E294" t="s">
        <v>375</v>
      </c>
      <c r="F294" t="s">
        <v>182</v>
      </c>
      <c r="G294" t="s">
        <v>110</v>
      </c>
      <c r="H294" t="s">
        <v>344</v>
      </c>
      <c r="I294" t="s">
        <v>345</v>
      </c>
      <c r="J294" t="s">
        <v>113</v>
      </c>
      <c r="K294" t="s">
        <v>133</v>
      </c>
      <c r="L294" t="s">
        <v>1163</v>
      </c>
      <c r="M294" t="s">
        <v>129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199</v>
      </c>
      <c r="U294" t="s">
        <v>44</v>
      </c>
      <c r="V294" s="2">
        <f t="shared" si="53"/>
        <v>0</v>
      </c>
      <c r="W294" s="2">
        <f t="shared" si="54"/>
        <v>33740.549999999996</v>
      </c>
      <c r="X294" s="2">
        <f>W294-R294</f>
        <v>9118.6599999999962</v>
      </c>
      <c r="Y294" s="2">
        <f t="shared" si="55"/>
        <v>0.2702581908119458</v>
      </c>
      <c r="Z294" s="2">
        <f t="shared" si="56"/>
        <v>3</v>
      </c>
      <c r="AA294" s="2">
        <f t="shared" si="57"/>
        <v>2</v>
      </c>
      <c r="AB294" s="2">
        <f t="shared" si="58"/>
        <v>2025</v>
      </c>
      <c r="AC294" s="2" t="str">
        <f t="shared" si="59"/>
        <v>Valid</v>
      </c>
      <c r="AD294" s="2">
        <f t="shared" si="60"/>
        <v>0</v>
      </c>
      <c r="AE294" s="2">
        <f t="shared" si="61"/>
        <v>0</v>
      </c>
      <c r="AH294" t="str">
        <f t="shared" si="65"/>
        <v>Kabir Singh</v>
      </c>
      <c r="AI294" t="str">
        <f t="shared" si="65"/>
        <v>Home Office</v>
      </c>
      <c r="AJ294" t="str">
        <f t="shared" si="64"/>
        <v>North</v>
      </c>
      <c r="AK294" t="str">
        <f t="shared" si="64"/>
        <v>Haryana</v>
      </c>
      <c r="AL294" t="str">
        <f t="shared" si="64"/>
        <v>Gurugram</v>
      </c>
      <c r="AM294" t="str">
        <f t="shared" si="64"/>
        <v>Office Supplies</v>
      </c>
      <c r="AN294" t="str">
        <f t="shared" si="64"/>
        <v>Art</v>
      </c>
      <c r="AO294" t="str">
        <f t="shared" si="62"/>
        <v>Same Day</v>
      </c>
      <c r="AP294" t="str">
        <f t="shared" si="63"/>
        <v>Pending</v>
      </c>
      <c r="AQ294" t="str">
        <f t="shared" si="63"/>
        <v>Cancelled</v>
      </c>
    </row>
    <row r="295" spans="1:43">
      <c r="A295" t="s">
        <v>1164</v>
      </c>
      <c r="B295" s="3">
        <v>45358</v>
      </c>
      <c r="C295" s="3">
        <v>45599</v>
      </c>
      <c r="D295" t="s">
        <v>1165</v>
      </c>
      <c r="E295" t="s">
        <v>139</v>
      </c>
      <c r="F295" t="s">
        <v>182</v>
      </c>
      <c r="G295" t="s">
        <v>140</v>
      </c>
      <c r="H295" t="s">
        <v>141</v>
      </c>
      <c r="I295" t="s">
        <v>142</v>
      </c>
      <c r="J295" t="s">
        <v>160</v>
      </c>
      <c r="K295" t="s">
        <v>266</v>
      </c>
      <c r="L295" t="s">
        <v>1166</v>
      </c>
      <c r="M295" t="s">
        <v>135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117</v>
      </c>
      <c r="U295" t="s">
        <v>118</v>
      </c>
      <c r="V295" s="2">
        <f t="shared" si="53"/>
        <v>0.65</v>
      </c>
      <c r="W295" s="2">
        <f t="shared" si="54"/>
        <v>3081.0569999999998</v>
      </c>
      <c r="X295" s="2">
        <f>W295-R295</f>
        <v>-3459.9830000000002</v>
      </c>
      <c r="Y295" s="2">
        <f t="shared" si="55"/>
        <v>-1.1229857156164267</v>
      </c>
      <c r="Z295" s="2">
        <f t="shared" si="56"/>
        <v>241</v>
      </c>
      <c r="AA295" s="2">
        <f t="shared" si="57"/>
        <v>3</v>
      </c>
      <c r="AB295" s="2">
        <f t="shared" si="58"/>
        <v>2024</v>
      </c>
      <c r="AC295" s="2" t="str">
        <f t="shared" si="59"/>
        <v>Valid</v>
      </c>
      <c r="AD295" s="2">
        <f t="shared" si="60"/>
        <v>1</v>
      </c>
      <c r="AE295" s="2">
        <f t="shared" si="61"/>
        <v>1</v>
      </c>
      <c r="AH295" t="str">
        <f t="shared" si="65"/>
        <v>Arjun Bose</v>
      </c>
      <c r="AI295" t="str">
        <f t="shared" si="65"/>
        <v>Home Office</v>
      </c>
      <c r="AJ295" t="str">
        <f t="shared" si="64"/>
        <v>South</v>
      </c>
      <c r="AK295" t="str">
        <f t="shared" si="64"/>
        <v>Telangana</v>
      </c>
      <c r="AL295" t="str">
        <f t="shared" si="64"/>
        <v>Hyderabad</v>
      </c>
      <c r="AM295" t="str">
        <f t="shared" si="64"/>
        <v>Technology</v>
      </c>
      <c r="AN295" t="str">
        <f t="shared" si="64"/>
        <v>Phones</v>
      </c>
      <c r="AO295" t="str">
        <f t="shared" si="62"/>
        <v>First Class</v>
      </c>
      <c r="AP295" t="str">
        <f t="shared" si="63"/>
        <v>Paid</v>
      </c>
      <c r="AQ295" t="str">
        <f t="shared" si="63"/>
        <v>Completed</v>
      </c>
    </row>
    <row r="296" spans="1:43">
      <c r="A296" t="s">
        <v>1167</v>
      </c>
      <c r="B296" s="3">
        <v>45854</v>
      </c>
      <c r="C296" s="3">
        <v>45860</v>
      </c>
      <c r="D296" t="s">
        <v>1168</v>
      </c>
      <c r="E296" t="s">
        <v>203</v>
      </c>
      <c r="F296" t="s">
        <v>109</v>
      </c>
      <c r="G296" t="s">
        <v>123</v>
      </c>
      <c r="H296" t="s">
        <v>124</v>
      </c>
      <c r="I296" t="s">
        <v>125</v>
      </c>
      <c r="J296" t="s">
        <v>160</v>
      </c>
      <c r="K296" t="s">
        <v>266</v>
      </c>
      <c r="L296" t="s">
        <v>1169</v>
      </c>
      <c r="M296" t="s">
        <v>116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117</v>
      </c>
      <c r="U296" t="s">
        <v>190</v>
      </c>
      <c r="V296" s="2">
        <f t="shared" si="53"/>
        <v>0.25</v>
      </c>
      <c r="W296" s="2">
        <f t="shared" si="54"/>
        <v>18716.985000000001</v>
      </c>
      <c r="X296" s="2">
        <f>W296-R296</f>
        <v>6434.5550000000003</v>
      </c>
      <c r="Y296" s="2">
        <f t="shared" si="55"/>
        <v>0.34378159730319813</v>
      </c>
      <c r="Z296" s="2">
        <f t="shared" si="56"/>
        <v>6</v>
      </c>
      <c r="AA296" s="2">
        <f t="shared" si="57"/>
        <v>7</v>
      </c>
      <c r="AB296" s="2">
        <f t="shared" si="58"/>
        <v>2025</v>
      </c>
      <c r="AC296" s="2" t="str">
        <f t="shared" si="59"/>
        <v>Valid</v>
      </c>
      <c r="AD296" s="2">
        <f t="shared" si="60"/>
        <v>0</v>
      </c>
      <c r="AE296" s="2">
        <f t="shared" si="61"/>
        <v>0</v>
      </c>
      <c r="AH296" t="str">
        <f t="shared" si="65"/>
        <v>Priya Menon</v>
      </c>
      <c r="AI296" t="str">
        <f t="shared" si="65"/>
        <v>Consumer</v>
      </c>
      <c r="AJ296" t="str">
        <f t="shared" si="64"/>
        <v>East</v>
      </c>
      <c r="AK296" t="str">
        <f t="shared" si="64"/>
        <v>Odisha</v>
      </c>
      <c r="AL296" t="str">
        <f t="shared" si="64"/>
        <v>Bhubaneswar</v>
      </c>
      <c r="AM296" t="str">
        <f t="shared" si="64"/>
        <v>Technology</v>
      </c>
      <c r="AN296" t="str">
        <f t="shared" si="64"/>
        <v>Phones</v>
      </c>
      <c r="AO296" t="str">
        <f t="shared" si="62"/>
        <v>Second Class</v>
      </c>
      <c r="AP296" t="str">
        <f t="shared" si="63"/>
        <v>Paid</v>
      </c>
      <c r="AQ296" t="str">
        <f t="shared" si="63"/>
        <v>Returned</v>
      </c>
    </row>
    <row r="297" spans="1:43">
      <c r="A297" t="s">
        <v>1170</v>
      </c>
      <c r="B297" s="3">
        <v>45833</v>
      </c>
      <c r="C297" s="3">
        <v>45836</v>
      </c>
      <c r="D297" t="s">
        <v>1171</v>
      </c>
      <c r="E297" t="s">
        <v>176</v>
      </c>
      <c r="F297" t="s">
        <v>122</v>
      </c>
      <c r="G297" t="s">
        <v>123</v>
      </c>
      <c r="H297" t="s">
        <v>260</v>
      </c>
      <c r="I297" t="s">
        <v>261</v>
      </c>
      <c r="J297" t="s">
        <v>113</v>
      </c>
      <c r="K297" t="s">
        <v>246</v>
      </c>
      <c r="L297" t="s">
        <v>1172</v>
      </c>
      <c r="M297" t="s">
        <v>145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117</v>
      </c>
      <c r="U297" t="s">
        <v>118</v>
      </c>
      <c r="V297" s="2">
        <f t="shared" si="53"/>
        <v>0.1</v>
      </c>
      <c r="W297" s="2">
        <f t="shared" si="54"/>
        <v>9385.3350000000009</v>
      </c>
      <c r="X297" s="2">
        <f>W297-R297</f>
        <v>3556.795000000001</v>
      </c>
      <c r="Y297" s="2">
        <f t="shared" si="55"/>
        <v>0.37897368607513748</v>
      </c>
      <c r="Z297" s="2">
        <f t="shared" si="56"/>
        <v>3</v>
      </c>
      <c r="AA297" s="2">
        <f t="shared" si="57"/>
        <v>6</v>
      </c>
      <c r="AB297" s="2">
        <f t="shared" si="58"/>
        <v>2025</v>
      </c>
      <c r="AC297" s="2" t="str">
        <f t="shared" si="59"/>
        <v>Valid</v>
      </c>
      <c r="AD297" s="2">
        <f t="shared" si="60"/>
        <v>0</v>
      </c>
      <c r="AE297" s="2">
        <f t="shared" si="61"/>
        <v>0</v>
      </c>
      <c r="AH297" t="str">
        <f t="shared" si="65"/>
        <v>Aditi Sen</v>
      </c>
      <c r="AI297" t="str">
        <f t="shared" si="65"/>
        <v>Small Business</v>
      </c>
      <c r="AJ297" t="str">
        <f t="shared" si="64"/>
        <v>East</v>
      </c>
      <c r="AK297" t="str">
        <f t="shared" si="64"/>
        <v>Assam</v>
      </c>
      <c r="AL297" t="str">
        <f t="shared" si="64"/>
        <v>Guwahati</v>
      </c>
      <c r="AM297" t="str">
        <f t="shared" si="64"/>
        <v>Office Supplies</v>
      </c>
      <c r="AN297" t="str">
        <f t="shared" si="64"/>
        <v>Binders</v>
      </c>
      <c r="AO297" t="str">
        <f t="shared" si="62"/>
        <v>Standard Class</v>
      </c>
      <c r="AP297" t="str">
        <f t="shared" si="63"/>
        <v>Paid</v>
      </c>
      <c r="AQ297" t="str">
        <f t="shared" si="63"/>
        <v>Completed</v>
      </c>
    </row>
    <row r="298" spans="1:43">
      <c r="A298" t="s">
        <v>1173</v>
      </c>
      <c r="B298" s="3">
        <v>45801</v>
      </c>
      <c r="C298" s="3">
        <v>45803</v>
      </c>
      <c r="D298" t="s">
        <v>1174</v>
      </c>
      <c r="E298" t="s">
        <v>176</v>
      </c>
      <c r="F298" t="s">
        <v>182</v>
      </c>
      <c r="G298" t="s">
        <v>110</v>
      </c>
      <c r="H298" t="s">
        <v>344</v>
      </c>
      <c r="I298" t="s">
        <v>345</v>
      </c>
      <c r="J298" t="s">
        <v>126</v>
      </c>
      <c r="K298" t="s">
        <v>143</v>
      </c>
      <c r="L298" t="s">
        <v>1175</v>
      </c>
      <c r="M298" t="s">
        <v>129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117</v>
      </c>
      <c r="U298" t="s">
        <v>118</v>
      </c>
      <c r="V298" s="2">
        <f t="shared" si="53"/>
        <v>0.15</v>
      </c>
      <c r="W298" s="2">
        <f t="shared" si="54"/>
        <v>17826.591</v>
      </c>
      <c r="X298" s="2">
        <f>W298-R298</f>
        <v>6971.241</v>
      </c>
      <c r="Y298" s="2">
        <f t="shared" si="55"/>
        <v>0.39105855965394615</v>
      </c>
      <c r="Z298" s="2">
        <f t="shared" si="56"/>
        <v>2</v>
      </c>
      <c r="AA298" s="2">
        <f t="shared" si="57"/>
        <v>5</v>
      </c>
      <c r="AB298" s="2">
        <f t="shared" si="58"/>
        <v>2025</v>
      </c>
      <c r="AC298" s="2" t="str">
        <f t="shared" si="59"/>
        <v>Valid</v>
      </c>
      <c r="AD298" s="2">
        <f t="shared" si="60"/>
        <v>0</v>
      </c>
      <c r="AE298" s="2">
        <f t="shared" si="61"/>
        <v>0</v>
      </c>
      <c r="AH298" t="str">
        <f t="shared" si="65"/>
        <v>Aditi Sen</v>
      </c>
      <c r="AI298" t="str">
        <f t="shared" si="65"/>
        <v>Home Office</v>
      </c>
      <c r="AJ298" t="str">
        <f t="shared" si="64"/>
        <v>North</v>
      </c>
      <c r="AK298" t="str">
        <f t="shared" si="64"/>
        <v>Haryana</v>
      </c>
      <c r="AL298" t="str">
        <f t="shared" si="64"/>
        <v>Gurugram</v>
      </c>
      <c r="AM298" t="str">
        <f t="shared" si="64"/>
        <v>Furniture</v>
      </c>
      <c r="AN298" t="str">
        <f t="shared" si="64"/>
        <v>Furnishings</v>
      </c>
      <c r="AO298" t="str">
        <f t="shared" si="62"/>
        <v>Same Day</v>
      </c>
      <c r="AP298" t="str">
        <f t="shared" si="63"/>
        <v>Paid</v>
      </c>
      <c r="AQ298" t="str">
        <f t="shared" si="63"/>
        <v>Completed</v>
      </c>
    </row>
    <row r="299" spans="1:43">
      <c r="A299" t="s">
        <v>1176</v>
      </c>
      <c r="B299" s="3">
        <v>45594</v>
      </c>
      <c r="C299" s="3">
        <v>45454</v>
      </c>
      <c r="D299" t="s">
        <v>1177</v>
      </c>
      <c r="E299" t="s">
        <v>222</v>
      </c>
      <c r="F299" t="s">
        <v>177</v>
      </c>
      <c r="G299" t="s">
        <v>140</v>
      </c>
      <c r="H299" t="s">
        <v>357</v>
      </c>
      <c r="I299" t="s">
        <v>358</v>
      </c>
      <c r="J299" t="s">
        <v>160</v>
      </c>
      <c r="K299" t="s">
        <v>166</v>
      </c>
      <c r="L299" t="s">
        <v>1178</v>
      </c>
      <c r="M299" t="s">
        <v>129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117</v>
      </c>
      <c r="U299" t="s">
        <v>118</v>
      </c>
      <c r="V299" s="2">
        <f t="shared" si="53"/>
        <v>0.15</v>
      </c>
      <c r="W299" s="2">
        <f t="shared" si="54"/>
        <v>5966.5920000000006</v>
      </c>
      <c r="X299" s="2">
        <f>W299-R299</f>
        <v>1971.8720000000008</v>
      </c>
      <c r="Y299" s="2">
        <f t="shared" si="55"/>
        <v>0.33048547646629778</v>
      </c>
      <c r="Z299" s="2">
        <f t="shared" si="56"/>
        <v>-140</v>
      </c>
      <c r="AA299" s="2">
        <f t="shared" si="57"/>
        <v>10</v>
      </c>
      <c r="AB299" s="2">
        <f t="shared" si="58"/>
        <v>2024</v>
      </c>
      <c r="AC299" s="2" t="str">
        <f t="shared" si="59"/>
        <v>Invalid shipping record</v>
      </c>
      <c r="AD299" s="2">
        <f t="shared" si="60"/>
        <v>0</v>
      </c>
      <c r="AE299" s="2">
        <f t="shared" si="61"/>
        <v>0</v>
      </c>
      <c r="AH299" t="str">
        <f t="shared" si="65"/>
        <v>Sneha Kapoor</v>
      </c>
      <c r="AI299" t="str">
        <f t="shared" si="65"/>
        <v>Corporate</v>
      </c>
      <c r="AJ299" t="str">
        <f t="shared" si="64"/>
        <v>South</v>
      </c>
      <c r="AK299" t="str">
        <f t="shared" si="64"/>
        <v>Tamil Nadu</v>
      </c>
      <c r="AL299" t="str">
        <f t="shared" si="64"/>
        <v>Chennai</v>
      </c>
      <c r="AM299" t="str">
        <f t="shared" si="64"/>
        <v>Technology</v>
      </c>
      <c r="AN299" t="str">
        <f t="shared" si="64"/>
        <v>Copiers</v>
      </c>
      <c r="AO299" t="str">
        <f t="shared" si="62"/>
        <v>Same Day</v>
      </c>
      <c r="AP299" t="str">
        <f t="shared" si="63"/>
        <v>Paid</v>
      </c>
      <c r="AQ299" t="str">
        <f t="shared" si="63"/>
        <v>Completed</v>
      </c>
    </row>
    <row r="300" spans="1:43">
      <c r="A300" t="s">
        <v>1179</v>
      </c>
      <c r="B300" s="3" t="s">
        <v>1180</v>
      </c>
      <c r="C300" s="3">
        <v>45683</v>
      </c>
      <c r="D300" t="s">
        <v>1181</v>
      </c>
      <c r="E300" t="s">
        <v>132</v>
      </c>
      <c r="F300" t="s">
        <v>109</v>
      </c>
      <c r="G300" t="s">
        <v>140</v>
      </c>
      <c r="H300" t="s">
        <v>282</v>
      </c>
      <c r="I300" t="s">
        <v>283</v>
      </c>
      <c r="J300" t="s">
        <v>160</v>
      </c>
      <c r="K300" t="s">
        <v>166</v>
      </c>
      <c r="L300" t="s">
        <v>1182</v>
      </c>
      <c r="M300" t="s">
        <v>135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248</v>
      </c>
      <c r="U300" t="s">
        <v>190</v>
      </c>
      <c r="V300" s="2">
        <f t="shared" si="53"/>
        <v>0.2</v>
      </c>
      <c r="W300" s="2">
        <f t="shared" si="54"/>
        <v>1951.5440000000003</v>
      </c>
      <c r="X300" s="2">
        <f>W300-R300</f>
        <v>341.59400000000028</v>
      </c>
      <c r="Y300" s="2">
        <f t="shared" si="55"/>
        <v>0.17503781621116421</v>
      </c>
      <c r="Z300" s="2" t="str">
        <f t="shared" si="56"/>
        <v/>
      </c>
      <c r="AA300" s="2" t="e">
        <f t="shared" si="57"/>
        <v>#VALUE!</v>
      </c>
      <c r="AB300" s="2" t="e">
        <f t="shared" si="58"/>
        <v>#VALUE!</v>
      </c>
      <c r="AC300" s="2" t="str">
        <f t="shared" si="59"/>
        <v>Text Value Not Recognized as Date</v>
      </c>
      <c r="AD300" s="2">
        <f t="shared" si="60"/>
        <v>0</v>
      </c>
      <c r="AE300" s="2">
        <f t="shared" si="61"/>
        <v>0</v>
      </c>
      <c r="AH300" t="str">
        <f t="shared" si="65"/>
        <v>Isha Nair</v>
      </c>
      <c r="AI300" t="str">
        <f t="shared" si="65"/>
        <v>Consumer</v>
      </c>
      <c r="AJ300" t="str">
        <f t="shared" si="64"/>
        <v>South</v>
      </c>
      <c r="AK300" t="str">
        <f t="shared" si="64"/>
        <v>Kerala</v>
      </c>
      <c r="AL300" t="str">
        <f t="shared" si="64"/>
        <v>Kochi</v>
      </c>
      <c r="AM300" t="str">
        <f t="shared" si="64"/>
        <v>Technology</v>
      </c>
      <c r="AN300" t="str">
        <f t="shared" si="64"/>
        <v>Copiers</v>
      </c>
      <c r="AO300" t="str">
        <f t="shared" si="62"/>
        <v>First Class</v>
      </c>
      <c r="AP300" t="str">
        <f t="shared" si="63"/>
        <v>Failed</v>
      </c>
      <c r="AQ300" t="str">
        <f t="shared" si="63"/>
        <v>Returned</v>
      </c>
    </row>
    <row r="301" spans="1:43">
      <c r="A301" t="s">
        <v>1183</v>
      </c>
      <c r="B301" s="3">
        <v>45454</v>
      </c>
      <c r="C301" s="3">
        <v>45608</v>
      </c>
      <c r="D301" t="s">
        <v>1184</v>
      </c>
      <c r="E301" t="s">
        <v>207</v>
      </c>
      <c r="F301" t="s">
        <v>122</v>
      </c>
      <c r="G301" t="s">
        <v>149</v>
      </c>
      <c r="H301" t="s">
        <v>276</v>
      </c>
      <c r="I301" t="s">
        <v>277</v>
      </c>
      <c r="J301" t="s">
        <v>160</v>
      </c>
      <c r="K301" t="s">
        <v>161</v>
      </c>
      <c r="L301" t="s">
        <v>1185</v>
      </c>
      <c r="M301" t="s">
        <v>145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117</v>
      </c>
      <c r="U301" t="s">
        <v>118</v>
      </c>
      <c r="V301" s="2">
        <f t="shared" si="53"/>
        <v>0.1</v>
      </c>
      <c r="W301" s="2">
        <f t="shared" si="54"/>
        <v>10830.015000000001</v>
      </c>
      <c r="X301" s="2">
        <f>W301-R301</f>
        <v>3774.7050000000008</v>
      </c>
      <c r="Y301" s="2">
        <f t="shared" si="55"/>
        <v>0.34854106850267524</v>
      </c>
      <c r="Z301" s="2">
        <f t="shared" si="56"/>
        <v>154</v>
      </c>
      <c r="AA301" s="2">
        <f t="shared" si="57"/>
        <v>6</v>
      </c>
      <c r="AB301" s="2">
        <f t="shared" si="58"/>
        <v>2024</v>
      </c>
      <c r="AC301" s="2" t="str">
        <f t="shared" si="59"/>
        <v>Valid</v>
      </c>
      <c r="AD301" s="2">
        <f t="shared" si="60"/>
        <v>0</v>
      </c>
      <c r="AE301" s="2">
        <f t="shared" si="61"/>
        <v>0</v>
      </c>
      <c r="AH301" t="str">
        <f t="shared" si="65"/>
        <v>Rahul Verma</v>
      </c>
      <c r="AI301" t="str">
        <f t="shared" si="65"/>
        <v>Small Business</v>
      </c>
      <c r="AJ301" t="str">
        <f t="shared" si="64"/>
        <v>West</v>
      </c>
      <c r="AK301" t="str">
        <f t="shared" si="64"/>
        <v>Gujarat</v>
      </c>
      <c r="AL301" t="str">
        <f t="shared" si="64"/>
        <v>Ahmedabad</v>
      </c>
      <c r="AM301" t="str">
        <f t="shared" si="64"/>
        <v>Technology</v>
      </c>
      <c r="AN301" t="str">
        <f t="shared" si="64"/>
        <v>Accessories</v>
      </c>
      <c r="AO301" t="str">
        <f t="shared" si="62"/>
        <v>Standard Class</v>
      </c>
      <c r="AP301" t="str">
        <f t="shared" si="63"/>
        <v>Paid</v>
      </c>
      <c r="AQ301" t="str">
        <f t="shared" si="63"/>
        <v>Completed</v>
      </c>
    </row>
    <row r="302" spans="1:43">
      <c r="A302" t="s">
        <v>1186</v>
      </c>
      <c r="B302" s="3" t="s">
        <v>1187</v>
      </c>
      <c r="C302" s="3">
        <v>45405</v>
      </c>
      <c r="D302" t="s">
        <v>1188</v>
      </c>
      <c r="E302" t="s">
        <v>256</v>
      </c>
      <c r="F302" t="s">
        <v>122</v>
      </c>
      <c r="G302" t="s">
        <v>110</v>
      </c>
      <c r="H302" t="s">
        <v>211</v>
      </c>
      <c r="I302" t="s">
        <v>212</v>
      </c>
      <c r="J302" t="s">
        <v>160</v>
      </c>
      <c r="K302" t="s">
        <v>161</v>
      </c>
      <c r="L302" t="s">
        <v>1189</v>
      </c>
      <c r="M302" t="s">
        <v>116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117</v>
      </c>
      <c r="U302" t="s">
        <v>118</v>
      </c>
      <c r="V302" s="2">
        <f t="shared" si="53"/>
        <v>0.1</v>
      </c>
      <c r="W302" s="2">
        <f t="shared" si="54"/>
        <v>31539.293999999998</v>
      </c>
      <c r="X302" s="2">
        <f>W302-R302</f>
        <v>9439.1539999999986</v>
      </c>
      <c r="Y302" s="2">
        <f t="shared" si="55"/>
        <v>0.29928234918638313</v>
      </c>
      <c r="Z302" s="2" t="str">
        <f t="shared" si="56"/>
        <v/>
      </c>
      <c r="AA302" s="2" t="e">
        <f t="shared" si="57"/>
        <v>#VALUE!</v>
      </c>
      <c r="AB302" s="2" t="e">
        <f t="shared" si="58"/>
        <v>#VALUE!</v>
      </c>
      <c r="AC302" s="2" t="str">
        <f t="shared" si="59"/>
        <v>Text Value Not Recognized as Date</v>
      </c>
      <c r="AD302" s="2">
        <f t="shared" si="60"/>
        <v>0</v>
      </c>
      <c r="AE302" s="2">
        <f t="shared" si="61"/>
        <v>0</v>
      </c>
      <c r="AH302" t="str">
        <f t="shared" si="65"/>
        <v>Diya Patel</v>
      </c>
      <c r="AI302" t="str">
        <f t="shared" si="65"/>
        <v>Small Business</v>
      </c>
      <c r="AJ302" t="str">
        <f t="shared" si="64"/>
        <v>North</v>
      </c>
      <c r="AK302" t="str">
        <f t="shared" si="64"/>
        <v>Punjab</v>
      </c>
      <c r="AL302" t="str">
        <f t="shared" si="64"/>
        <v>Ludhiana</v>
      </c>
      <c r="AM302" t="str">
        <f t="shared" si="64"/>
        <v>Technology</v>
      </c>
      <c r="AN302" t="str">
        <f t="shared" si="64"/>
        <v>Accessories</v>
      </c>
      <c r="AO302" t="str">
        <f t="shared" si="62"/>
        <v>Second Class</v>
      </c>
      <c r="AP302" t="str">
        <f t="shared" si="63"/>
        <v>Paid</v>
      </c>
      <c r="AQ302" t="str">
        <f t="shared" si="63"/>
        <v>Completed</v>
      </c>
    </row>
    <row r="303" spans="1:43">
      <c r="A303" t="s">
        <v>1190</v>
      </c>
      <c r="B303" s="3">
        <v>45805</v>
      </c>
      <c r="C303" s="3">
        <v>45663</v>
      </c>
      <c r="D303" t="s">
        <v>1191</v>
      </c>
      <c r="E303" t="s">
        <v>132</v>
      </c>
      <c r="F303" t="s">
        <v>182</v>
      </c>
      <c r="G303" t="s">
        <v>123</v>
      </c>
      <c r="H303" t="s">
        <v>237</v>
      </c>
      <c r="I303" t="s">
        <v>238</v>
      </c>
      <c r="J303" t="s">
        <v>160</v>
      </c>
      <c r="K303" t="s">
        <v>266</v>
      </c>
      <c r="L303" t="s">
        <v>1192</v>
      </c>
      <c r="M303" t="s">
        <v>129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117</v>
      </c>
      <c r="U303" t="s">
        <v>118</v>
      </c>
      <c r="V303" s="2">
        <f t="shared" si="53"/>
        <v>0.05</v>
      </c>
      <c r="W303" s="2">
        <f t="shared" si="54"/>
        <v>6285.6179999999995</v>
      </c>
      <c r="X303" s="2">
        <f>W303-R303</f>
        <v>2580.2379999999994</v>
      </c>
      <c r="Y303" s="2">
        <f t="shared" si="55"/>
        <v>0.41049869718458865</v>
      </c>
      <c r="Z303" s="2">
        <f t="shared" si="56"/>
        <v>-142</v>
      </c>
      <c r="AA303" s="2">
        <f t="shared" si="57"/>
        <v>5</v>
      </c>
      <c r="AB303" s="2">
        <f t="shared" si="58"/>
        <v>2025</v>
      </c>
      <c r="AC303" s="2" t="str">
        <f t="shared" si="59"/>
        <v>Invalid shipping record</v>
      </c>
      <c r="AD303" s="2">
        <f t="shared" si="60"/>
        <v>0</v>
      </c>
      <c r="AE303" s="2">
        <f t="shared" si="61"/>
        <v>0</v>
      </c>
      <c r="AH303" t="str">
        <f t="shared" si="65"/>
        <v>Isha Nair</v>
      </c>
      <c r="AI303" t="str">
        <f t="shared" si="65"/>
        <v>Home Office</v>
      </c>
      <c r="AJ303" t="str">
        <f t="shared" si="64"/>
        <v>East</v>
      </c>
      <c r="AK303" t="str">
        <f t="shared" si="64"/>
        <v>Bihar</v>
      </c>
      <c r="AL303" t="str">
        <f t="shared" si="64"/>
        <v>Patna</v>
      </c>
      <c r="AM303" t="str">
        <f t="shared" si="64"/>
        <v>Technology</v>
      </c>
      <c r="AN303" t="str">
        <f t="shared" si="64"/>
        <v>Phones</v>
      </c>
      <c r="AO303" t="str">
        <f t="shared" si="62"/>
        <v>Same Day</v>
      </c>
      <c r="AP303" t="str">
        <f t="shared" si="63"/>
        <v>Paid</v>
      </c>
      <c r="AQ303" t="str">
        <f t="shared" si="63"/>
        <v>Completed</v>
      </c>
    </row>
    <row r="304" spans="1:43">
      <c r="A304" t="s">
        <v>1193</v>
      </c>
      <c r="B304" s="3">
        <v>45753</v>
      </c>
      <c r="C304" s="3">
        <v>45820</v>
      </c>
      <c r="D304" t="s">
        <v>1194</v>
      </c>
      <c r="E304" t="s">
        <v>165</v>
      </c>
      <c r="F304" t="s">
        <v>109</v>
      </c>
      <c r="G304" t="s">
        <v>149</v>
      </c>
      <c r="H304" t="s">
        <v>287</v>
      </c>
      <c r="I304" t="s">
        <v>288</v>
      </c>
      <c r="J304" t="s">
        <v>753</v>
      </c>
      <c r="K304" t="s">
        <v>213</v>
      </c>
      <c r="L304" t="s">
        <v>1195</v>
      </c>
      <c r="M304" t="s">
        <v>129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117</v>
      </c>
      <c r="U304" t="s">
        <v>118</v>
      </c>
      <c r="V304" s="2">
        <f t="shared" si="53"/>
        <v>0.25</v>
      </c>
      <c r="W304" s="2">
        <f t="shared" si="54"/>
        <v>4054.92</v>
      </c>
      <c r="X304" s="2">
        <f>W304-R304</f>
        <v>1630.0900000000001</v>
      </c>
      <c r="Y304" s="2">
        <f t="shared" si="55"/>
        <v>0.40200299882611745</v>
      </c>
      <c r="Z304" s="2">
        <f t="shared" si="56"/>
        <v>67</v>
      </c>
      <c r="AA304" s="2">
        <f t="shared" si="57"/>
        <v>4</v>
      </c>
      <c r="AB304" s="2">
        <f t="shared" si="58"/>
        <v>2025</v>
      </c>
      <c r="AC304" s="2" t="str">
        <f t="shared" si="59"/>
        <v>Valid</v>
      </c>
      <c r="AD304" s="2">
        <f t="shared" si="60"/>
        <v>0</v>
      </c>
      <c r="AE304" s="2">
        <f t="shared" si="61"/>
        <v>0</v>
      </c>
      <c r="AH304" t="str">
        <f t="shared" si="65"/>
        <v>Neha Gupta</v>
      </c>
      <c r="AI304" t="str">
        <f t="shared" si="65"/>
        <v>Consumer</v>
      </c>
      <c r="AJ304" t="str">
        <f t="shared" si="64"/>
        <v>West</v>
      </c>
      <c r="AK304" t="str">
        <f t="shared" si="64"/>
        <v>Goa</v>
      </c>
      <c r="AL304" t="str">
        <f t="shared" si="64"/>
        <v>Panaji</v>
      </c>
      <c r="AM304" t="str">
        <f t="shared" si="64"/>
        <v>Office Supplies</v>
      </c>
      <c r="AN304" t="str">
        <f t="shared" si="64"/>
        <v>Storage</v>
      </c>
      <c r="AO304" t="str">
        <f t="shared" si="62"/>
        <v>Same Day</v>
      </c>
      <c r="AP304" t="str">
        <f t="shared" si="63"/>
        <v>Paid</v>
      </c>
      <c r="AQ304" t="str">
        <f t="shared" si="63"/>
        <v>Completed</v>
      </c>
    </row>
    <row r="305" spans="1:43">
      <c r="A305" t="s">
        <v>1196</v>
      </c>
      <c r="B305" s="3">
        <v>45466</v>
      </c>
      <c r="C305" s="3" t="s">
        <v>841</v>
      </c>
      <c r="D305" t="s">
        <v>1197</v>
      </c>
      <c r="E305" t="s">
        <v>256</v>
      </c>
      <c r="F305" t="s">
        <v>182</v>
      </c>
      <c r="G305" t="s">
        <v>149</v>
      </c>
      <c r="H305" t="s">
        <v>276</v>
      </c>
      <c r="I305" t="s">
        <v>277</v>
      </c>
      <c r="J305" t="s">
        <v>126</v>
      </c>
      <c r="K305" t="s">
        <v>152</v>
      </c>
      <c r="L305" t="s">
        <v>1198</v>
      </c>
      <c r="M305" t="s">
        <v>145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199</v>
      </c>
      <c r="U305" t="s">
        <v>190</v>
      </c>
      <c r="V305" s="2">
        <f t="shared" si="53"/>
        <v>0.1</v>
      </c>
      <c r="W305" s="2">
        <f t="shared" si="54"/>
        <v>2363.652</v>
      </c>
      <c r="X305" s="2">
        <f>W305-R305</f>
        <v>487.55200000000013</v>
      </c>
      <c r="Y305" s="2">
        <f t="shared" si="55"/>
        <v>0.20627063544041174</v>
      </c>
      <c r="Z305" s="2" t="str">
        <f t="shared" si="56"/>
        <v/>
      </c>
      <c r="AA305" s="2">
        <f t="shared" si="57"/>
        <v>6</v>
      </c>
      <c r="AB305" s="2">
        <f t="shared" si="58"/>
        <v>2024</v>
      </c>
      <c r="AC305" s="2" t="str">
        <f t="shared" si="59"/>
        <v>Text Value Not Recognized as Date</v>
      </c>
      <c r="AD305" s="2">
        <f t="shared" si="60"/>
        <v>0</v>
      </c>
      <c r="AE305" s="2">
        <f t="shared" si="61"/>
        <v>0</v>
      </c>
      <c r="AH305" t="str">
        <f t="shared" si="65"/>
        <v>Diya Patel</v>
      </c>
      <c r="AI305" t="str">
        <f t="shared" si="65"/>
        <v>Home Office</v>
      </c>
      <c r="AJ305" t="str">
        <f t="shared" si="64"/>
        <v>West</v>
      </c>
      <c r="AK305" t="str">
        <f t="shared" si="64"/>
        <v>Gujarat</v>
      </c>
      <c r="AL305" t="str">
        <f t="shared" si="64"/>
        <v>Ahmedabad</v>
      </c>
      <c r="AM305" t="str">
        <f t="shared" si="64"/>
        <v>Furniture</v>
      </c>
      <c r="AN305" t="str">
        <f t="shared" si="64"/>
        <v>Chairs</v>
      </c>
      <c r="AO305" t="str">
        <f t="shared" si="62"/>
        <v>Standard Class</v>
      </c>
      <c r="AP305" t="str">
        <f t="shared" si="63"/>
        <v>Pending</v>
      </c>
      <c r="AQ305" t="str">
        <f t="shared" si="63"/>
        <v>Returned</v>
      </c>
    </row>
    <row r="306" spans="1:43">
      <c r="A306" t="s">
        <v>1199</v>
      </c>
      <c r="B306" s="3">
        <v>45357</v>
      </c>
      <c r="C306" s="3">
        <v>45364</v>
      </c>
      <c r="D306" t="s">
        <v>1200</v>
      </c>
      <c r="E306" t="s">
        <v>108</v>
      </c>
      <c r="F306" t="s">
        <v>109</v>
      </c>
      <c r="G306" t="s">
        <v>110</v>
      </c>
      <c r="H306" t="s">
        <v>211</v>
      </c>
      <c r="I306" t="s">
        <v>212</v>
      </c>
      <c r="J306" t="s">
        <v>126</v>
      </c>
      <c r="K306" t="s">
        <v>143</v>
      </c>
      <c r="L306" t="s">
        <v>1201</v>
      </c>
      <c r="M306" t="s">
        <v>145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117</v>
      </c>
      <c r="U306" t="s">
        <v>118</v>
      </c>
      <c r="V306" s="2">
        <f t="shared" si="53"/>
        <v>0.1</v>
      </c>
      <c r="W306" s="2">
        <f t="shared" si="54"/>
        <v>12976.470000000001</v>
      </c>
      <c r="X306" s="2">
        <f>W306-R306</f>
        <v>2956.4900000000016</v>
      </c>
      <c r="Y306" s="2">
        <f t="shared" si="55"/>
        <v>0.22783468847845378</v>
      </c>
      <c r="Z306" s="2">
        <f t="shared" si="56"/>
        <v>7</v>
      </c>
      <c r="AA306" s="2">
        <f t="shared" si="57"/>
        <v>3</v>
      </c>
      <c r="AB306" s="2">
        <f t="shared" si="58"/>
        <v>2024</v>
      </c>
      <c r="AC306" s="2" t="str">
        <f t="shared" si="59"/>
        <v>Valid</v>
      </c>
      <c r="AD306" s="2">
        <f t="shared" si="60"/>
        <v>0</v>
      </c>
      <c r="AE306" s="2">
        <f t="shared" si="61"/>
        <v>0</v>
      </c>
      <c r="AH306" t="str">
        <f t="shared" si="65"/>
        <v>Karan Malhotra</v>
      </c>
      <c r="AI306" t="str">
        <f t="shared" si="65"/>
        <v>Consumer</v>
      </c>
      <c r="AJ306" t="str">
        <f t="shared" si="64"/>
        <v>North</v>
      </c>
      <c r="AK306" t="str">
        <f t="shared" si="64"/>
        <v>Punjab</v>
      </c>
      <c r="AL306" t="str">
        <f t="shared" si="64"/>
        <v>Ludhiana</v>
      </c>
      <c r="AM306" t="str">
        <f t="shared" si="64"/>
        <v>Furniture</v>
      </c>
      <c r="AN306" t="str">
        <f t="shared" si="64"/>
        <v>Furnishings</v>
      </c>
      <c r="AO306" t="str">
        <f t="shared" si="62"/>
        <v>Standard Class</v>
      </c>
      <c r="AP306" t="str">
        <f t="shared" si="63"/>
        <v>Paid</v>
      </c>
      <c r="AQ306" t="str">
        <f t="shared" si="63"/>
        <v>Completed</v>
      </c>
    </row>
    <row r="307" spans="1:43">
      <c r="A307" t="s">
        <v>1202</v>
      </c>
      <c r="B307" s="3">
        <v>45413</v>
      </c>
      <c r="C307" s="3">
        <v>45414</v>
      </c>
      <c r="D307" t="s">
        <v>1203</v>
      </c>
      <c r="E307" t="s">
        <v>148</v>
      </c>
      <c r="F307" t="s">
        <v>109</v>
      </c>
      <c r="G307" t="s">
        <v>123</v>
      </c>
      <c r="H307" t="s">
        <v>260</v>
      </c>
      <c r="I307" t="s">
        <v>261</v>
      </c>
      <c r="J307" t="s">
        <v>126</v>
      </c>
      <c r="K307" t="s">
        <v>152</v>
      </c>
      <c r="L307" t="s">
        <v>1204</v>
      </c>
      <c r="M307" t="s">
        <v>135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117</v>
      </c>
      <c r="U307" t="s">
        <v>44</v>
      </c>
      <c r="V307" s="2">
        <f t="shared" si="53"/>
        <v>0.55000000000000004</v>
      </c>
      <c r="W307" s="2">
        <f t="shared" si="54"/>
        <v>7480.9080000000004</v>
      </c>
      <c r="X307" s="2">
        <f>W307-R307</f>
        <v>-2371.0019999999995</v>
      </c>
      <c r="Y307" s="2">
        <f t="shared" si="55"/>
        <v>-0.31694040349112695</v>
      </c>
      <c r="Z307" s="2">
        <f t="shared" si="56"/>
        <v>1</v>
      </c>
      <c r="AA307" s="2">
        <f t="shared" si="57"/>
        <v>5</v>
      </c>
      <c r="AB307" s="2">
        <f t="shared" si="58"/>
        <v>2024</v>
      </c>
      <c r="AC307" s="2" t="str">
        <f t="shared" si="59"/>
        <v>Valid</v>
      </c>
      <c r="AD307" s="2">
        <f t="shared" si="60"/>
        <v>1</v>
      </c>
      <c r="AE307" s="2">
        <f t="shared" si="61"/>
        <v>1</v>
      </c>
      <c r="AH307" t="str">
        <f t="shared" si="65"/>
        <v>Ananya Rao</v>
      </c>
      <c r="AI307" t="str">
        <f t="shared" si="65"/>
        <v>Consumer</v>
      </c>
      <c r="AJ307" t="str">
        <f t="shared" si="64"/>
        <v>East</v>
      </c>
      <c r="AK307" t="str">
        <f t="shared" si="64"/>
        <v>Assam</v>
      </c>
      <c r="AL307" t="str">
        <f t="shared" si="64"/>
        <v>Guwahati</v>
      </c>
      <c r="AM307" t="str">
        <f t="shared" si="64"/>
        <v>Furniture</v>
      </c>
      <c r="AN307" t="str">
        <f t="shared" si="64"/>
        <v>Chairs</v>
      </c>
      <c r="AO307" t="str">
        <f t="shared" si="62"/>
        <v>First Class</v>
      </c>
      <c r="AP307" t="str">
        <f t="shared" si="63"/>
        <v>Paid</v>
      </c>
      <c r="AQ307" t="str">
        <f t="shared" si="63"/>
        <v>Cancelled</v>
      </c>
    </row>
    <row r="308" spans="1:43">
      <c r="A308" t="s">
        <v>1205</v>
      </c>
      <c r="B308" s="3">
        <v>45708</v>
      </c>
      <c r="C308" s="3">
        <v>45711</v>
      </c>
      <c r="D308" t="s">
        <v>1206</v>
      </c>
      <c r="E308" t="s">
        <v>218</v>
      </c>
      <c r="F308" t="s">
        <v>109</v>
      </c>
      <c r="G308" t="s">
        <v>110</v>
      </c>
      <c r="H308" t="s">
        <v>111</v>
      </c>
      <c r="I308" t="s">
        <v>112</v>
      </c>
      <c r="J308" t="s">
        <v>160</v>
      </c>
      <c r="K308" t="s">
        <v>266</v>
      </c>
      <c r="L308" t="s">
        <v>1207</v>
      </c>
      <c r="M308" t="s">
        <v>116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117</v>
      </c>
      <c r="U308" t="s">
        <v>118</v>
      </c>
      <c r="V308" s="2">
        <f t="shared" si="53"/>
        <v>0</v>
      </c>
      <c r="W308" s="2">
        <f t="shared" si="54"/>
        <v>14692.44</v>
      </c>
      <c r="X308" s="2">
        <f>W308-R308</f>
        <v>4610.25</v>
      </c>
      <c r="Y308" s="2">
        <f t="shared" si="55"/>
        <v>0.31378382351740075</v>
      </c>
      <c r="Z308" s="2">
        <f t="shared" si="56"/>
        <v>3</v>
      </c>
      <c r="AA308" s="2">
        <f t="shared" si="57"/>
        <v>2</v>
      </c>
      <c r="AB308" s="2">
        <f t="shared" si="58"/>
        <v>2025</v>
      </c>
      <c r="AC308" s="2" t="str">
        <f t="shared" si="59"/>
        <v>Valid</v>
      </c>
      <c r="AD308" s="2">
        <f t="shared" si="60"/>
        <v>0</v>
      </c>
      <c r="AE308" s="2">
        <f t="shared" si="61"/>
        <v>0</v>
      </c>
      <c r="AH308" t="str">
        <f t="shared" si="65"/>
        <v>Aarav Sharma</v>
      </c>
      <c r="AI308" t="str">
        <f t="shared" si="65"/>
        <v>Consumer</v>
      </c>
      <c r="AJ308" t="str">
        <f t="shared" si="64"/>
        <v>North</v>
      </c>
      <c r="AK308" t="str">
        <f t="shared" si="64"/>
        <v>Rajasthan</v>
      </c>
      <c r="AL308" t="str">
        <f t="shared" si="64"/>
        <v>Jaipur</v>
      </c>
      <c r="AM308" t="str">
        <f t="shared" si="64"/>
        <v>Technology</v>
      </c>
      <c r="AN308" t="str">
        <f t="shared" si="64"/>
        <v>Phones</v>
      </c>
      <c r="AO308" t="str">
        <f t="shared" si="62"/>
        <v>Second Class</v>
      </c>
      <c r="AP308" t="str">
        <f t="shared" si="63"/>
        <v>Paid</v>
      </c>
      <c r="AQ308" t="str">
        <f t="shared" si="63"/>
        <v>Completed</v>
      </c>
    </row>
    <row r="309" spans="1:43">
      <c r="A309" t="s">
        <v>1208</v>
      </c>
      <c r="B309" s="3">
        <v>45850</v>
      </c>
      <c r="C309" s="3">
        <v>45857</v>
      </c>
      <c r="D309" t="s">
        <v>1209</v>
      </c>
      <c r="E309" t="s">
        <v>148</v>
      </c>
      <c r="F309" t="s">
        <v>177</v>
      </c>
      <c r="G309" t="s">
        <v>110</v>
      </c>
      <c r="H309" t="s">
        <v>227</v>
      </c>
      <c r="I309" t="s">
        <v>228</v>
      </c>
      <c r="J309" t="s">
        <v>126</v>
      </c>
      <c r="K309" t="s">
        <v>127</v>
      </c>
      <c r="L309" t="s">
        <v>1210</v>
      </c>
      <c r="M309" t="s">
        <v>135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1211</v>
      </c>
      <c r="U309" t="s">
        <v>44</v>
      </c>
      <c r="V309" s="2">
        <f t="shared" si="53"/>
        <v>0.2</v>
      </c>
      <c r="W309" s="2">
        <f t="shared" si="54"/>
        <v>29469.888000000003</v>
      </c>
      <c r="X309" s="2">
        <f>W309-R309</f>
        <v>10534.378000000004</v>
      </c>
      <c r="Y309" s="2">
        <f t="shared" si="55"/>
        <v>0.3574624375905332</v>
      </c>
      <c r="Z309" s="2">
        <f t="shared" si="56"/>
        <v>7</v>
      </c>
      <c r="AA309" s="2">
        <f t="shared" si="57"/>
        <v>7</v>
      </c>
      <c r="AB309" s="2">
        <f t="shared" si="58"/>
        <v>2025</v>
      </c>
      <c r="AC309" s="2" t="str">
        <f t="shared" si="59"/>
        <v>Valid</v>
      </c>
      <c r="AD309" s="2">
        <f t="shared" si="60"/>
        <v>0</v>
      </c>
      <c r="AE309" s="2">
        <f t="shared" si="61"/>
        <v>0</v>
      </c>
      <c r="AH309" t="str">
        <f t="shared" si="65"/>
        <v>Ananya Rao</v>
      </c>
      <c r="AI309" t="str">
        <f t="shared" si="65"/>
        <v>Corporate</v>
      </c>
      <c r="AJ309" t="str">
        <f t="shared" si="64"/>
        <v>North</v>
      </c>
      <c r="AK309" t="str">
        <f t="shared" si="64"/>
        <v>Uttar Pradesh</v>
      </c>
      <c r="AL309" t="str">
        <f t="shared" si="64"/>
        <v>Noida</v>
      </c>
      <c r="AM309" t="str">
        <f t="shared" si="64"/>
        <v>Furniture</v>
      </c>
      <c r="AN309" t="str">
        <f t="shared" si="64"/>
        <v>Tables</v>
      </c>
      <c r="AO309" t="str">
        <f t="shared" si="62"/>
        <v>First Class</v>
      </c>
      <c r="AP309" t="str">
        <f t="shared" si="63"/>
        <v>Pending</v>
      </c>
      <c r="AQ309" t="str">
        <f t="shared" si="63"/>
        <v>Cancelled</v>
      </c>
    </row>
    <row r="310" spans="1:43">
      <c r="A310" t="s">
        <v>1212</v>
      </c>
      <c r="B310" s="3">
        <v>45821</v>
      </c>
      <c r="C310" s="3">
        <v>45827</v>
      </c>
      <c r="D310" t="s">
        <v>1213</v>
      </c>
      <c r="E310" t="s">
        <v>232</v>
      </c>
      <c r="F310" t="s">
        <v>109</v>
      </c>
      <c r="G310" t="s">
        <v>110</v>
      </c>
      <c r="H310" t="s">
        <v>111</v>
      </c>
      <c r="I310" t="s">
        <v>112</v>
      </c>
      <c r="J310" t="s">
        <v>126</v>
      </c>
      <c r="K310" t="s">
        <v>127</v>
      </c>
      <c r="L310" t="s">
        <v>1214</v>
      </c>
      <c r="M310" t="s">
        <v>135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117</v>
      </c>
      <c r="U310" t="s">
        <v>118</v>
      </c>
      <c r="V310" s="2">
        <f t="shared" si="53"/>
        <v>0.2</v>
      </c>
      <c r="W310" s="2">
        <f t="shared" si="54"/>
        <v>2341.0240000000003</v>
      </c>
      <c r="X310" s="2">
        <f>W310-R310</f>
        <v>775.53400000000033</v>
      </c>
      <c r="Y310" s="2">
        <f t="shared" si="55"/>
        <v>0.33127981601213835</v>
      </c>
      <c r="Z310" s="2">
        <f t="shared" si="56"/>
        <v>6</v>
      </c>
      <c r="AA310" s="2">
        <f t="shared" si="57"/>
        <v>6</v>
      </c>
      <c r="AB310" s="2">
        <f t="shared" si="58"/>
        <v>2025</v>
      </c>
      <c r="AC310" s="2" t="str">
        <f t="shared" si="59"/>
        <v>Valid</v>
      </c>
      <c r="AD310" s="2">
        <f t="shared" si="60"/>
        <v>0</v>
      </c>
      <c r="AE310" s="2">
        <f t="shared" si="61"/>
        <v>0</v>
      </c>
      <c r="AH310" t="str">
        <f t="shared" si="65"/>
        <v>Rohan Mehta</v>
      </c>
      <c r="AI310" t="str">
        <f t="shared" si="65"/>
        <v>Consumer</v>
      </c>
      <c r="AJ310" t="str">
        <f t="shared" si="64"/>
        <v>North</v>
      </c>
      <c r="AK310" t="str">
        <f t="shared" si="64"/>
        <v>Rajasthan</v>
      </c>
      <c r="AL310" t="str">
        <f t="shared" si="64"/>
        <v>Jaipur</v>
      </c>
      <c r="AM310" t="str">
        <f t="shared" si="64"/>
        <v>Furniture</v>
      </c>
      <c r="AN310" t="str">
        <f t="shared" si="64"/>
        <v>Tables</v>
      </c>
      <c r="AO310" t="str">
        <f t="shared" si="62"/>
        <v>First Class</v>
      </c>
      <c r="AP310" t="str">
        <f t="shared" si="63"/>
        <v>Paid</v>
      </c>
      <c r="AQ310" t="str">
        <f t="shared" si="63"/>
        <v>Completed</v>
      </c>
    </row>
    <row r="311" spans="1:43">
      <c r="A311" t="s">
        <v>1215</v>
      </c>
      <c r="B311" s="3">
        <v>45493</v>
      </c>
      <c r="C311" s="3">
        <v>45495</v>
      </c>
      <c r="D311" t="s">
        <v>1216</v>
      </c>
      <c r="E311" t="s">
        <v>148</v>
      </c>
      <c r="F311" t="s">
        <v>109</v>
      </c>
      <c r="G311" t="s">
        <v>140</v>
      </c>
      <c r="H311" t="s">
        <v>357</v>
      </c>
      <c r="I311" t="s">
        <v>358</v>
      </c>
      <c r="J311" t="s">
        <v>126</v>
      </c>
      <c r="K311" t="s">
        <v>127</v>
      </c>
      <c r="L311" t="s">
        <v>1217</v>
      </c>
      <c r="M311" t="s">
        <v>135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117</v>
      </c>
      <c r="U311" t="s">
        <v>44</v>
      </c>
      <c r="V311" s="2">
        <f t="shared" si="53"/>
        <v>0.1</v>
      </c>
      <c r="W311" s="2">
        <f t="shared" si="54"/>
        <v>12982.599</v>
      </c>
      <c r="X311" s="2">
        <f>W311-R311</f>
        <v>5736.2390000000005</v>
      </c>
      <c r="Y311" s="2">
        <f t="shared" si="55"/>
        <v>0.441840574448922</v>
      </c>
      <c r="Z311" s="2">
        <f t="shared" si="56"/>
        <v>2</v>
      </c>
      <c r="AA311" s="2">
        <f t="shared" si="57"/>
        <v>7</v>
      </c>
      <c r="AB311" s="2">
        <f t="shared" si="58"/>
        <v>2024</v>
      </c>
      <c r="AC311" s="2" t="str">
        <f t="shared" si="59"/>
        <v>Valid</v>
      </c>
      <c r="AD311" s="2">
        <f t="shared" si="60"/>
        <v>0</v>
      </c>
      <c r="AE311" s="2">
        <f t="shared" si="61"/>
        <v>0</v>
      </c>
      <c r="AH311" t="str">
        <f t="shared" si="65"/>
        <v>Ananya Rao</v>
      </c>
      <c r="AI311" t="str">
        <f t="shared" si="65"/>
        <v>Consumer</v>
      </c>
      <c r="AJ311" t="str">
        <f t="shared" si="64"/>
        <v>South</v>
      </c>
      <c r="AK311" t="str">
        <f t="shared" si="64"/>
        <v>Tamil Nadu</v>
      </c>
      <c r="AL311" t="str">
        <f t="shared" si="64"/>
        <v>Chennai</v>
      </c>
      <c r="AM311" t="str">
        <f t="shared" si="64"/>
        <v>Furniture</v>
      </c>
      <c r="AN311" t="str">
        <f t="shared" si="64"/>
        <v>Tables</v>
      </c>
      <c r="AO311" t="str">
        <f t="shared" si="62"/>
        <v>First Class</v>
      </c>
      <c r="AP311" t="str">
        <f t="shared" si="63"/>
        <v>Paid</v>
      </c>
      <c r="AQ311" t="str">
        <f t="shared" si="63"/>
        <v>Cancelled</v>
      </c>
    </row>
    <row r="312" spans="1:43">
      <c r="A312" t="s">
        <v>1218</v>
      </c>
      <c r="B312" s="3">
        <v>45389</v>
      </c>
      <c r="C312" s="3">
        <v>45511</v>
      </c>
      <c r="D312" t="s">
        <v>1219</v>
      </c>
      <c r="E312" t="s">
        <v>232</v>
      </c>
      <c r="F312" t="s">
        <v>122</v>
      </c>
      <c r="G312" t="s">
        <v>140</v>
      </c>
      <c r="H312" t="s">
        <v>357</v>
      </c>
      <c r="I312" t="s">
        <v>358</v>
      </c>
      <c r="J312" t="s">
        <v>160</v>
      </c>
      <c r="K312" t="s">
        <v>385</v>
      </c>
      <c r="L312" t="s">
        <v>1220</v>
      </c>
      <c r="M312" t="s">
        <v>135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117</v>
      </c>
      <c r="U312" t="s">
        <v>118</v>
      </c>
      <c r="V312" s="2">
        <f t="shared" si="53"/>
        <v>0</v>
      </c>
      <c r="W312" s="2">
        <f t="shared" si="54"/>
        <v>16274</v>
      </c>
      <c r="X312" s="2">
        <f>W312-R312</f>
        <v>6849.75</v>
      </c>
      <c r="Y312" s="2">
        <f t="shared" si="55"/>
        <v>0.42090143787636719</v>
      </c>
      <c r="Z312" s="2">
        <f t="shared" si="56"/>
        <v>122</v>
      </c>
      <c r="AA312" s="2">
        <f t="shared" si="57"/>
        <v>4</v>
      </c>
      <c r="AB312" s="2">
        <f t="shared" si="58"/>
        <v>2024</v>
      </c>
      <c r="AC312" s="2" t="str">
        <f t="shared" si="59"/>
        <v>Valid</v>
      </c>
      <c r="AD312" s="2">
        <f t="shared" si="60"/>
        <v>0</v>
      </c>
      <c r="AE312" s="2">
        <f t="shared" si="61"/>
        <v>0</v>
      </c>
      <c r="AH312" t="str">
        <f t="shared" si="65"/>
        <v>Rohan Mehta</v>
      </c>
      <c r="AI312" t="str">
        <f t="shared" si="65"/>
        <v>Small Business</v>
      </c>
      <c r="AJ312" t="str">
        <f t="shared" si="64"/>
        <v>South</v>
      </c>
      <c r="AK312" t="str">
        <f t="shared" si="64"/>
        <v>Tamil Nadu</v>
      </c>
      <c r="AL312" t="str">
        <f t="shared" si="64"/>
        <v>Chennai</v>
      </c>
      <c r="AM312" t="str">
        <f t="shared" si="64"/>
        <v>Technology</v>
      </c>
      <c r="AN312" t="str">
        <f t="shared" si="64"/>
        <v>Machines</v>
      </c>
      <c r="AO312" t="str">
        <f t="shared" si="62"/>
        <v>First Class</v>
      </c>
      <c r="AP312" t="str">
        <f t="shared" si="63"/>
        <v>Paid</v>
      </c>
      <c r="AQ312" t="str">
        <f t="shared" si="63"/>
        <v>Completed</v>
      </c>
    </row>
    <row r="313" spans="1:43">
      <c r="A313" t="s">
        <v>1221</v>
      </c>
      <c r="B313" s="3" t="s">
        <v>1222</v>
      </c>
      <c r="C313" s="3">
        <v>45327</v>
      </c>
      <c r="D313" t="s">
        <v>1223</v>
      </c>
      <c r="E313" t="s">
        <v>121</v>
      </c>
      <c r="F313" t="s">
        <v>177</v>
      </c>
      <c r="G313" t="s">
        <v>140</v>
      </c>
      <c r="H313" t="s">
        <v>270</v>
      </c>
      <c r="I313" t="s">
        <v>271</v>
      </c>
      <c r="J313" t="s">
        <v>113</v>
      </c>
      <c r="K313" t="s">
        <v>246</v>
      </c>
      <c r="L313" t="s">
        <v>1224</v>
      </c>
      <c r="M313" t="s">
        <v>116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117</v>
      </c>
      <c r="U313" t="s">
        <v>118</v>
      </c>
      <c r="V313" s="2">
        <f t="shared" si="53"/>
        <v>0.1</v>
      </c>
      <c r="W313" s="2">
        <f t="shared" si="54"/>
        <v>2493.1799999999998</v>
      </c>
      <c r="X313" s="2">
        <f>W313-R313</f>
        <v>729.17999999999984</v>
      </c>
      <c r="Y313" s="2">
        <f t="shared" si="55"/>
        <v>0.29246985777200196</v>
      </c>
      <c r="Z313" s="2" t="str">
        <f t="shared" si="56"/>
        <v/>
      </c>
      <c r="AA313" s="2" t="e">
        <f t="shared" si="57"/>
        <v>#VALUE!</v>
      </c>
      <c r="AB313" s="2" t="e">
        <f t="shared" si="58"/>
        <v>#VALUE!</v>
      </c>
      <c r="AC313" s="2" t="str">
        <f t="shared" si="59"/>
        <v>Text Value Not Recognized as Date</v>
      </c>
      <c r="AD313" s="2">
        <f t="shared" si="60"/>
        <v>0</v>
      </c>
      <c r="AE313" s="2">
        <f t="shared" si="61"/>
        <v>0</v>
      </c>
      <c r="AH313" t="str">
        <f t="shared" si="65"/>
        <v>Mira Das</v>
      </c>
      <c r="AI313" t="str">
        <f t="shared" si="65"/>
        <v>Corporate</v>
      </c>
      <c r="AJ313" t="str">
        <f t="shared" si="64"/>
        <v>South</v>
      </c>
      <c r="AK313" t="str">
        <f t="shared" si="64"/>
        <v>Karnataka</v>
      </c>
      <c r="AL313" t="str">
        <f t="shared" si="64"/>
        <v>Bengaluru</v>
      </c>
      <c r="AM313" t="str">
        <f t="shared" si="64"/>
        <v>Office Supplies</v>
      </c>
      <c r="AN313" t="str">
        <f t="shared" si="64"/>
        <v>Binders</v>
      </c>
      <c r="AO313" t="str">
        <f t="shared" si="62"/>
        <v>Second Class</v>
      </c>
      <c r="AP313" t="str">
        <f t="shared" si="63"/>
        <v>Paid</v>
      </c>
      <c r="AQ313" t="str">
        <f t="shared" si="63"/>
        <v>Completed</v>
      </c>
    </row>
    <row r="314" spans="1:43">
      <c r="A314" t="s">
        <v>1225</v>
      </c>
      <c r="B314" s="3">
        <v>45504</v>
      </c>
      <c r="C314" s="3">
        <v>45390</v>
      </c>
      <c r="D314" t="s">
        <v>1226</v>
      </c>
      <c r="E314" t="s">
        <v>108</v>
      </c>
      <c r="F314" t="s">
        <v>122</v>
      </c>
      <c r="G314" t="s">
        <v>123</v>
      </c>
      <c r="H314" t="s">
        <v>260</v>
      </c>
      <c r="I314" t="s">
        <v>261</v>
      </c>
      <c r="J314" t="s">
        <v>160</v>
      </c>
      <c r="K314" t="s">
        <v>266</v>
      </c>
      <c r="L314" t="s">
        <v>1227</v>
      </c>
      <c r="M314" t="s">
        <v>145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117</v>
      </c>
      <c r="U314" t="s">
        <v>44</v>
      </c>
      <c r="V314" s="2">
        <f t="shared" si="53"/>
        <v>0</v>
      </c>
      <c r="W314" s="2">
        <f t="shared" si="54"/>
        <v>20917.919999999998</v>
      </c>
      <c r="X314" s="2">
        <f>W314-R314</f>
        <v>10870.589999999998</v>
      </c>
      <c r="Y314" s="2">
        <f t="shared" si="55"/>
        <v>0.5196783427797792</v>
      </c>
      <c r="Z314" s="2">
        <f t="shared" si="56"/>
        <v>-114</v>
      </c>
      <c r="AA314" s="2">
        <f t="shared" si="57"/>
        <v>7</v>
      </c>
      <c r="AB314" s="2">
        <f t="shared" si="58"/>
        <v>2024</v>
      </c>
      <c r="AC314" s="2" t="str">
        <f t="shared" si="59"/>
        <v>Invalid shipping record</v>
      </c>
      <c r="AD314" s="2">
        <f t="shared" si="60"/>
        <v>1</v>
      </c>
      <c r="AE314" s="2">
        <f t="shared" si="61"/>
        <v>1</v>
      </c>
      <c r="AH314" t="str">
        <f t="shared" si="65"/>
        <v>Karan Malhotra</v>
      </c>
      <c r="AI314" t="str">
        <f t="shared" si="65"/>
        <v>Small Business</v>
      </c>
      <c r="AJ314" t="str">
        <f t="shared" si="64"/>
        <v>East</v>
      </c>
      <c r="AK314" t="str">
        <f t="shared" si="64"/>
        <v>Assam</v>
      </c>
      <c r="AL314" t="str">
        <f t="shared" si="64"/>
        <v>Guwahati</v>
      </c>
      <c r="AM314" t="str">
        <f t="shared" si="64"/>
        <v>Technology</v>
      </c>
      <c r="AN314" t="str">
        <f t="shared" si="64"/>
        <v>Phones</v>
      </c>
      <c r="AO314" t="str">
        <f t="shared" si="62"/>
        <v>Standard Class</v>
      </c>
      <c r="AP314" t="str">
        <f t="shared" si="63"/>
        <v>Paid</v>
      </c>
      <c r="AQ314" t="str">
        <f t="shared" si="63"/>
        <v>Cancelled</v>
      </c>
    </row>
    <row r="315" spans="1:43">
      <c r="A315" t="s">
        <v>1228</v>
      </c>
      <c r="B315" s="3">
        <v>45807</v>
      </c>
      <c r="C315" s="3" t="s">
        <v>1229</v>
      </c>
      <c r="D315" t="s">
        <v>1230</v>
      </c>
      <c r="E315" t="s">
        <v>207</v>
      </c>
      <c r="F315" t="s">
        <v>177</v>
      </c>
      <c r="G315" t="s">
        <v>110</v>
      </c>
      <c r="H315" t="s">
        <v>227</v>
      </c>
      <c r="I315" t="s">
        <v>228</v>
      </c>
      <c r="J315" t="s">
        <v>160</v>
      </c>
      <c r="K315" t="s">
        <v>266</v>
      </c>
      <c r="L315" t="s">
        <v>1231</v>
      </c>
      <c r="M315" t="s">
        <v>135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189</v>
      </c>
      <c r="U315" t="s">
        <v>44</v>
      </c>
      <c r="V315" s="2">
        <f t="shared" si="53"/>
        <v>0.25</v>
      </c>
      <c r="W315" s="2">
        <f t="shared" si="54"/>
        <v>12488.579999999998</v>
      </c>
      <c r="X315" s="2">
        <f>W315-R315</f>
        <v>1771.1799999999985</v>
      </c>
      <c r="Y315" s="2">
        <f t="shared" si="55"/>
        <v>0.14182397037933847</v>
      </c>
      <c r="Z315" s="2" t="str">
        <f t="shared" si="56"/>
        <v/>
      </c>
      <c r="AA315" s="2">
        <f t="shared" si="57"/>
        <v>5</v>
      </c>
      <c r="AB315" s="2">
        <f t="shared" si="58"/>
        <v>2025</v>
      </c>
      <c r="AC315" s="2" t="str">
        <f t="shared" si="59"/>
        <v>Text Value Not Recognized as Date</v>
      </c>
      <c r="AD315" s="2">
        <f t="shared" si="60"/>
        <v>0</v>
      </c>
      <c r="AE315" s="2">
        <f t="shared" si="61"/>
        <v>0</v>
      </c>
      <c r="AH315" t="str">
        <f t="shared" si="65"/>
        <v>Rahul Verma</v>
      </c>
      <c r="AI315" t="str">
        <f t="shared" si="65"/>
        <v>Corporate</v>
      </c>
      <c r="AJ315" t="str">
        <f t="shared" si="64"/>
        <v>North</v>
      </c>
      <c r="AK315" t="str">
        <f t="shared" si="64"/>
        <v>Uttar Pradesh</v>
      </c>
      <c r="AL315" t="str">
        <f t="shared" si="64"/>
        <v>Noida</v>
      </c>
      <c r="AM315" t="str">
        <f t="shared" si="64"/>
        <v>Technology</v>
      </c>
      <c r="AN315" t="str">
        <f t="shared" si="64"/>
        <v>Phones</v>
      </c>
      <c r="AO315" t="str">
        <f t="shared" si="62"/>
        <v>First Class</v>
      </c>
      <c r="AP315" t="str">
        <f t="shared" si="63"/>
        <v>Refunded</v>
      </c>
      <c r="AQ315" t="str">
        <f t="shared" si="63"/>
        <v>Cancelled</v>
      </c>
    </row>
    <row r="316" spans="1:43">
      <c r="A316" t="s">
        <v>1232</v>
      </c>
      <c r="B316" s="3">
        <v>45795</v>
      </c>
      <c r="C316" s="3">
        <v>45797</v>
      </c>
      <c r="D316" t="s">
        <v>1233</v>
      </c>
      <c r="E316" t="s">
        <v>132</v>
      </c>
      <c r="F316" t="s">
        <v>177</v>
      </c>
      <c r="G316" t="s">
        <v>149</v>
      </c>
      <c r="H316" t="s">
        <v>158</v>
      </c>
      <c r="I316" t="s">
        <v>159</v>
      </c>
      <c r="J316" t="s">
        <v>113</v>
      </c>
      <c r="K316" t="s">
        <v>178</v>
      </c>
      <c r="L316" t="s">
        <v>1234</v>
      </c>
      <c r="M316" t="s">
        <v>145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248</v>
      </c>
      <c r="U316" t="s">
        <v>190</v>
      </c>
      <c r="V316" s="2">
        <f t="shared" si="53"/>
        <v>0.15</v>
      </c>
      <c r="W316" s="2">
        <f t="shared" si="54"/>
        <v>6485.3639999999996</v>
      </c>
      <c r="X316" s="2">
        <f>W316-R316</f>
        <v>1109.1939999999995</v>
      </c>
      <c r="Y316" s="2">
        <f t="shared" si="55"/>
        <v>0.17103033846673826</v>
      </c>
      <c r="Z316" s="2">
        <f t="shared" si="56"/>
        <v>2</v>
      </c>
      <c r="AA316" s="2">
        <f t="shared" si="57"/>
        <v>5</v>
      </c>
      <c r="AB316" s="2">
        <f t="shared" si="58"/>
        <v>2025</v>
      </c>
      <c r="AC316" s="2" t="str">
        <f t="shared" si="59"/>
        <v>Conflicting Duplicate Order ID</v>
      </c>
      <c r="AD316" s="2">
        <f t="shared" si="60"/>
        <v>0</v>
      </c>
      <c r="AE316" s="2">
        <f t="shared" si="61"/>
        <v>0</v>
      </c>
      <c r="AH316" t="str">
        <f t="shared" si="65"/>
        <v>Isha Nair</v>
      </c>
      <c r="AI316" t="str">
        <f t="shared" si="65"/>
        <v>Corporate</v>
      </c>
      <c r="AJ316" t="str">
        <f t="shared" si="64"/>
        <v>West</v>
      </c>
      <c r="AK316" t="str">
        <f t="shared" si="64"/>
        <v>Madhya Pradesh</v>
      </c>
      <c r="AL316" t="str">
        <f t="shared" si="64"/>
        <v>Indore</v>
      </c>
      <c r="AM316" t="str">
        <f t="shared" si="64"/>
        <v>Office Supplies</v>
      </c>
      <c r="AN316" t="str">
        <f t="shared" si="64"/>
        <v>Labels</v>
      </c>
      <c r="AO316" t="str">
        <f t="shared" si="62"/>
        <v>Standard Class</v>
      </c>
      <c r="AP316" t="str">
        <f t="shared" si="63"/>
        <v>Failed</v>
      </c>
      <c r="AQ316" t="str">
        <f t="shared" si="63"/>
        <v>Returned</v>
      </c>
    </row>
    <row r="317" spans="1:43">
      <c r="A317" t="s">
        <v>1235</v>
      </c>
      <c r="B317" s="3">
        <v>45475</v>
      </c>
      <c r="C317" s="3">
        <v>45481</v>
      </c>
      <c r="D317" t="s">
        <v>1236</v>
      </c>
      <c r="E317" t="s">
        <v>232</v>
      </c>
      <c r="F317" t="s">
        <v>109</v>
      </c>
      <c r="G317" t="s">
        <v>110</v>
      </c>
      <c r="H317" t="s">
        <v>465</v>
      </c>
      <c r="I317" t="s">
        <v>466</v>
      </c>
      <c r="J317" t="s">
        <v>113</v>
      </c>
      <c r="K317" t="s">
        <v>114</v>
      </c>
      <c r="L317" t="s">
        <v>1237</v>
      </c>
      <c r="M317" t="s">
        <v>145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199</v>
      </c>
      <c r="U317" t="s">
        <v>190</v>
      </c>
      <c r="V317" s="2">
        <f t="shared" si="53"/>
        <v>0.05</v>
      </c>
      <c r="W317" s="2">
        <f t="shared" si="54"/>
        <v>29500.920000000002</v>
      </c>
      <c r="X317" s="2">
        <f>W317-R317</f>
        <v>11511.240000000002</v>
      </c>
      <c r="Y317" s="2">
        <f t="shared" si="55"/>
        <v>0.39019935649464493</v>
      </c>
      <c r="Z317" s="2">
        <f t="shared" si="56"/>
        <v>6</v>
      </c>
      <c r="AA317" s="2">
        <f t="shared" si="57"/>
        <v>7</v>
      </c>
      <c r="AB317" s="2">
        <f t="shared" si="58"/>
        <v>2024</v>
      </c>
      <c r="AC317" s="2" t="str">
        <f t="shared" si="59"/>
        <v>Valid</v>
      </c>
      <c r="AD317" s="2">
        <f t="shared" si="60"/>
        <v>0</v>
      </c>
      <c r="AE317" s="2">
        <f t="shared" si="61"/>
        <v>0</v>
      </c>
      <c r="AH317" t="str">
        <f t="shared" si="65"/>
        <v>Rohan Mehta</v>
      </c>
      <c r="AI317" t="str">
        <f t="shared" si="65"/>
        <v>Consumer</v>
      </c>
      <c r="AJ317" t="str">
        <f t="shared" si="64"/>
        <v>North</v>
      </c>
      <c r="AK317" t="str">
        <f t="shared" si="64"/>
        <v>Delhi</v>
      </c>
      <c r="AL317" t="str">
        <f t="shared" si="64"/>
        <v>New Delhi</v>
      </c>
      <c r="AM317" t="str">
        <f t="shared" si="64"/>
        <v>Office Supplies</v>
      </c>
      <c r="AN317" t="str">
        <f t="shared" si="64"/>
        <v>Paper</v>
      </c>
      <c r="AO317" t="str">
        <f t="shared" si="62"/>
        <v>Standard Class</v>
      </c>
      <c r="AP317" t="str">
        <f t="shared" si="63"/>
        <v>Pending</v>
      </c>
      <c r="AQ317" t="str">
        <f t="shared" si="63"/>
        <v>Returned</v>
      </c>
    </row>
    <row r="318" spans="1:43">
      <c r="A318" t="s">
        <v>1238</v>
      </c>
      <c r="B318" s="3" t="s">
        <v>1239</v>
      </c>
      <c r="C318" s="3">
        <v>45340</v>
      </c>
      <c r="D318" t="s">
        <v>1240</v>
      </c>
      <c r="E318" t="s">
        <v>108</v>
      </c>
      <c r="F318" t="s">
        <v>177</v>
      </c>
      <c r="G318" t="s">
        <v>110</v>
      </c>
      <c r="H318" t="s">
        <v>211</v>
      </c>
      <c r="I318" t="s">
        <v>212</v>
      </c>
      <c r="J318" t="s">
        <v>113</v>
      </c>
      <c r="K318" t="s">
        <v>178</v>
      </c>
      <c r="L318" t="s">
        <v>1241</v>
      </c>
      <c r="M318" t="s">
        <v>145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117</v>
      </c>
      <c r="U318" t="s">
        <v>44</v>
      </c>
      <c r="V318" s="2">
        <f t="shared" si="53"/>
        <v>0.2</v>
      </c>
      <c r="W318" s="2">
        <f t="shared" si="54"/>
        <v>3116.0480000000002</v>
      </c>
      <c r="X318" s="2">
        <f>W318-R318</f>
        <v>1159.4180000000001</v>
      </c>
      <c r="Y318" s="2">
        <f t="shared" si="55"/>
        <v>0.37207963420332424</v>
      </c>
      <c r="Z318" s="2" t="str">
        <f t="shared" si="56"/>
        <v/>
      </c>
      <c r="AA318" s="2" t="e">
        <f t="shared" si="57"/>
        <v>#VALUE!</v>
      </c>
      <c r="AB318" s="2" t="e">
        <f t="shared" si="58"/>
        <v>#VALUE!</v>
      </c>
      <c r="AC318" s="2" t="str">
        <f t="shared" si="59"/>
        <v>Text Value Not Recognized as Date</v>
      </c>
      <c r="AD318" s="2">
        <f t="shared" si="60"/>
        <v>0</v>
      </c>
      <c r="AE318" s="2">
        <f t="shared" si="61"/>
        <v>0</v>
      </c>
      <c r="AH318" t="str">
        <f t="shared" si="65"/>
        <v>Karan Malhotra</v>
      </c>
      <c r="AI318" t="str">
        <f t="shared" si="65"/>
        <v>Corporate</v>
      </c>
      <c r="AJ318" t="str">
        <f t="shared" si="65"/>
        <v>North</v>
      </c>
      <c r="AK318" t="str">
        <f t="shared" si="65"/>
        <v>Punjab</v>
      </c>
      <c r="AL318" t="str">
        <f t="shared" si="65"/>
        <v>Ludhiana</v>
      </c>
      <c r="AM318" t="str">
        <f t="shared" si="65"/>
        <v>Office Supplies</v>
      </c>
      <c r="AN318" t="str">
        <f t="shared" si="65"/>
        <v>Labels</v>
      </c>
      <c r="AO318" t="str">
        <f t="shared" si="62"/>
        <v>Standard Class</v>
      </c>
      <c r="AP318" t="str">
        <f t="shared" si="63"/>
        <v>Paid</v>
      </c>
      <c r="AQ318" t="str">
        <f t="shared" si="63"/>
        <v>Cancelled</v>
      </c>
    </row>
    <row r="319" spans="1:43">
      <c r="A319" t="s">
        <v>1242</v>
      </c>
      <c r="B319" s="3" t="s">
        <v>1243</v>
      </c>
      <c r="C319" s="3">
        <v>45904</v>
      </c>
      <c r="D319" t="s">
        <v>1244</v>
      </c>
      <c r="E319" t="s">
        <v>165</v>
      </c>
      <c r="F319" t="s">
        <v>177</v>
      </c>
      <c r="G319" t="s">
        <v>140</v>
      </c>
      <c r="H319" t="s">
        <v>282</v>
      </c>
      <c r="I319" t="s">
        <v>283</v>
      </c>
      <c r="J319" t="s">
        <v>126</v>
      </c>
      <c r="K319" t="s">
        <v>127</v>
      </c>
      <c r="L319" t="s">
        <v>1245</v>
      </c>
      <c r="M319" t="s">
        <v>135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117</v>
      </c>
      <c r="U319" t="s">
        <v>118</v>
      </c>
      <c r="V319" s="2">
        <f t="shared" si="53"/>
        <v>0.15</v>
      </c>
      <c r="W319" s="2">
        <f t="shared" si="54"/>
        <v>22926.820499999998</v>
      </c>
      <c r="X319" s="2">
        <f>W319-R319</f>
        <v>8305.2304999999978</v>
      </c>
      <c r="Y319" s="2">
        <f t="shared" si="55"/>
        <v>0.36224955396671765</v>
      </c>
      <c r="Z319" s="2" t="str">
        <f t="shared" si="56"/>
        <v/>
      </c>
      <c r="AA319" s="2" t="e">
        <f t="shared" si="57"/>
        <v>#VALUE!</v>
      </c>
      <c r="AB319" s="2" t="e">
        <f t="shared" si="58"/>
        <v>#VALUE!</v>
      </c>
      <c r="AC319" s="2" t="str">
        <f t="shared" si="59"/>
        <v>Text Value Not Recognized as Date</v>
      </c>
      <c r="AD319" s="2">
        <f t="shared" si="60"/>
        <v>0</v>
      </c>
      <c r="AE319" s="2">
        <f t="shared" si="61"/>
        <v>0</v>
      </c>
      <c r="AH319" t="str">
        <f t="shared" si="65"/>
        <v>Neha Gupta</v>
      </c>
      <c r="AI319" t="str">
        <f t="shared" si="65"/>
        <v>Corporate</v>
      </c>
      <c r="AJ319" t="str">
        <f t="shared" si="65"/>
        <v>South</v>
      </c>
      <c r="AK319" t="str">
        <f t="shared" si="65"/>
        <v>Kerala</v>
      </c>
      <c r="AL319" t="str">
        <f t="shared" si="65"/>
        <v>Kochi</v>
      </c>
      <c r="AM319" t="str">
        <f t="shared" si="65"/>
        <v>Furniture</v>
      </c>
      <c r="AN319" t="str">
        <f t="shared" si="65"/>
        <v>Tables</v>
      </c>
      <c r="AO319" t="str">
        <f t="shared" si="62"/>
        <v>First Class</v>
      </c>
      <c r="AP319" t="str">
        <f t="shared" si="63"/>
        <v>Paid</v>
      </c>
      <c r="AQ319" t="str">
        <f t="shared" si="63"/>
        <v>Completed</v>
      </c>
    </row>
    <row r="320" spans="1:43">
      <c r="A320" t="s">
        <v>1246</v>
      </c>
      <c r="B320" s="3">
        <v>45407</v>
      </c>
      <c r="C320" s="3" t="s">
        <v>1247</v>
      </c>
      <c r="D320" t="s">
        <v>1248</v>
      </c>
      <c r="E320" t="s">
        <v>121</v>
      </c>
      <c r="F320" t="s">
        <v>122</v>
      </c>
      <c r="G320" t="s">
        <v>140</v>
      </c>
      <c r="H320" t="s">
        <v>270</v>
      </c>
      <c r="I320" t="s">
        <v>271</v>
      </c>
      <c r="J320" t="s">
        <v>160</v>
      </c>
      <c r="K320" t="s">
        <v>266</v>
      </c>
      <c r="L320" t="s">
        <v>1249</v>
      </c>
      <c r="M320" t="s">
        <v>145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117</v>
      </c>
      <c r="U320" t="s">
        <v>118</v>
      </c>
      <c r="V320" s="2">
        <f t="shared" si="53"/>
        <v>0.1</v>
      </c>
      <c r="W320" s="2">
        <f t="shared" si="54"/>
        <v>11203.542000000001</v>
      </c>
      <c r="X320" s="2">
        <f>W320-R320</f>
        <v>2750.612000000001</v>
      </c>
      <c r="Y320" s="2">
        <f t="shared" si="55"/>
        <v>0.24551271374713468</v>
      </c>
      <c r="Z320" s="2" t="str">
        <f t="shared" si="56"/>
        <v/>
      </c>
      <c r="AA320" s="2">
        <f t="shared" si="57"/>
        <v>4</v>
      </c>
      <c r="AB320" s="2">
        <f t="shared" si="58"/>
        <v>2024</v>
      </c>
      <c r="AC320" s="2" t="str">
        <f t="shared" si="59"/>
        <v>Text Value Not Recognized as Date</v>
      </c>
      <c r="AD320" s="2">
        <f t="shared" si="60"/>
        <v>0</v>
      </c>
      <c r="AE320" s="2">
        <f t="shared" si="61"/>
        <v>0</v>
      </c>
      <c r="AH320" t="str">
        <f t="shared" si="65"/>
        <v>Mira Das</v>
      </c>
      <c r="AI320" t="str">
        <f t="shared" si="65"/>
        <v>Small Business</v>
      </c>
      <c r="AJ320" t="str">
        <f t="shared" si="65"/>
        <v>South</v>
      </c>
      <c r="AK320" t="str">
        <f t="shared" si="65"/>
        <v>Karnataka</v>
      </c>
      <c r="AL320" t="str">
        <f t="shared" si="65"/>
        <v>Bengaluru</v>
      </c>
      <c r="AM320" t="str">
        <f t="shared" si="65"/>
        <v>Technology</v>
      </c>
      <c r="AN320" t="str">
        <f t="shared" si="65"/>
        <v>Phones</v>
      </c>
      <c r="AO320" t="str">
        <f t="shared" si="62"/>
        <v>Standard Class</v>
      </c>
      <c r="AP320" t="str">
        <f t="shared" si="63"/>
        <v>Paid</v>
      </c>
      <c r="AQ320" t="str">
        <f t="shared" si="63"/>
        <v>Completed</v>
      </c>
    </row>
    <row r="321" spans="1:43">
      <c r="A321" t="s">
        <v>1250</v>
      </c>
      <c r="B321" s="3">
        <v>45525</v>
      </c>
      <c r="C321" s="3">
        <v>45529</v>
      </c>
      <c r="D321" t="s">
        <v>1251</v>
      </c>
      <c r="E321" t="s">
        <v>256</v>
      </c>
      <c r="F321" t="s">
        <v>109</v>
      </c>
      <c r="G321" t="s">
        <v>149</v>
      </c>
      <c r="H321" t="s">
        <v>276</v>
      </c>
      <c r="I321" t="s">
        <v>277</v>
      </c>
      <c r="J321" t="s">
        <v>113</v>
      </c>
      <c r="K321" t="s">
        <v>246</v>
      </c>
      <c r="L321" t="s">
        <v>1252</v>
      </c>
      <c r="M321" t="s">
        <v>135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117</v>
      </c>
      <c r="U321" t="s">
        <v>118</v>
      </c>
      <c r="V321" s="2">
        <f t="shared" si="53"/>
        <v>0</v>
      </c>
      <c r="W321" s="2">
        <f t="shared" si="54"/>
        <v>270.27999999999997</v>
      </c>
      <c r="X321" s="2">
        <f>W321-R321</f>
        <v>113.93999999999997</v>
      </c>
      <c r="Y321" s="2">
        <f t="shared" si="55"/>
        <v>0.42156282373834536</v>
      </c>
      <c r="Z321" s="2">
        <f t="shared" si="56"/>
        <v>4</v>
      </c>
      <c r="AA321" s="2">
        <f t="shared" si="57"/>
        <v>8</v>
      </c>
      <c r="AB321" s="2">
        <f t="shared" si="58"/>
        <v>2024</v>
      </c>
      <c r="AC321" s="2" t="str">
        <f t="shared" si="59"/>
        <v>Valid</v>
      </c>
      <c r="AD321" s="2">
        <f t="shared" si="60"/>
        <v>0</v>
      </c>
      <c r="AE321" s="2">
        <f t="shared" si="61"/>
        <v>0</v>
      </c>
      <c r="AH321" t="str">
        <f t="shared" si="65"/>
        <v>Diya Patel</v>
      </c>
      <c r="AI321" t="str">
        <f t="shared" si="65"/>
        <v>Consumer</v>
      </c>
      <c r="AJ321" t="str">
        <f t="shared" si="65"/>
        <v>West</v>
      </c>
      <c r="AK321" t="str">
        <f t="shared" si="65"/>
        <v>Gujarat</v>
      </c>
      <c r="AL321" t="str">
        <f t="shared" si="65"/>
        <v>Ahmedabad</v>
      </c>
      <c r="AM321" t="str">
        <f t="shared" si="65"/>
        <v>Office Supplies</v>
      </c>
      <c r="AN321" t="str">
        <f t="shared" si="65"/>
        <v>Binders</v>
      </c>
      <c r="AO321" t="str">
        <f t="shared" si="62"/>
        <v>First Class</v>
      </c>
      <c r="AP321" t="str">
        <f t="shared" si="63"/>
        <v>Paid</v>
      </c>
      <c r="AQ321" t="str">
        <f t="shared" si="63"/>
        <v>Completed</v>
      </c>
    </row>
    <row r="322" spans="1:43">
      <c r="A322" t="s">
        <v>1253</v>
      </c>
      <c r="B322" s="3">
        <v>45630</v>
      </c>
      <c r="C322" s="3">
        <v>45632</v>
      </c>
      <c r="D322" t="s">
        <v>1254</v>
      </c>
      <c r="E322" t="s">
        <v>218</v>
      </c>
      <c r="F322" t="s">
        <v>182</v>
      </c>
      <c r="G322" t="s">
        <v>123</v>
      </c>
      <c r="H322" t="s">
        <v>186</v>
      </c>
      <c r="I322" t="s">
        <v>187</v>
      </c>
      <c r="J322" t="s">
        <v>113</v>
      </c>
      <c r="K322" t="s">
        <v>133</v>
      </c>
      <c r="L322" t="s">
        <v>1255</v>
      </c>
      <c r="M322" t="s">
        <v>116</v>
      </c>
      <c r="N322">
        <v>3</v>
      </c>
      <c r="O322">
        <v>876.14</v>
      </c>
      <c r="P322" t="s">
        <v>586</v>
      </c>
      <c r="Q322">
        <v>2628.42</v>
      </c>
      <c r="R322">
        <v>1541.54</v>
      </c>
      <c r="S322">
        <v>1086.8800000000001</v>
      </c>
      <c r="T322" t="s">
        <v>199</v>
      </c>
      <c r="U322" t="s">
        <v>190</v>
      </c>
      <c r="V322" s="2" t="str">
        <f t="shared" si="53"/>
        <v>70%</v>
      </c>
      <c r="W322" s="2">
        <f t="shared" si="54"/>
        <v>788.52600000000018</v>
      </c>
      <c r="X322" s="2">
        <f>W322-R322</f>
        <v>-753.01399999999978</v>
      </c>
      <c r="Y322" s="2">
        <f t="shared" si="55"/>
        <v>-0.95496407220560842</v>
      </c>
      <c r="Z322" s="2">
        <f t="shared" si="56"/>
        <v>2</v>
      </c>
      <c r="AA322" s="2">
        <f t="shared" si="57"/>
        <v>12</v>
      </c>
      <c r="AB322" s="2">
        <f t="shared" si="58"/>
        <v>2024</v>
      </c>
      <c r="AC322" s="2" t="str">
        <f t="shared" si="59"/>
        <v>Invalid</v>
      </c>
      <c r="AD322" s="2">
        <f t="shared" si="60"/>
        <v>1</v>
      </c>
      <c r="AE322" s="2">
        <f t="shared" si="61"/>
        <v>1</v>
      </c>
      <c r="AH322" t="str">
        <f t="shared" si="65"/>
        <v>Aarav Sharma</v>
      </c>
      <c r="AI322" t="str">
        <f t="shared" si="65"/>
        <v>Home Office</v>
      </c>
      <c r="AJ322" t="str">
        <f t="shared" si="65"/>
        <v>East</v>
      </c>
      <c r="AK322" t="str">
        <f t="shared" si="65"/>
        <v>West Bengal</v>
      </c>
      <c r="AL322" t="str">
        <f t="shared" si="65"/>
        <v>Kolkata</v>
      </c>
      <c r="AM322" t="str">
        <f t="shared" si="65"/>
        <v>Office Supplies</v>
      </c>
      <c r="AN322" t="str">
        <f t="shared" si="65"/>
        <v>Art</v>
      </c>
      <c r="AO322" t="str">
        <f t="shared" si="62"/>
        <v>Second Class</v>
      </c>
      <c r="AP322" t="str">
        <f t="shared" si="63"/>
        <v>Pending</v>
      </c>
      <c r="AQ322" t="str">
        <f t="shared" si="63"/>
        <v>Returned</v>
      </c>
    </row>
    <row r="323" spans="1:43">
      <c r="A323" t="s">
        <v>1256</v>
      </c>
      <c r="B323" s="3">
        <v>45466</v>
      </c>
      <c r="C323" s="3">
        <v>45473</v>
      </c>
      <c r="D323" t="s">
        <v>1257</v>
      </c>
      <c r="E323" t="s">
        <v>165</v>
      </c>
      <c r="F323" t="s">
        <v>122</v>
      </c>
      <c r="G323" t="s">
        <v>149</v>
      </c>
      <c r="H323" t="s">
        <v>287</v>
      </c>
      <c r="I323" t="s">
        <v>288</v>
      </c>
      <c r="J323" t="s">
        <v>160</v>
      </c>
      <c r="K323" t="s">
        <v>161</v>
      </c>
      <c r="L323" t="s">
        <v>1258</v>
      </c>
      <c r="M323" t="s">
        <v>129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248</v>
      </c>
      <c r="U323" t="s">
        <v>44</v>
      </c>
      <c r="V323" s="2">
        <f t="shared" ref="V323:V386" si="66">IF(ISBLANK(P323), 0, P323)</f>
        <v>0</v>
      </c>
      <c r="W323" s="2">
        <f t="shared" ref="W323:W386" si="67">N323 * O323 * (1 - P323)</f>
        <v>2699.28</v>
      </c>
      <c r="X323" s="2">
        <f>W323-R323</f>
        <v>939.52000000000021</v>
      </c>
      <c r="Y323" s="2">
        <f t="shared" ref="Y323:Y386" si="68">IFERROR(X323 / W323, 0)</f>
        <v>0.34806318722029583</v>
      </c>
      <c r="Z323" s="2">
        <f t="shared" ref="Z323:Z386" si="69">IF(OR(ISBLANK(B323), ISBLANK(C323), ISTEXT(B323), ISTEXT(C323)), "", C323 - B323)</f>
        <v>7</v>
      </c>
      <c r="AA323" s="2">
        <f t="shared" ref="AA323:AA386" si="70">MONTH(B323)</f>
        <v>6</v>
      </c>
      <c r="AB323" s="2">
        <f t="shared" ref="AB323:AB386" si="71">YEAR(B323)</f>
        <v>2024</v>
      </c>
      <c r="AC323" s="2" t="str">
        <f t="shared" ref="AC323:AC386" si="72">IF(COUNTIF(A:A, A323) &gt; 1, "Conflicting Duplicate Order ID",
 IF(OR(G323="Unknown", ISBLANK(G323)), "Missing region",
 IF(OR(M323="Unknown", ISBLANK(M323)), "Missing ship_mode",
 IF(OR(ISBLANK(B323), ISBLANK(C323)), "Missing Date",
 IF(OR(ISTEXT(B323), ISTEXT(C323)), "Text Value Not Recognized as Date",
 IF(C323 &lt; B323, "Invalid shipping record",
 IF(P323 &lt; 0, "Invalid",
 IF(P323 &gt; 0.7, "Invalid",
 "Valid"))))))))</f>
        <v>Valid</v>
      </c>
      <c r="AD323" s="2">
        <f t="shared" ref="AD323:AD386" si="73">IF(ABS(Q323 - W323) &gt; 0.01, 1, 0)</f>
        <v>0</v>
      </c>
      <c r="AE323" s="2">
        <f t="shared" ref="AE323:AE386" si="74">IF(ABS(S323 - X323) &gt; 0.01, 1, 0)</f>
        <v>0</v>
      </c>
      <c r="AH323" t="str">
        <f t="shared" si="65"/>
        <v>Neha Gupta</v>
      </c>
      <c r="AI323" t="str">
        <f t="shared" si="65"/>
        <v>Small Business</v>
      </c>
      <c r="AJ323" t="str">
        <f t="shared" si="65"/>
        <v>West</v>
      </c>
      <c r="AK323" t="str">
        <f t="shared" si="65"/>
        <v>Goa</v>
      </c>
      <c r="AL323" t="str">
        <f t="shared" si="65"/>
        <v>Panaji</v>
      </c>
      <c r="AM323" t="str">
        <f t="shared" si="65"/>
        <v>Technology</v>
      </c>
      <c r="AN323" t="str">
        <f t="shared" si="65"/>
        <v>Accessories</v>
      </c>
      <c r="AO323" t="str">
        <f t="shared" ref="AO323:AO386" si="75">PROPER(TRIM(M323))</f>
        <v>Same Day</v>
      </c>
      <c r="AP323" t="str">
        <f t="shared" ref="AP323:AQ386" si="76">PROPER(TRIM(T323))</f>
        <v>Failed</v>
      </c>
      <c r="AQ323" t="str">
        <f t="shared" si="76"/>
        <v>Cancelled</v>
      </c>
    </row>
    <row r="324" spans="1:43">
      <c r="A324" t="s">
        <v>1259</v>
      </c>
      <c r="B324" s="3">
        <v>45608</v>
      </c>
      <c r="C324" s="3">
        <v>45637</v>
      </c>
      <c r="D324" t="s">
        <v>1260</v>
      </c>
      <c r="E324" t="s">
        <v>132</v>
      </c>
      <c r="F324" t="s">
        <v>109</v>
      </c>
      <c r="G324" t="s">
        <v>110</v>
      </c>
      <c r="H324" t="s">
        <v>227</v>
      </c>
      <c r="I324" t="s">
        <v>228</v>
      </c>
      <c r="J324" t="s">
        <v>160</v>
      </c>
      <c r="K324" t="s">
        <v>266</v>
      </c>
      <c r="L324" t="s">
        <v>1261</v>
      </c>
      <c r="M324" t="s">
        <v>116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117</v>
      </c>
      <c r="U324" t="s">
        <v>118</v>
      </c>
      <c r="V324" s="2">
        <f t="shared" si="66"/>
        <v>0.15</v>
      </c>
      <c r="W324" s="2">
        <f t="shared" si="67"/>
        <v>6984.3480000000009</v>
      </c>
      <c r="X324" s="2">
        <f>W324-R324</f>
        <v>2960.7180000000008</v>
      </c>
      <c r="Y324" s="2">
        <f t="shared" si="68"/>
        <v>0.42390757161584736</v>
      </c>
      <c r="Z324" s="2">
        <f t="shared" si="69"/>
        <v>29</v>
      </c>
      <c r="AA324" s="2">
        <f t="shared" si="70"/>
        <v>11</v>
      </c>
      <c r="AB324" s="2">
        <f t="shared" si="71"/>
        <v>2024</v>
      </c>
      <c r="AC324" s="2" t="str">
        <f t="shared" si="72"/>
        <v>Valid</v>
      </c>
      <c r="AD324" s="2">
        <f t="shared" si="73"/>
        <v>0</v>
      </c>
      <c r="AE324" s="2">
        <f t="shared" si="74"/>
        <v>0</v>
      </c>
      <c r="AH324" t="str">
        <f t="shared" si="65"/>
        <v>Isha Nair</v>
      </c>
      <c r="AI324" t="str">
        <f t="shared" si="65"/>
        <v>Consumer</v>
      </c>
      <c r="AJ324" t="str">
        <f t="shared" si="65"/>
        <v>North</v>
      </c>
      <c r="AK324" t="str">
        <f t="shared" si="65"/>
        <v>Uttar Pradesh</v>
      </c>
      <c r="AL324" t="str">
        <f t="shared" si="65"/>
        <v>Noida</v>
      </c>
      <c r="AM324" t="str">
        <f t="shared" si="65"/>
        <v>Technology</v>
      </c>
      <c r="AN324" t="str">
        <f t="shared" si="65"/>
        <v>Phones</v>
      </c>
      <c r="AO324" t="str">
        <f t="shared" si="75"/>
        <v>Second Class</v>
      </c>
      <c r="AP324" t="str">
        <f t="shared" si="76"/>
        <v>Paid</v>
      </c>
      <c r="AQ324" t="str">
        <f t="shared" si="76"/>
        <v>Completed</v>
      </c>
    </row>
    <row r="325" spans="1:43">
      <c r="A325" t="s">
        <v>1262</v>
      </c>
      <c r="B325" s="3" t="s">
        <v>1263</v>
      </c>
      <c r="C325" s="3">
        <v>45351</v>
      </c>
      <c r="D325" t="s">
        <v>1264</v>
      </c>
      <c r="E325" t="s">
        <v>132</v>
      </c>
      <c r="F325" t="s">
        <v>122</v>
      </c>
      <c r="G325" t="s">
        <v>149</v>
      </c>
      <c r="H325" t="s">
        <v>287</v>
      </c>
      <c r="I325" t="s">
        <v>288</v>
      </c>
      <c r="J325" t="s">
        <v>126</v>
      </c>
      <c r="K325" t="s">
        <v>143</v>
      </c>
      <c r="L325" t="s">
        <v>243</v>
      </c>
      <c r="M325" t="s">
        <v>145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117</v>
      </c>
      <c r="U325" t="s">
        <v>118</v>
      </c>
      <c r="V325" s="2">
        <f t="shared" si="66"/>
        <v>0.15</v>
      </c>
      <c r="W325" s="2">
        <f t="shared" si="67"/>
        <v>10185.669</v>
      </c>
      <c r="X325" s="2">
        <f>W325-R325</f>
        <v>3706.3589999999995</v>
      </c>
      <c r="Y325" s="2">
        <f t="shared" si="68"/>
        <v>0.36387978050337189</v>
      </c>
      <c r="Z325" s="2" t="str">
        <f t="shared" si="69"/>
        <v/>
      </c>
      <c r="AA325" s="2" t="e">
        <f t="shared" si="70"/>
        <v>#VALUE!</v>
      </c>
      <c r="AB325" s="2" t="e">
        <f t="shared" si="71"/>
        <v>#VALUE!</v>
      </c>
      <c r="AC325" s="2" t="str">
        <f t="shared" si="72"/>
        <v>Text Value Not Recognized as Date</v>
      </c>
      <c r="AD325" s="2">
        <f t="shared" si="73"/>
        <v>0</v>
      </c>
      <c r="AE325" s="2">
        <f t="shared" si="74"/>
        <v>0</v>
      </c>
      <c r="AH325" t="str">
        <f t="shared" si="65"/>
        <v>Isha Nair</v>
      </c>
      <c r="AI325" t="str">
        <f t="shared" si="65"/>
        <v>Small Business</v>
      </c>
      <c r="AJ325" t="str">
        <f t="shared" si="65"/>
        <v>West</v>
      </c>
      <c r="AK325" t="str">
        <f t="shared" si="65"/>
        <v>Goa</v>
      </c>
      <c r="AL325" t="str">
        <f t="shared" si="65"/>
        <v>Panaji</v>
      </c>
      <c r="AM325" t="str">
        <f t="shared" si="65"/>
        <v>Furniture</v>
      </c>
      <c r="AN325" t="str">
        <f t="shared" si="65"/>
        <v>Furnishings</v>
      </c>
      <c r="AO325" t="str">
        <f t="shared" si="75"/>
        <v>Standard Class</v>
      </c>
      <c r="AP325" t="str">
        <f t="shared" si="76"/>
        <v>Paid</v>
      </c>
      <c r="AQ325" t="str">
        <f t="shared" si="76"/>
        <v>Completed</v>
      </c>
    </row>
    <row r="326" spans="1:43">
      <c r="A326" t="s">
        <v>1265</v>
      </c>
      <c r="B326" s="3">
        <v>45869</v>
      </c>
      <c r="C326" s="3">
        <v>45696</v>
      </c>
      <c r="D326" t="s">
        <v>1266</v>
      </c>
      <c r="E326" t="s">
        <v>232</v>
      </c>
      <c r="F326" t="s">
        <v>182</v>
      </c>
      <c r="G326" t="s">
        <v>140</v>
      </c>
      <c r="H326" t="s">
        <v>171</v>
      </c>
      <c r="I326" t="s">
        <v>172</v>
      </c>
      <c r="J326" t="s">
        <v>113</v>
      </c>
      <c r="K326" t="s">
        <v>178</v>
      </c>
      <c r="L326" t="s">
        <v>1267</v>
      </c>
      <c r="M326" t="s">
        <v>129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117</v>
      </c>
      <c r="U326" t="s">
        <v>190</v>
      </c>
      <c r="V326" s="2">
        <f t="shared" si="66"/>
        <v>0.15</v>
      </c>
      <c r="W326" s="2">
        <f t="shared" si="67"/>
        <v>1655.6980000000001</v>
      </c>
      <c r="X326" s="2">
        <f>W326-R326</f>
        <v>300.89800000000014</v>
      </c>
      <c r="Y326" s="2">
        <f t="shared" si="68"/>
        <v>0.1817348332848141</v>
      </c>
      <c r="Z326" s="2">
        <f t="shared" si="69"/>
        <v>-173</v>
      </c>
      <c r="AA326" s="2">
        <f t="shared" si="70"/>
        <v>7</v>
      </c>
      <c r="AB326" s="2">
        <f t="shared" si="71"/>
        <v>2025</v>
      </c>
      <c r="AC326" s="2" t="str">
        <f t="shared" si="72"/>
        <v>Invalid shipping record</v>
      </c>
      <c r="AD326" s="2">
        <f t="shared" si="73"/>
        <v>0</v>
      </c>
      <c r="AE326" s="2">
        <f t="shared" si="74"/>
        <v>0</v>
      </c>
      <c r="AH326" t="str">
        <f t="shared" si="65"/>
        <v>Rohan Mehta</v>
      </c>
      <c r="AI326" t="str">
        <f t="shared" si="65"/>
        <v>Home Office</v>
      </c>
      <c r="AJ326" t="str">
        <f t="shared" si="65"/>
        <v>South</v>
      </c>
      <c r="AK326" t="str">
        <f t="shared" si="65"/>
        <v>Andhra Pradesh</v>
      </c>
      <c r="AL326" t="str">
        <f t="shared" si="65"/>
        <v>Vijayawada</v>
      </c>
      <c r="AM326" t="str">
        <f t="shared" si="65"/>
        <v>Office Supplies</v>
      </c>
      <c r="AN326" t="str">
        <f t="shared" si="65"/>
        <v>Labels</v>
      </c>
      <c r="AO326" t="str">
        <f t="shared" si="75"/>
        <v>Same Day</v>
      </c>
      <c r="AP326" t="str">
        <f t="shared" si="76"/>
        <v>Paid</v>
      </c>
      <c r="AQ326" t="str">
        <f t="shared" si="76"/>
        <v>Returned</v>
      </c>
    </row>
    <row r="327" spans="1:43">
      <c r="A327" t="s">
        <v>1268</v>
      </c>
      <c r="B327" s="3">
        <v>45916</v>
      </c>
      <c r="C327" s="3">
        <v>45922</v>
      </c>
      <c r="D327" t="s">
        <v>1269</v>
      </c>
      <c r="E327" t="s">
        <v>222</v>
      </c>
      <c r="F327" t="s">
        <v>182</v>
      </c>
      <c r="G327" t="s">
        <v>123</v>
      </c>
      <c r="H327" t="s">
        <v>186</v>
      </c>
      <c r="I327" t="s">
        <v>187</v>
      </c>
      <c r="J327" t="s">
        <v>160</v>
      </c>
      <c r="K327" t="s">
        <v>166</v>
      </c>
      <c r="L327" t="s">
        <v>1270</v>
      </c>
      <c r="M327" t="s">
        <v>116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117</v>
      </c>
      <c r="U327" t="s">
        <v>118</v>
      </c>
      <c r="V327" s="2">
        <f t="shared" si="66"/>
        <v>0.15</v>
      </c>
      <c r="W327" s="2">
        <f t="shared" si="67"/>
        <v>15602.6</v>
      </c>
      <c r="X327" s="2">
        <f>W327-R327</f>
        <v>3694.08</v>
      </c>
      <c r="Y327" s="2">
        <f t="shared" si="68"/>
        <v>0.236760539910015</v>
      </c>
      <c r="Z327" s="2">
        <f t="shared" si="69"/>
        <v>6</v>
      </c>
      <c r="AA327" s="2">
        <f t="shared" si="70"/>
        <v>9</v>
      </c>
      <c r="AB327" s="2">
        <f t="shared" si="71"/>
        <v>2025</v>
      </c>
      <c r="AC327" s="2" t="str">
        <f t="shared" si="72"/>
        <v>Valid</v>
      </c>
      <c r="AD327" s="2">
        <f t="shared" si="73"/>
        <v>0</v>
      </c>
      <c r="AE327" s="2">
        <f t="shared" si="74"/>
        <v>0</v>
      </c>
      <c r="AH327" t="str">
        <f t="shared" ref="AH327:AN390" si="77">PROPER(TRIM(E327))</f>
        <v>Sneha Kapoor</v>
      </c>
      <c r="AI327" t="str">
        <f t="shared" si="77"/>
        <v>Home Office</v>
      </c>
      <c r="AJ327" t="str">
        <f t="shared" si="77"/>
        <v>East</v>
      </c>
      <c r="AK327" t="str">
        <f t="shared" si="77"/>
        <v>West Bengal</v>
      </c>
      <c r="AL327" t="str">
        <f t="shared" si="77"/>
        <v>Kolkata</v>
      </c>
      <c r="AM327" t="str">
        <f t="shared" si="77"/>
        <v>Technology</v>
      </c>
      <c r="AN327" t="str">
        <f t="shared" si="77"/>
        <v>Copiers</v>
      </c>
      <c r="AO327" t="str">
        <f t="shared" si="75"/>
        <v>Second Class</v>
      </c>
      <c r="AP327" t="str">
        <f t="shared" si="76"/>
        <v>Paid</v>
      </c>
      <c r="AQ327" t="str">
        <f t="shared" si="76"/>
        <v>Completed</v>
      </c>
    </row>
    <row r="328" spans="1:43">
      <c r="A328" t="s">
        <v>1271</v>
      </c>
      <c r="B328" s="3">
        <v>45860</v>
      </c>
      <c r="C328" s="3">
        <v>45860</v>
      </c>
      <c r="D328" t="s">
        <v>1272</v>
      </c>
      <c r="E328" t="s">
        <v>222</v>
      </c>
      <c r="F328" t="s">
        <v>177</v>
      </c>
      <c r="G328" t="s">
        <v>123</v>
      </c>
      <c r="H328" t="s">
        <v>335</v>
      </c>
      <c r="I328" t="s">
        <v>336</v>
      </c>
      <c r="J328" t="s">
        <v>126</v>
      </c>
      <c r="K328" t="s">
        <v>143</v>
      </c>
      <c r="L328" t="s">
        <v>1273</v>
      </c>
      <c r="M328" t="s">
        <v>129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117</v>
      </c>
      <c r="U328" t="s">
        <v>118</v>
      </c>
      <c r="V328" s="2">
        <f t="shared" si="66"/>
        <v>0.05</v>
      </c>
      <c r="W328" s="2">
        <f t="shared" si="67"/>
        <v>15138.487499999999</v>
      </c>
      <c r="X328" s="2">
        <f>W328-R328</f>
        <v>3902.7674999999999</v>
      </c>
      <c r="Y328" s="2">
        <f t="shared" si="68"/>
        <v>0.25780432160082045</v>
      </c>
      <c r="Z328" s="2">
        <f t="shared" si="69"/>
        <v>0</v>
      </c>
      <c r="AA328" s="2">
        <f t="shared" si="70"/>
        <v>7</v>
      </c>
      <c r="AB328" s="2">
        <f t="shared" si="71"/>
        <v>2025</v>
      </c>
      <c r="AC328" s="2" t="str">
        <f t="shared" si="72"/>
        <v>Valid</v>
      </c>
      <c r="AD328" s="2">
        <f t="shared" si="73"/>
        <v>0</v>
      </c>
      <c r="AE328" s="2">
        <f t="shared" si="74"/>
        <v>0</v>
      </c>
      <c r="AH328" t="str">
        <f t="shared" si="77"/>
        <v>Sneha Kapoor</v>
      </c>
      <c r="AI328" t="str">
        <f t="shared" si="77"/>
        <v>Corporate</v>
      </c>
      <c r="AJ328" t="str">
        <f t="shared" si="77"/>
        <v>East</v>
      </c>
      <c r="AK328" t="str">
        <f t="shared" si="77"/>
        <v>Jharkhand</v>
      </c>
      <c r="AL328" t="str">
        <f t="shared" si="77"/>
        <v>Ranchi</v>
      </c>
      <c r="AM328" t="str">
        <f t="shared" si="77"/>
        <v>Furniture</v>
      </c>
      <c r="AN328" t="str">
        <f t="shared" si="77"/>
        <v>Furnishings</v>
      </c>
      <c r="AO328" t="str">
        <f t="shared" si="75"/>
        <v>Same Day</v>
      </c>
      <c r="AP328" t="str">
        <f t="shared" si="76"/>
        <v>Paid</v>
      </c>
      <c r="AQ328" t="str">
        <f t="shared" si="76"/>
        <v>Completed</v>
      </c>
    </row>
    <row r="329" spans="1:43">
      <c r="A329" t="s">
        <v>1274</v>
      </c>
      <c r="B329" s="3">
        <v>45497</v>
      </c>
      <c r="C329" s="3" t="s">
        <v>300</v>
      </c>
      <c r="D329" t="s">
        <v>1275</v>
      </c>
      <c r="E329" t="s">
        <v>132</v>
      </c>
      <c r="F329" t="s">
        <v>109</v>
      </c>
      <c r="G329" t="s">
        <v>149</v>
      </c>
      <c r="H329" t="s">
        <v>111</v>
      </c>
      <c r="I329" t="s">
        <v>197</v>
      </c>
      <c r="J329" t="s">
        <v>160</v>
      </c>
      <c r="K329" t="s">
        <v>161</v>
      </c>
      <c r="L329" t="s">
        <v>1276</v>
      </c>
      <c r="M329" t="s">
        <v>116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199</v>
      </c>
      <c r="U329" t="s">
        <v>44</v>
      </c>
      <c r="V329" s="2">
        <f t="shared" si="66"/>
        <v>0.2</v>
      </c>
      <c r="W329" s="2">
        <f t="shared" si="67"/>
        <v>4402.92</v>
      </c>
      <c r="X329" s="2">
        <f>W329-R329</f>
        <v>1408.98</v>
      </c>
      <c r="Y329" s="2">
        <f t="shared" si="68"/>
        <v>0.32001035676323897</v>
      </c>
      <c r="Z329" s="2" t="str">
        <f t="shared" si="69"/>
        <v/>
      </c>
      <c r="AA329" s="2">
        <f t="shared" si="70"/>
        <v>7</v>
      </c>
      <c r="AB329" s="2">
        <f t="shared" si="71"/>
        <v>2024</v>
      </c>
      <c r="AC329" s="2" t="str">
        <f t="shared" si="72"/>
        <v>Text Value Not Recognized as Date</v>
      </c>
      <c r="AD329" s="2">
        <f t="shared" si="73"/>
        <v>0</v>
      </c>
      <c r="AE329" s="2">
        <f t="shared" si="74"/>
        <v>0</v>
      </c>
      <c r="AH329" t="str">
        <f t="shared" si="77"/>
        <v>Isha Nair</v>
      </c>
      <c r="AI329" t="str">
        <f t="shared" si="77"/>
        <v>Consumer</v>
      </c>
      <c r="AJ329" t="str">
        <f t="shared" si="77"/>
        <v>West</v>
      </c>
      <c r="AK329" t="str">
        <f t="shared" si="77"/>
        <v>Rajasthan</v>
      </c>
      <c r="AL329" t="str">
        <f t="shared" si="77"/>
        <v>Udaipur</v>
      </c>
      <c r="AM329" t="str">
        <f t="shared" si="77"/>
        <v>Technology</v>
      </c>
      <c r="AN329" t="str">
        <f t="shared" si="77"/>
        <v>Accessories</v>
      </c>
      <c r="AO329" t="str">
        <f t="shared" si="75"/>
        <v>Second Class</v>
      </c>
      <c r="AP329" t="str">
        <f t="shared" si="76"/>
        <v>Pending</v>
      </c>
      <c r="AQ329" t="str">
        <f t="shared" si="76"/>
        <v>Cancelled</v>
      </c>
    </row>
    <row r="330" spans="1:43">
      <c r="A330" t="s">
        <v>1277</v>
      </c>
      <c r="B330" s="3">
        <v>45806</v>
      </c>
      <c r="C330" s="3">
        <v>45812</v>
      </c>
      <c r="D330" t="s">
        <v>1278</v>
      </c>
      <c r="E330" t="s">
        <v>256</v>
      </c>
      <c r="F330" t="s">
        <v>109</v>
      </c>
      <c r="G330" t="s">
        <v>149</v>
      </c>
      <c r="H330" t="s">
        <v>150</v>
      </c>
      <c r="I330" t="s">
        <v>151</v>
      </c>
      <c r="J330" t="s">
        <v>113</v>
      </c>
      <c r="K330" t="s">
        <v>213</v>
      </c>
      <c r="L330" t="s">
        <v>1279</v>
      </c>
      <c r="M330" t="s">
        <v>135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117</v>
      </c>
      <c r="U330" t="s">
        <v>118</v>
      </c>
      <c r="V330" s="2">
        <f t="shared" si="66"/>
        <v>0</v>
      </c>
      <c r="W330" s="2">
        <f t="shared" si="67"/>
        <v>18604.079999999998</v>
      </c>
      <c r="X330" s="2">
        <f>W330-R330</f>
        <v>2769.7799999999988</v>
      </c>
      <c r="Y330" s="2">
        <f t="shared" si="68"/>
        <v>0.1488802456235406</v>
      </c>
      <c r="Z330" s="2">
        <f t="shared" si="69"/>
        <v>6</v>
      </c>
      <c r="AA330" s="2">
        <f t="shared" si="70"/>
        <v>5</v>
      </c>
      <c r="AB330" s="2">
        <f t="shared" si="71"/>
        <v>2025</v>
      </c>
      <c r="AC330" s="2" t="str">
        <f t="shared" si="72"/>
        <v>Valid</v>
      </c>
      <c r="AD330" s="2">
        <f t="shared" si="73"/>
        <v>0</v>
      </c>
      <c r="AE330" s="2">
        <f t="shared" si="74"/>
        <v>0</v>
      </c>
      <c r="AH330" t="str">
        <f t="shared" si="77"/>
        <v>Diya Patel</v>
      </c>
      <c r="AI330" t="str">
        <f t="shared" si="77"/>
        <v>Consumer</v>
      </c>
      <c r="AJ330" t="str">
        <f t="shared" si="77"/>
        <v>West</v>
      </c>
      <c r="AK330" t="str">
        <f t="shared" si="77"/>
        <v>Maharashtra</v>
      </c>
      <c r="AL330" t="str">
        <f t="shared" si="77"/>
        <v>Mumbai</v>
      </c>
      <c r="AM330" t="str">
        <f t="shared" si="77"/>
        <v>Office Supplies</v>
      </c>
      <c r="AN330" t="str">
        <f t="shared" si="77"/>
        <v>Storage</v>
      </c>
      <c r="AO330" t="str">
        <f t="shared" si="75"/>
        <v>First Class</v>
      </c>
      <c r="AP330" t="str">
        <f t="shared" si="76"/>
        <v>Paid</v>
      </c>
      <c r="AQ330" t="str">
        <f t="shared" si="76"/>
        <v>Completed</v>
      </c>
    </row>
    <row r="331" spans="1:43">
      <c r="A331" t="s">
        <v>1280</v>
      </c>
      <c r="B331" s="3">
        <v>45789</v>
      </c>
      <c r="C331" s="3">
        <v>45795</v>
      </c>
      <c r="D331" t="s">
        <v>1281</v>
      </c>
      <c r="E331" t="s">
        <v>165</v>
      </c>
      <c r="F331" t="s">
        <v>122</v>
      </c>
      <c r="G331" t="s">
        <v>149</v>
      </c>
      <c r="H331" t="s">
        <v>150</v>
      </c>
      <c r="I331" t="s">
        <v>151</v>
      </c>
      <c r="J331" t="s">
        <v>113</v>
      </c>
      <c r="K331" t="s">
        <v>213</v>
      </c>
      <c r="L331" t="s">
        <v>1282</v>
      </c>
      <c r="M331" t="s">
        <v>145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117</v>
      </c>
      <c r="U331" t="s">
        <v>118</v>
      </c>
      <c r="V331" s="2">
        <f t="shared" si="66"/>
        <v>0.05</v>
      </c>
      <c r="W331" s="2">
        <f t="shared" si="67"/>
        <v>15401.513999999999</v>
      </c>
      <c r="X331" s="2">
        <f>W331-R331</f>
        <v>6751.0939999999991</v>
      </c>
      <c r="Y331" s="2">
        <f t="shared" si="68"/>
        <v>0.43833963336331738</v>
      </c>
      <c r="Z331" s="2">
        <f t="shared" si="69"/>
        <v>6</v>
      </c>
      <c r="AA331" s="2">
        <f t="shared" si="70"/>
        <v>5</v>
      </c>
      <c r="AB331" s="2">
        <f t="shared" si="71"/>
        <v>2025</v>
      </c>
      <c r="AC331" s="2" t="str">
        <f t="shared" si="72"/>
        <v>Valid</v>
      </c>
      <c r="AD331" s="2">
        <f t="shared" si="73"/>
        <v>0</v>
      </c>
      <c r="AE331" s="2">
        <f t="shared" si="74"/>
        <v>0</v>
      </c>
      <c r="AH331" t="str">
        <f t="shared" si="77"/>
        <v>Neha Gupta</v>
      </c>
      <c r="AI331" t="str">
        <f t="shared" si="77"/>
        <v>Small Business</v>
      </c>
      <c r="AJ331" t="str">
        <f t="shared" si="77"/>
        <v>West</v>
      </c>
      <c r="AK331" t="str">
        <f t="shared" si="77"/>
        <v>Maharashtra</v>
      </c>
      <c r="AL331" t="str">
        <f t="shared" si="77"/>
        <v>Mumbai</v>
      </c>
      <c r="AM331" t="str">
        <f t="shared" si="77"/>
        <v>Office Supplies</v>
      </c>
      <c r="AN331" t="str">
        <f t="shared" si="77"/>
        <v>Storage</v>
      </c>
      <c r="AO331" t="str">
        <f t="shared" si="75"/>
        <v>Standard Class</v>
      </c>
      <c r="AP331" t="str">
        <f t="shared" si="76"/>
        <v>Paid</v>
      </c>
      <c r="AQ331" t="str">
        <f t="shared" si="76"/>
        <v>Completed</v>
      </c>
    </row>
    <row r="332" spans="1:43">
      <c r="A332" t="s">
        <v>1283</v>
      </c>
      <c r="B332" s="3">
        <v>45428</v>
      </c>
      <c r="C332" s="3">
        <v>45436</v>
      </c>
      <c r="D332" t="s">
        <v>1284</v>
      </c>
      <c r="E332" t="s">
        <v>139</v>
      </c>
      <c r="F332" t="s">
        <v>182</v>
      </c>
      <c r="G332" t="s">
        <v>110</v>
      </c>
      <c r="H332" t="s">
        <v>211</v>
      </c>
      <c r="I332" t="s">
        <v>212</v>
      </c>
      <c r="J332" t="s">
        <v>160</v>
      </c>
      <c r="K332" t="s">
        <v>161</v>
      </c>
      <c r="L332" t="s">
        <v>1285</v>
      </c>
      <c r="M332" t="s">
        <v>129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248</v>
      </c>
      <c r="U332" t="s">
        <v>44</v>
      </c>
      <c r="V332" s="2">
        <f t="shared" si="66"/>
        <v>0</v>
      </c>
      <c r="W332" s="2">
        <f t="shared" si="67"/>
        <v>783.09</v>
      </c>
      <c r="X332" s="2">
        <f>W332-R332</f>
        <v>279.20000000000005</v>
      </c>
      <c r="Y332" s="2">
        <f t="shared" si="68"/>
        <v>0.3565362857398256</v>
      </c>
      <c r="Z332" s="2">
        <f t="shared" si="69"/>
        <v>8</v>
      </c>
      <c r="AA332" s="2">
        <f t="shared" si="70"/>
        <v>5</v>
      </c>
      <c r="AB332" s="2">
        <f t="shared" si="71"/>
        <v>2024</v>
      </c>
      <c r="AC332" s="2" t="str">
        <f t="shared" si="72"/>
        <v>Valid</v>
      </c>
      <c r="AD332" s="2">
        <f t="shared" si="73"/>
        <v>0</v>
      </c>
      <c r="AE332" s="2">
        <f t="shared" si="74"/>
        <v>0</v>
      </c>
      <c r="AH332" t="str">
        <f t="shared" si="77"/>
        <v>Arjun Bose</v>
      </c>
      <c r="AI332" t="str">
        <f t="shared" si="77"/>
        <v>Home Office</v>
      </c>
      <c r="AJ332" t="str">
        <f t="shared" si="77"/>
        <v>North</v>
      </c>
      <c r="AK332" t="str">
        <f t="shared" si="77"/>
        <v>Punjab</v>
      </c>
      <c r="AL332" t="str">
        <f t="shared" si="77"/>
        <v>Ludhiana</v>
      </c>
      <c r="AM332" t="str">
        <f t="shared" si="77"/>
        <v>Technology</v>
      </c>
      <c r="AN332" t="str">
        <f t="shared" si="77"/>
        <v>Accessories</v>
      </c>
      <c r="AO332" t="str">
        <f t="shared" si="75"/>
        <v>Same Day</v>
      </c>
      <c r="AP332" t="str">
        <f t="shared" si="76"/>
        <v>Failed</v>
      </c>
      <c r="AQ332" t="str">
        <f t="shared" si="76"/>
        <v>Cancelled</v>
      </c>
    </row>
    <row r="333" spans="1:43">
      <c r="A333" t="s">
        <v>1286</v>
      </c>
      <c r="B333" s="3">
        <v>45394</v>
      </c>
      <c r="C333" s="3">
        <v>45632</v>
      </c>
      <c r="D333" t="s">
        <v>1287</v>
      </c>
      <c r="E333" t="s">
        <v>222</v>
      </c>
      <c r="F333" t="s">
        <v>182</v>
      </c>
      <c r="G333" t="s">
        <v>123</v>
      </c>
      <c r="H333" t="s">
        <v>124</v>
      </c>
      <c r="I333" t="s">
        <v>125</v>
      </c>
      <c r="J333" t="s">
        <v>113</v>
      </c>
      <c r="K333" t="s">
        <v>246</v>
      </c>
      <c r="L333" t="s">
        <v>1288</v>
      </c>
      <c r="M333" t="s">
        <v>116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117</v>
      </c>
      <c r="U333" t="s">
        <v>190</v>
      </c>
      <c r="V333" s="2">
        <f t="shared" si="66"/>
        <v>0</v>
      </c>
      <c r="W333" s="2">
        <f t="shared" si="67"/>
        <v>10742.64</v>
      </c>
      <c r="X333" s="2">
        <f>W333-R333</f>
        <v>4265.2699999999995</v>
      </c>
      <c r="Y333" s="2">
        <f t="shared" si="68"/>
        <v>0.39704113700170535</v>
      </c>
      <c r="Z333" s="2">
        <f t="shared" si="69"/>
        <v>238</v>
      </c>
      <c r="AA333" s="2">
        <f t="shared" si="70"/>
        <v>4</v>
      </c>
      <c r="AB333" s="2">
        <f t="shared" si="71"/>
        <v>2024</v>
      </c>
      <c r="AC333" s="2" t="str">
        <f t="shared" si="72"/>
        <v>Conflicting Duplicate Order ID</v>
      </c>
      <c r="AD333" s="2">
        <f t="shared" si="73"/>
        <v>0</v>
      </c>
      <c r="AE333" s="2">
        <f t="shared" si="74"/>
        <v>0</v>
      </c>
      <c r="AH333" t="str">
        <f t="shared" si="77"/>
        <v>Sneha Kapoor</v>
      </c>
      <c r="AI333" t="str">
        <f t="shared" si="77"/>
        <v>Home Office</v>
      </c>
      <c r="AJ333" t="str">
        <f t="shared" si="77"/>
        <v>East</v>
      </c>
      <c r="AK333" t="str">
        <f t="shared" si="77"/>
        <v>Odisha</v>
      </c>
      <c r="AL333" t="str">
        <f t="shared" si="77"/>
        <v>Bhubaneswar</v>
      </c>
      <c r="AM333" t="str">
        <f t="shared" si="77"/>
        <v>Office Supplies</v>
      </c>
      <c r="AN333" t="str">
        <f t="shared" si="77"/>
        <v>Binders</v>
      </c>
      <c r="AO333" t="str">
        <f t="shared" si="75"/>
        <v>Second Class</v>
      </c>
      <c r="AP333" t="str">
        <f t="shared" si="76"/>
        <v>Paid</v>
      </c>
      <c r="AQ333" t="str">
        <f t="shared" si="76"/>
        <v>Returned</v>
      </c>
    </row>
    <row r="334" spans="1:43">
      <c r="A334" t="s">
        <v>1289</v>
      </c>
      <c r="B334" s="3">
        <v>45804</v>
      </c>
      <c r="C334" s="3">
        <v>45805</v>
      </c>
      <c r="D334" t="s">
        <v>1290</v>
      </c>
      <c r="E334" t="s">
        <v>218</v>
      </c>
      <c r="F334" t="s">
        <v>109</v>
      </c>
      <c r="G334" t="s">
        <v>140</v>
      </c>
      <c r="H334" t="s">
        <v>171</v>
      </c>
      <c r="I334" t="s">
        <v>172</v>
      </c>
      <c r="J334" t="s">
        <v>160</v>
      </c>
      <c r="K334" t="s">
        <v>1291</v>
      </c>
      <c r="L334" t="s">
        <v>1292</v>
      </c>
      <c r="M334" t="s">
        <v>116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117</v>
      </c>
      <c r="U334" t="s">
        <v>118</v>
      </c>
      <c r="V334" s="2">
        <f t="shared" si="66"/>
        <v>0</v>
      </c>
      <c r="W334" s="2">
        <f t="shared" si="67"/>
        <v>7823.92</v>
      </c>
      <c r="X334" s="2">
        <f>W334-R334</f>
        <v>1789.29</v>
      </c>
      <c r="Y334" s="2">
        <f t="shared" si="68"/>
        <v>0.22869482305545047</v>
      </c>
      <c r="Z334" s="2">
        <f t="shared" si="69"/>
        <v>1</v>
      </c>
      <c r="AA334" s="2">
        <f t="shared" si="70"/>
        <v>5</v>
      </c>
      <c r="AB334" s="2">
        <f t="shared" si="71"/>
        <v>2025</v>
      </c>
      <c r="AC334" s="2" t="str">
        <f t="shared" si="72"/>
        <v>Valid</v>
      </c>
      <c r="AD334" s="2">
        <f t="shared" si="73"/>
        <v>0</v>
      </c>
      <c r="AE334" s="2">
        <f t="shared" si="74"/>
        <v>0</v>
      </c>
      <c r="AH334" t="str">
        <f t="shared" si="77"/>
        <v>Aarav Sharma</v>
      </c>
      <c r="AI334" t="str">
        <f t="shared" si="77"/>
        <v>Consumer</v>
      </c>
      <c r="AJ334" t="str">
        <f t="shared" si="77"/>
        <v>South</v>
      </c>
      <c r="AK334" t="str">
        <f t="shared" si="77"/>
        <v>Andhra Pradesh</v>
      </c>
      <c r="AL334" t="str">
        <f t="shared" si="77"/>
        <v>Vijayawada</v>
      </c>
      <c r="AM334" t="str">
        <f t="shared" si="77"/>
        <v>Technology</v>
      </c>
      <c r="AN334" t="str">
        <f t="shared" si="77"/>
        <v>Machines</v>
      </c>
      <c r="AO334" t="str">
        <f t="shared" si="75"/>
        <v>Second Class</v>
      </c>
      <c r="AP334" t="str">
        <f t="shared" si="76"/>
        <v>Paid</v>
      </c>
      <c r="AQ334" t="str">
        <f t="shared" si="76"/>
        <v>Completed</v>
      </c>
    </row>
    <row r="335" spans="1:43">
      <c r="A335" t="s">
        <v>1293</v>
      </c>
      <c r="B335" s="3">
        <v>45830</v>
      </c>
      <c r="C335" s="3">
        <v>45835</v>
      </c>
      <c r="D335" t="s">
        <v>1294</v>
      </c>
      <c r="E335" t="s">
        <v>232</v>
      </c>
      <c r="F335" t="s">
        <v>182</v>
      </c>
      <c r="H335" t="s">
        <v>465</v>
      </c>
      <c r="I335" t="s">
        <v>466</v>
      </c>
      <c r="J335" t="s">
        <v>160</v>
      </c>
      <c r="K335" t="s">
        <v>266</v>
      </c>
      <c r="L335" t="s">
        <v>1295</v>
      </c>
      <c r="M335" t="s">
        <v>135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117</v>
      </c>
      <c r="U335" t="s">
        <v>118</v>
      </c>
      <c r="V335" s="2">
        <f t="shared" si="66"/>
        <v>0</v>
      </c>
      <c r="W335" s="2">
        <f t="shared" si="67"/>
        <v>2936.1</v>
      </c>
      <c r="X335" s="2">
        <f>W335-R335</f>
        <v>1013</v>
      </c>
      <c r="Y335" s="2">
        <f t="shared" si="68"/>
        <v>0.34501549674738602</v>
      </c>
      <c r="Z335" s="2">
        <f t="shared" si="69"/>
        <v>5</v>
      </c>
      <c r="AA335" s="2">
        <f t="shared" si="70"/>
        <v>6</v>
      </c>
      <c r="AB335" s="2">
        <f t="shared" si="71"/>
        <v>2025</v>
      </c>
      <c r="AC335" s="2" t="str">
        <f t="shared" si="72"/>
        <v>Missing region</v>
      </c>
      <c r="AD335" s="2">
        <f t="shared" si="73"/>
        <v>0</v>
      </c>
      <c r="AE335" s="2">
        <f t="shared" si="74"/>
        <v>0</v>
      </c>
      <c r="AH335" t="str">
        <f t="shared" si="77"/>
        <v>Rohan Mehta</v>
      </c>
      <c r="AI335" t="str">
        <f t="shared" si="77"/>
        <v>Home Office</v>
      </c>
      <c r="AJ335" t="s">
        <v>306</v>
      </c>
      <c r="AK335" t="str">
        <f t="shared" si="77"/>
        <v>Delhi</v>
      </c>
      <c r="AL335" t="str">
        <f t="shared" si="77"/>
        <v>New Delhi</v>
      </c>
      <c r="AM335" t="str">
        <f t="shared" si="77"/>
        <v>Technology</v>
      </c>
      <c r="AN335" t="str">
        <f t="shared" si="77"/>
        <v>Phones</v>
      </c>
      <c r="AO335" t="str">
        <f t="shared" si="75"/>
        <v>First Class</v>
      </c>
      <c r="AP335" t="str">
        <f t="shared" si="76"/>
        <v>Paid</v>
      </c>
      <c r="AQ335" t="str">
        <f t="shared" si="76"/>
        <v>Completed</v>
      </c>
    </row>
    <row r="336" spans="1:43">
      <c r="A336" t="s">
        <v>1296</v>
      </c>
      <c r="B336" s="3">
        <v>45547</v>
      </c>
      <c r="C336" s="3" t="s">
        <v>1297</v>
      </c>
      <c r="D336" t="s">
        <v>1298</v>
      </c>
      <c r="E336" t="s">
        <v>148</v>
      </c>
      <c r="F336" t="s">
        <v>109</v>
      </c>
      <c r="G336" t="s">
        <v>123</v>
      </c>
      <c r="H336" t="s">
        <v>335</v>
      </c>
      <c r="I336" t="s">
        <v>336</v>
      </c>
      <c r="J336" t="s">
        <v>113</v>
      </c>
      <c r="K336" t="s">
        <v>213</v>
      </c>
      <c r="L336" t="s">
        <v>1299</v>
      </c>
      <c r="M336" t="s">
        <v>135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117</v>
      </c>
      <c r="U336" t="s">
        <v>118</v>
      </c>
      <c r="V336" s="2">
        <f t="shared" si="66"/>
        <v>0.25</v>
      </c>
      <c r="W336" s="2">
        <f t="shared" si="67"/>
        <v>12969.922500000001</v>
      </c>
      <c r="X336" s="2">
        <f>W336-R336</f>
        <v>3571.4625000000015</v>
      </c>
      <c r="Y336" s="2">
        <f t="shared" si="68"/>
        <v>0.27536498386941027</v>
      </c>
      <c r="Z336" s="2" t="str">
        <f t="shared" si="69"/>
        <v/>
      </c>
      <c r="AA336" s="2">
        <f t="shared" si="70"/>
        <v>9</v>
      </c>
      <c r="AB336" s="2">
        <f t="shared" si="71"/>
        <v>2024</v>
      </c>
      <c r="AC336" s="2" t="str">
        <f t="shared" si="72"/>
        <v>Text Value Not Recognized as Date</v>
      </c>
      <c r="AD336" s="2">
        <f t="shared" si="73"/>
        <v>0</v>
      </c>
      <c r="AE336" s="2">
        <f t="shared" si="74"/>
        <v>0</v>
      </c>
      <c r="AH336" t="str">
        <f t="shared" si="77"/>
        <v>Ananya Rao</v>
      </c>
      <c r="AI336" t="str">
        <f t="shared" si="77"/>
        <v>Consumer</v>
      </c>
      <c r="AJ336" t="str">
        <f t="shared" si="77"/>
        <v>East</v>
      </c>
      <c r="AK336" t="str">
        <f t="shared" si="77"/>
        <v>Jharkhand</v>
      </c>
      <c r="AL336" t="str">
        <f t="shared" si="77"/>
        <v>Ranchi</v>
      </c>
      <c r="AM336" t="str">
        <f t="shared" si="77"/>
        <v>Office Supplies</v>
      </c>
      <c r="AN336" t="str">
        <f t="shared" si="77"/>
        <v>Storage</v>
      </c>
      <c r="AO336" t="str">
        <f t="shared" si="75"/>
        <v>First Class</v>
      </c>
      <c r="AP336" t="str">
        <f t="shared" si="76"/>
        <v>Paid</v>
      </c>
      <c r="AQ336" t="str">
        <f t="shared" si="76"/>
        <v>Completed</v>
      </c>
    </row>
    <row r="337" spans="1:43">
      <c r="A337" t="s">
        <v>1300</v>
      </c>
      <c r="B337" s="3">
        <v>45824</v>
      </c>
      <c r="C337" s="3">
        <v>45826</v>
      </c>
      <c r="D337" t="s">
        <v>1301</v>
      </c>
      <c r="E337" t="s">
        <v>207</v>
      </c>
      <c r="F337" t="s">
        <v>182</v>
      </c>
      <c r="G337" t="s">
        <v>149</v>
      </c>
      <c r="H337" t="s">
        <v>158</v>
      </c>
      <c r="I337" t="s">
        <v>159</v>
      </c>
      <c r="J337" t="s">
        <v>113</v>
      </c>
      <c r="K337" t="s">
        <v>114</v>
      </c>
      <c r="L337" t="s">
        <v>1302</v>
      </c>
      <c r="M337" t="s">
        <v>135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117</v>
      </c>
      <c r="U337" t="s">
        <v>118</v>
      </c>
      <c r="V337" s="2">
        <f t="shared" si="66"/>
        <v>0.1</v>
      </c>
      <c r="W337" s="2">
        <f t="shared" si="67"/>
        <v>11581.299000000001</v>
      </c>
      <c r="X337" s="2">
        <f>W337-R337</f>
        <v>4751.8690000000006</v>
      </c>
      <c r="Y337" s="2">
        <f t="shared" si="68"/>
        <v>0.41030535521101735</v>
      </c>
      <c r="Z337" s="2">
        <f t="shared" si="69"/>
        <v>2</v>
      </c>
      <c r="AA337" s="2">
        <f t="shared" si="70"/>
        <v>6</v>
      </c>
      <c r="AB337" s="2">
        <f t="shared" si="71"/>
        <v>2025</v>
      </c>
      <c r="AC337" s="2" t="str">
        <f t="shared" si="72"/>
        <v>Conflicting Duplicate Order ID</v>
      </c>
      <c r="AD337" s="2">
        <f t="shared" si="73"/>
        <v>0</v>
      </c>
      <c r="AE337" s="2">
        <f t="shared" si="74"/>
        <v>0</v>
      </c>
      <c r="AH337" t="str">
        <f t="shared" si="77"/>
        <v>Rahul Verma</v>
      </c>
      <c r="AI337" t="str">
        <f t="shared" si="77"/>
        <v>Home Office</v>
      </c>
      <c r="AJ337" t="str">
        <f t="shared" si="77"/>
        <v>West</v>
      </c>
      <c r="AK337" t="str">
        <f t="shared" si="77"/>
        <v>Madhya Pradesh</v>
      </c>
      <c r="AL337" t="str">
        <f t="shared" si="77"/>
        <v>Indore</v>
      </c>
      <c r="AM337" t="str">
        <f t="shared" si="77"/>
        <v>Office Supplies</v>
      </c>
      <c r="AN337" t="str">
        <f t="shared" si="77"/>
        <v>Paper</v>
      </c>
      <c r="AO337" t="str">
        <f t="shared" si="75"/>
        <v>First Class</v>
      </c>
      <c r="AP337" t="str">
        <f t="shared" si="76"/>
        <v>Paid</v>
      </c>
      <c r="AQ337" t="str">
        <f t="shared" si="76"/>
        <v>Completed</v>
      </c>
    </row>
    <row r="338" spans="1:43">
      <c r="A338" t="s">
        <v>1303</v>
      </c>
      <c r="B338" s="3" t="s">
        <v>330</v>
      </c>
      <c r="C338" s="3">
        <v>45372</v>
      </c>
      <c r="D338" t="s">
        <v>1037</v>
      </c>
      <c r="E338" t="s">
        <v>218</v>
      </c>
      <c r="F338" t="s">
        <v>109</v>
      </c>
      <c r="G338" t="s">
        <v>110</v>
      </c>
      <c r="H338" t="s">
        <v>111</v>
      </c>
      <c r="I338" t="s">
        <v>112</v>
      </c>
      <c r="J338" t="s">
        <v>160</v>
      </c>
      <c r="K338" t="s">
        <v>166</v>
      </c>
      <c r="L338" t="s">
        <v>1304</v>
      </c>
      <c r="M338" t="s">
        <v>135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117</v>
      </c>
      <c r="U338" t="s">
        <v>118</v>
      </c>
      <c r="V338" s="2">
        <f t="shared" si="66"/>
        <v>0</v>
      </c>
      <c r="W338" s="2">
        <f t="shared" si="67"/>
        <v>15940.56</v>
      </c>
      <c r="X338" s="2">
        <f>W338-R338</f>
        <v>3593.41</v>
      </c>
      <c r="Y338" s="2">
        <f t="shared" si="68"/>
        <v>0.2254255810335396</v>
      </c>
      <c r="Z338" s="2" t="str">
        <f t="shared" si="69"/>
        <v/>
      </c>
      <c r="AA338" s="2" t="e">
        <f t="shared" si="70"/>
        <v>#VALUE!</v>
      </c>
      <c r="AB338" s="2" t="e">
        <f t="shared" si="71"/>
        <v>#VALUE!</v>
      </c>
      <c r="AC338" s="2" t="str">
        <f t="shared" si="72"/>
        <v>Text Value Not Recognized as Date</v>
      </c>
      <c r="AD338" s="2">
        <f t="shared" si="73"/>
        <v>0</v>
      </c>
      <c r="AE338" s="2">
        <f t="shared" si="74"/>
        <v>0</v>
      </c>
      <c r="AH338" t="str">
        <f t="shared" si="77"/>
        <v>Aarav Sharma</v>
      </c>
      <c r="AI338" t="str">
        <f t="shared" si="77"/>
        <v>Consumer</v>
      </c>
      <c r="AJ338" t="str">
        <f t="shared" si="77"/>
        <v>North</v>
      </c>
      <c r="AK338" t="str">
        <f t="shared" si="77"/>
        <v>Rajasthan</v>
      </c>
      <c r="AL338" t="str">
        <f t="shared" si="77"/>
        <v>Jaipur</v>
      </c>
      <c r="AM338" t="str">
        <f t="shared" si="77"/>
        <v>Technology</v>
      </c>
      <c r="AN338" t="str">
        <f t="shared" si="77"/>
        <v>Copiers</v>
      </c>
      <c r="AO338" t="str">
        <f t="shared" si="75"/>
        <v>First Class</v>
      </c>
      <c r="AP338" t="str">
        <f t="shared" si="76"/>
        <v>Paid</v>
      </c>
      <c r="AQ338" t="str">
        <f t="shared" si="76"/>
        <v>Completed</v>
      </c>
    </row>
    <row r="339" spans="1:43">
      <c r="A339" t="s">
        <v>1305</v>
      </c>
      <c r="B339" s="3">
        <v>45516</v>
      </c>
      <c r="C339" s="3">
        <v>45522</v>
      </c>
      <c r="D339" t="s">
        <v>1306</v>
      </c>
      <c r="E339" t="s">
        <v>148</v>
      </c>
      <c r="F339" t="s">
        <v>109</v>
      </c>
      <c r="G339" t="s">
        <v>123</v>
      </c>
      <c r="H339" t="s">
        <v>260</v>
      </c>
      <c r="I339" t="s">
        <v>261</v>
      </c>
      <c r="J339" t="s">
        <v>113</v>
      </c>
      <c r="K339" t="s">
        <v>178</v>
      </c>
      <c r="L339" t="s">
        <v>1307</v>
      </c>
      <c r="M339" t="s">
        <v>129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117</v>
      </c>
      <c r="U339" t="s">
        <v>118</v>
      </c>
      <c r="V339" s="2">
        <f t="shared" si="66"/>
        <v>0</v>
      </c>
      <c r="W339" s="2">
        <f t="shared" si="67"/>
        <v>7090.4400000000005</v>
      </c>
      <c r="X339" s="2">
        <f>W339-R339</f>
        <v>1418.17</v>
      </c>
      <c r="Y339" s="2">
        <f t="shared" si="68"/>
        <v>0.20001156486762456</v>
      </c>
      <c r="Z339" s="2">
        <f t="shared" si="69"/>
        <v>6</v>
      </c>
      <c r="AA339" s="2">
        <f t="shared" si="70"/>
        <v>8</v>
      </c>
      <c r="AB339" s="2">
        <f t="shared" si="71"/>
        <v>2024</v>
      </c>
      <c r="AC339" s="2" t="str">
        <f t="shared" si="72"/>
        <v>Valid</v>
      </c>
      <c r="AD339" s="2">
        <f t="shared" si="73"/>
        <v>0</v>
      </c>
      <c r="AE339" s="2">
        <f t="shared" si="74"/>
        <v>1</v>
      </c>
      <c r="AH339" t="str">
        <f t="shared" si="77"/>
        <v>Ananya Rao</v>
      </c>
      <c r="AI339" t="str">
        <f t="shared" si="77"/>
        <v>Consumer</v>
      </c>
      <c r="AJ339" t="str">
        <f t="shared" si="77"/>
        <v>East</v>
      </c>
      <c r="AK339" t="str">
        <f t="shared" si="77"/>
        <v>Assam</v>
      </c>
      <c r="AL339" t="str">
        <f t="shared" si="77"/>
        <v>Guwahati</v>
      </c>
      <c r="AM339" t="str">
        <f t="shared" si="77"/>
        <v>Office Supplies</v>
      </c>
      <c r="AN339" t="str">
        <f t="shared" si="77"/>
        <v>Labels</v>
      </c>
      <c r="AO339" t="str">
        <f t="shared" si="75"/>
        <v>Same Day</v>
      </c>
      <c r="AP339" t="str">
        <f t="shared" si="76"/>
        <v>Paid</v>
      </c>
      <c r="AQ339" t="str">
        <f t="shared" si="76"/>
        <v>Completed</v>
      </c>
    </row>
    <row r="340" spans="1:43">
      <c r="A340" t="s">
        <v>1308</v>
      </c>
      <c r="B340" s="3">
        <v>45516</v>
      </c>
      <c r="C340" s="3">
        <v>45634</v>
      </c>
      <c r="D340" t="s">
        <v>1309</v>
      </c>
      <c r="E340" t="s">
        <v>139</v>
      </c>
      <c r="F340" t="s">
        <v>122</v>
      </c>
      <c r="G340" t="s">
        <v>140</v>
      </c>
      <c r="H340" t="s">
        <v>171</v>
      </c>
      <c r="I340" t="s">
        <v>172</v>
      </c>
      <c r="J340" t="s">
        <v>160</v>
      </c>
      <c r="K340" t="s">
        <v>161</v>
      </c>
      <c r="L340" t="s">
        <v>1310</v>
      </c>
      <c r="M340" t="s">
        <v>135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117</v>
      </c>
      <c r="U340" t="s">
        <v>118</v>
      </c>
      <c r="V340" s="2">
        <f t="shared" si="66"/>
        <v>0.25</v>
      </c>
      <c r="W340" s="2">
        <f t="shared" si="67"/>
        <v>26414.159999999996</v>
      </c>
      <c r="X340" s="2">
        <f>W340-R340</f>
        <v>4591.6299999999974</v>
      </c>
      <c r="Y340" s="2">
        <f t="shared" si="68"/>
        <v>0.17383214154832097</v>
      </c>
      <c r="Z340" s="2">
        <f t="shared" si="69"/>
        <v>118</v>
      </c>
      <c r="AA340" s="2">
        <f t="shared" si="70"/>
        <v>8</v>
      </c>
      <c r="AB340" s="2">
        <f t="shared" si="71"/>
        <v>2024</v>
      </c>
      <c r="AC340" s="2" t="str">
        <f t="shared" si="72"/>
        <v>Valid</v>
      </c>
      <c r="AD340" s="2">
        <f t="shared" si="73"/>
        <v>0</v>
      </c>
      <c r="AE340" s="2">
        <f t="shared" si="74"/>
        <v>0</v>
      </c>
      <c r="AH340" t="str">
        <f t="shared" si="77"/>
        <v>Arjun Bose</v>
      </c>
      <c r="AI340" t="str">
        <f t="shared" si="77"/>
        <v>Small Business</v>
      </c>
      <c r="AJ340" t="str">
        <f t="shared" si="77"/>
        <v>South</v>
      </c>
      <c r="AK340" t="str">
        <f t="shared" si="77"/>
        <v>Andhra Pradesh</v>
      </c>
      <c r="AL340" t="str">
        <f t="shared" si="77"/>
        <v>Vijayawada</v>
      </c>
      <c r="AM340" t="str">
        <f t="shared" si="77"/>
        <v>Technology</v>
      </c>
      <c r="AN340" t="str">
        <f t="shared" si="77"/>
        <v>Accessories</v>
      </c>
      <c r="AO340" t="str">
        <f t="shared" si="75"/>
        <v>First Class</v>
      </c>
      <c r="AP340" t="str">
        <f t="shared" si="76"/>
        <v>Paid</v>
      </c>
      <c r="AQ340" t="str">
        <f t="shared" si="76"/>
        <v>Completed</v>
      </c>
    </row>
    <row r="341" spans="1:43">
      <c r="A341" t="s">
        <v>1311</v>
      </c>
      <c r="B341" s="3" t="s">
        <v>751</v>
      </c>
      <c r="C341" s="3" t="s">
        <v>1312</v>
      </c>
      <c r="D341" t="s">
        <v>1313</v>
      </c>
      <c r="E341" t="s">
        <v>165</v>
      </c>
      <c r="F341" t="s">
        <v>177</v>
      </c>
      <c r="G341" t="s">
        <v>123</v>
      </c>
      <c r="H341" t="s">
        <v>335</v>
      </c>
      <c r="I341" t="s">
        <v>336</v>
      </c>
      <c r="J341" t="s">
        <v>126</v>
      </c>
      <c r="K341" t="s">
        <v>252</v>
      </c>
      <c r="L341" t="s">
        <v>1314</v>
      </c>
      <c r="M341" t="s">
        <v>145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117</v>
      </c>
      <c r="U341" t="s">
        <v>118</v>
      </c>
      <c r="V341" s="2">
        <f t="shared" si="66"/>
        <v>0.2</v>
      </c>
      <c r="W341" s="2">
        <f t="shared" si="67"/>
        <v>20900.864000000001</v>
      </c>
      <c r="X341" s="2">
        <f>W341-R341</f>
        <v>8387.724000000002</v>
      </c>
      <c r="Y341" s="2">
        <f t="shared" si="68"/>
        <v>0.40130991714026759</v>
      </c>
      <c r="Z341" s="2" t="str">
        <f t="shared" si="69"/>
        <v/>
      </c>
      <c r="AA341" s="2" t="e">
        <f t="shared" si="70"/>
        <v>#VALUE!</v>
      </c>
      <c r="AB341" s="2" t="e">
        <f t="shared" si="71"/>
        <v>#VALUE!</v>
      </c>
      <c r="AC341" s="2" t="str">
        <f t="shared" si="72"/>
        <v>Text Value Not Recognized as Date</v>
      </c>
      <c r="AD341" s="2">
        <f t="shared" si="73"/>
        <v>0</v>
      </c>
      <c r="AE341" s="2">
        <f t="shared" si="74"/>
        <v>0</v>
      </c>
      <c r="AH341" t="str">
        <f t="shared" si="77"/>
        <v>Neha Gupta</v>
      </c>
      <c r="AI341" t="str">
        <f t="shared" si="77"/>
        <v>Corporate</v>
      </c>
      <c r="AJ341" t="str">
        <f t="shared" si="77"/>
        <v>East</v>
      </c>
      <c r="AK341" t="str">
        <f t="shared" si="77"/>
        <v>Jharkhand</v>
      </c>
      <c r="AL341" t="str">
        <f t="shared" si="77"/>
        <v>Ranchi</v>
      </c>
      <c r="AM341" t="str">
        <f t="shared" si="77"/>
        <v>Furniture</v>
      </c>
      <c r="AN341" t="str">
        <f t="shared" si="77"/>
        <v>Bookcases</v>
      </c>
      <c r="AO341" t="str">
        <f t="shared" si="75"/>
        <v>Standard Class</v>
      </c>
      <c r="AP341" t="str">
        <f t="shared" si="76"/>
        <v>Paid</v>
      </c>
      <c r="AQ341" t="str">
        <f t="shared" si="76"/>
        <v>Completed</v>
      </c>
    </row>
    <row r="342" spans="1:43">
      <c r="A342" t="s">
        <v>1315</v>
      </c>
      <c r="B342" s="3">
        <v>45312</v>
      </c>
      <c r="C342" s="3">
        <v>45320</v>
      </c>
      <c r="D342" t="s">
        <v>1316</v>
      </c>
      <c r="E342" t="s">
        <v>165</v>
      </c>
      <c r="F342" t="s">
        <v>109</v>
      </c>
      <c r="G342" t="s">
        <v>140</v>
      </c>
      <c r="H342" t="s">
        <v>270</v>
      </c>
      <c r="I342" t="s">
        <v>271</v>
      </c>
      <c r="J342" t="s">
        <v>113</v>
      </c>
      <c r="K342" t="s">
        <v>246</v>
      </c>
      <c r="L342" t="s">
        <v>1317</v>
      </c>
      <c r="M342" t="s">
        <v>145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117</v>
      </c>
      <c r="U342" t="s">
        <v>118</v>
      </c>
      <c r="V342" s="2">
        <f t="shared" si="66"/>
        <v>0.1</v>
      </c>
      <c r="W342" s="2">
        <f t="shared" si="67"/>
        <v>18261.36</v>
      </c>
      <c r="X342" s="2">
        <f>W342-R342</f>
        <v>6861.42</v>
      </c>
      <c r="Y342" s="2">
        <f t="shared" si="68"/>
        <v>0.3757343374206521</v>
      </c>
      <c r="Z342" s="2">
        <f t="shared" si="69"/>
        <v>8</v>
      </c>
      <c r="AA342" s="2">
        <f t="shared" si="70"/>
        <v>1</v>
      </c>
      <c r="AB342" s="2">
        <f t="shared" si="71"/>
        <v>2024</v>
      </c>
      <c r="AC342" s="2" t="str">
        <f t="shared" si="72"/>
        <v>Valid</v>
      </c>
      <c r="AD342" s="2">
        <f t="shared" si="73"/>
        <v>0</v>
      </c>
      <c r="AE342" s="2">
        <f t="shared" si="74"/>
        <v>0</v>
      </c>
      <c r="AH342" t="str">
        <f t="shared" si="77"/>
        <v>Neha Gupta</v>
      </c>
      <c r="AI342" t="str">
        <f t="shared" si="77"/>
        <v>Consumer</v>
      </c>
      <c r="AJ342" t="str">
        <f t="shared" si="77"/>
        <v>South</v>
      </c>
      <c r="AK342" t="str">
        <f t="shared" si="77"/>
        <v>Karnataka</v>
      </c>
      <c r="AL342" t="str">
        <f t="shared" si="77"/>
        <v>Bengaluru</v>
      </c>
      <c r="AM342" t="str">
        <f t="shared" si="77"/>
        <v>Office Supplies</v>
      </c>
      <c r="AN342" t="str">
        <f t="shared" si="77"/>
        <v>Binders</v>
      </c>
      <c r="AO342" t="str">
        <f t="shared" si="75"/>
        <v>Standard Class</v>
      </c>
      <c r="AP342" t="str">
        <f t="shared" si="76"/>
        <v>Paid</v>
      </c>
      <c r="AQ342" t="str">
        <f t="shared" si="76"/>
        <v>Completed</v>
      </c>
    </row>
    <row r="343" spans="1:43">
      <c r="A343" t="s">
        <v>1318</v>
      </c>
      <c r="B343" s="3">
        <v>45908</v>
      </c>
      <c r="C343" s="3">
        <v>45909</v>
      </c>
      <c r="D343" t="s">
        <v>1319</v>
      </c>
      <c r="E343" t="s">
        <v>232</v>
      </c>
      <c r="F343" t="s">
        <v>182</v>
      </c>
      <c r="G343" t="s">
        <v>149</v>
      </c>
      <c r="H343" t="s">
        <v>276</v>
      </c>
      <c r="I343" t="s">
        <v>277</v>
      </c>
      <c r="J343" t="s">
        <v>126</v>
      </c>
      <c r="K343" t="s">
        <v>152</v>
      </c>
      <c r="L343" t="s">
        <v>1320</v>
      </c>
      <c r="M343" t="s">
        <v>116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117</v>
      </c>
      <c r="U343" t="s">
        <v>118</v>
      </c>
      <c r="V343" s="2">
        <f t="shared" si="66"/>
        <v>0.05</v>
      </c>
      <c r="W343" s="2">
        <f t="shared" si="67"/>
        <v>7524.6269999999995</v>
      </c>
      <c r="X343" s="2">
        <f>W343-R343</f>
        <v>1295.0269999999991</v>
      </c>
      <c r="Y343" s="2">
        <f t="shared" si="68"/>
        <v>0.17210514222166751</v>
      </c>
      <c r="Z343" s="2">
        <f t="shared" si="69"/>
        <v>1</v>
      </c>
      <c r="AA343" s="2">
        <f t="shared" si="70"/>
        <v>9</v>
      </c>
      <c r="AB343" s="2">
        <f t="shared" si="71"/>
        <v>2025</v>
      </c>
      <c r="AC343" s="2" t="str">
        <f t="shared" si="72"/>
        <v>Valid</v>
      </c>
      <c r="AD343" s="2">
        <f t="shared" si="73"/>
        <v>0</v>
      </c>
      <c r="AE343" s="2">
        <f t="shared" si="74"/>
        <v>0</v>
      </c>
      <c r="AH343" t="str">
        <f t="shared" si="77"/>
        <v>Rohan Mehta</v>
      </c>
      <c r="AI343" t="str">
        <f t="shared" si="77"/>
        <v>Home Office</v>
      </c>
      <c r="AJ343" t="str">
        <f t="shared" si="77"/>
        <v>West</v>
      </c>
      <c r="AK343" t="str">
        <f t="shared" si="77"/>
        <v>Gujarat</v>
      </c>
      <c r="AL343" t="str">
        <f t="shared" si="77"/>
        <v>Ahmedabad</v>
      </c>
      <c r="AM343" t="str">
        <f t="shared" si="77"/>
        <v>Furniture</v>
      </c>
      <c r="AN343" t="str">
        <f t="shared" si="77"/>
        <v>Chairs</v>
      </c>
      <c r="AO343" t="str">
        <f t="shared" si="75"/>
        <v>Second Class</v>
      </c>
      <c r="AP343" t="str">
        <f t="shared" si="76"/>
        <v>Paid</v>
      </c>
      <c r="AQ343" t="str">
        <f t="shared" si="76"/>
        <v>Completed</v>
      </c>
    </row>
    <row r="344" spans="1:43">
      <c r="A344" t="s">
        <v>1321</v>
      </c>
      <c r="B344" s="3" t="s">
        <v>1322</v>
      </c>
      <c r="C344" s="3">
        <v>45665</v>
      </c>
      <c r="D344" t="s">
        <v>1323</v>
      </c>
      <c r="E344" t="s">
        <v>375</v>
      </c>
      <c r="F344" t="s">
        <v>122</v>
      </c>
      <c r="G344" t="s">
        <v>123</v>
      </c>
      <c r="H344" t="s">
        <v>335</v>
      </c>
      <c r="I344" t="s">
        <v>336</v>
      </c>
      <c r="J344" t="s">
        <v>113</v>
      </c>
      <c r="K344" t="s">
        <v>246</v>
      </c>
      <c r="L344" t="s">
        <v>1324</v>
      </c>
      <c r="M344" t="s">
        <v>135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117</v>
      </c>
      <c r="U344" t="s">
        <v>118</v>
      </c>
      <c r="V344" s="2">
        <f t="shared" si="66"/>
        <v>0</v>
      </c>
      <c r="W344" s="2">
        <f t="shared" si="67"/>
        <v>12231.36</v>
      </c>
      <c r="X344" s="2">
        <f>W344-R344</f>
        <v>3464.4600000000009</v>
      </c>
      <c r="Y344" s="2">
        <f t="shared" si="68"/>
        <v>0.28324405462679547</v>
      </c>
      <c r="Z344" s="2" t="str">
        <f t="shared" si="69"/>
        <v/>
      </c>
      <c r="AA344" s="2" t="e">
        <f t="shared" si="70"/>
        <v>#VALUE!</v>
      </c>
      <c r="AB344" s="2" t="e">
        <f t="shared" si="71"/>
        <v>#VALUE!</v>
      </c>
      <c r="AC344" s="2" t="str">
        <f t="shared" si="72"/>
        <v>Text Value Not Recognized as Date</v>
      </c>
      <c r="AD344" s="2">
        <f t="shared" si="73"/>
        <v>0</v>
      </c>
      <c r="AE344" s="2">
        <f t="shared" si="74"/>
        <v>0</v>
      </c>
      <c r="AH344" t="str">
        <f t="shared" si="77"/>
        <v>Kabir Singh</v>
      </c>
      <c r="AI344" t="str">
        <f t="shared" si="77"/>
        <v>Small Business</v>
      </c>
      <c r="AJ344" t="str">
        <f t="shared" si="77"/>
        <v>East</v>
      </c>
      <c r="AK344" t="str">
        <f t="shared" si="77"/>
        <v>Jharkhand</v>
      </c>
      <c r="AL344" t="str">
        <f t="shared" si="77"/>
        <v>Ranchi</v>
      </c>
      <c r="AM344" t="str">
        <f t="shared" si="77"/>
        <v>Office Supplies</v>
      </c>
      <c r="AN344" t="str">
        <f t="shared" si="77"/>
        <v>Binders</v>
      </c>
      <c r="AO344" t="str">
        <f t="shared" si="75"/>
        <v>First Class</v>
      </c>
      <c r="AP344" t="str">
        <f t="shared" si="76"/>
        <v>Paid</v>
      </c>
      <c r="AQ344" t="str">
        <f t="shared" si="76"/>
        <v>Completed</v>
      </c>
    </row>
    <row r="345" spans="1:43">
      <c r="A345" t="s">
        <v>1325</v>
      </c>
      <c r="B345" s="3">
        <v>45933</v>
      </c>
      <c r="C345" s="3">
        <v>45938</v>
      </c>
      <c r="D345" t="s">
        <v>1326</v>
      </c>
      <c r="E345" t="s">
        <v>218</v>
      </c>
      <c r="F345" t="s">
        <v>177</v>
      </c>
      <c r="G345" t="s">
        <v>149</v>
      </c>
      <c r="H345" t="s">
        <v>158</v>
      </c>
      <c r="I345" t="s">
        <v>159</v>
      </c>
      <c r="J345" t="s">
        <v>160</v>
      </c>
      <c r="K345" t="s">
        <v>385</v>
      </c>
      <c r="L345" t="s">
        <v>1327</v>
      </c>
      <c r="M345" t="s">
        <v>129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117</v>
      </c>
      <c r="U345" t="s">
        <v>118</v>
      </c>
      <c r="V345" s="2">
        <f t="shared" si="66"/>
        <v>0.1</v>
      </c>
      <c r="W345" s="2">
        <f t="shared" si="67"/>
        <v>31079.7</v>
      </c>
      <c r="X345" s="2">
        <f>W345-R345</f>
        <v>13321.45</v>
      </c>
      <c r="Y345" s="2">
        <f t="shared" si="68"/>
        <v>0.4286222196481948</v>
      </c>
      <c r="Z345" s="2">
        <f t="shared" si="69"/>
        <v>5</v>
      </c>
      <c r="AA345" s="2">
        <f t="shared" si="70"/>
        <v>10</v>
      </c>
      <c r="AB345" s="2">
        <f t="shared" si="71"/>
        <v>2025</v>
      </c>
      <c r="AC345" s="2" t="str">
        <f t="shared" si="72"/>
        <v>Valid</v>
      </c>
      <c r="AD345" s="2">
        <f t="shared" si="73"/>
        <v>0</v>
      </c>
      <c r="AE345" s="2">
        <f t="shared" si="74"/>
        <v>0</v>
      </c>
      <c r="AH345" t="str">
        <f t="shared" si="77"/>
        <v>Aarav Sharma</v>
      </c>
      <c r="AI345" t="str">
        <f t="shared" si="77"/>
        <v>Corporate</v>
      </c>
      <c r="AJ345" t="str">
        <f t="shared" si="77"/>
        <v>West</v>
      </c>
      <c r="AK345" t="str">
        <f t="shared" si="77"/>
        <v>Madhya Pradesh</v>
      </c>
      <c r="AL345" t="str">
        <f t="shared" si="77"/>
        <v>Indore</v>
      </c>
      <c r="AM345" t="str">
        <f t="shared" si="77"/>
        <v>Technology</v>
      </c>
      <c r="AN345" t="str">
        <f t="shared" si="77"/>
        <v>Machines</v>
      </c>
      <c r="AO345" t="str">
        <f t="shared" si="75"/>
        <v>Same Day</v>
      </c>
      <c r="AP345" t="str">
        <f t="shared" si="76"/>
        <v>Paid</v>
      </c>
      <c r="AQ345" t="str">
        <f t="shared" si="76"/>
        <v>Completed</v>
      </c>
    </row>
    <row r="346" spans="1:43">
      <c r="A346" t="s">
        <v>1328</v>
      </c>
      <c r="B346" s="3">
        <v>45599</v>
      </c>
      <c r="C346" s="3">
        <v>45599</v>
      </c>
      <c r="D346" t="s">
        <v>1329</v>
      </c>
      <c r="E346" t="s">
        <v>203</v>
      </c>
      <c r="F346" t="s">
        <v>109</v>
      </c>
      <c r="G346" t="s">
        <v>110</v>
      </c>
      <c r="H346" t="s">
        <v>211</v>
      </c>
      <c r="I346" t="s">
        <v>212</v>
      </c>
      <c r="J346" t="s">
        <v>126</v>
      </c>
      <c r="K346" t="s">
        <v>252</v>
      </c>
      <c r="L346" t="s">
        <v>1330</v>
      </c>
      <c r="M346" t="s">
        <v>129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199</v>
      </c>
      <c r="U346" t="s">
        <v>190</v>
      </c>
      <c r="V346" s="2">
        <f t="shared" si="66"/>
        <v>0</v>
      </c>
      <c r="W346" s="2">
        <f t="shared" si="67"/>
        <v>31107.420000000002</v>
      </c>
      <c r="X346" s="2">
        <f>W346-R346</f>
        <v>10960.760000000002</v>
      </c>
      <c r="Y346" s="2">
        <f t="shared" si="68"/>
        <v>0.3523519468988428</v>
      </c>
      <c r="Z346" s="2">
        <f t="shared" si="69"/>
        <v>0</v>
      </c>
      <c r="AA346" s="2">
        <f t="shared" si="70"/>
        <v>11</v>
      </c>
      <c r="AB346" s="2">
        <f t="shared" si="71"/>
        <v>2024</v>
      </c>
      <c r="AC346" s="2" t="str">
        <f t="shared" si="72"/>
        <v>Valid</v>
      </c>
      <c r="AD346" s="2">
        <f t="shared" si="73"/>
        <v>0</v>
      </c>
      <c r="AE346" s="2">
        <f t="shared" si="74"/>
        <v>0</v>
      </c>
      <c r="AH346" t="str">
        <f t="shared" si="77"/>
        <v>Priya Menon</v>
      </c>
      <c r="AI346" t="str">
        <f t="shared" si="77"/>
        <v>Consumer</v>
      </c>
      <c r="AJ346" t="str">
        <f t="shared" si="77"/>
        <v>North</v>
      </c>
      <c r="AK346" t="str">
        <f t="shared" si="77"/>
        <v>Punjab</v>
      </c>
      <c r="AL346" t="str">
        <f t="shared" si="77"/>
        <v>Ludhiana</v>
      </c>
      <c r="AM346" t="str">
        <f t="shared" si="77"/>
        <v>Furniture</v>
      </c>
      <c r="AN346" t="str">
        <f t="shared" si="77"/>
        <v>Bookcases</v>
      </c>
      <c r="AO346" t="str">
        <f t="shared" si="75"/>
        <v>Same Day</v>
      </c>
      <c r="AP346" t="str">
        <f t="shared" si="76"/>
        <v>Pending</v>
      </c>
      <c r="AQ346" t="str">
        <f t="shared" si="76"/>
        <v>Returned</v>
      </c>
    </row>
    <row r="347" spans="1:43">
      <c r="A347" t="s">
        <v>1331</v>
      </c>
      <c r="B347" s="3">
        <v>45549</v>
      </c>
      <c r="C347" s="3">
        <v>45557</v>
      </c>
      <c r="D347" t="s">
        <v>1332</v>
      </c>
      <c r="E347" t="s">
        <v>108</v>
      </c>
      <c r="F347" t="s">
        <v>109</v>
      </c>
      <c r="G347" t="s">
        <v>149</v>
      </c>
      <c r="H347" t="s">
        <v>158</v>
      </c>
      <c r="I347" t="s">
        <v>159</v>
      </c>
      <c r="J347" t="s">
        <v>126</v>
      </c>
      <c r="K347" t="s">
        <v>143</v>
      </c>
      <c r="L347" t="s">
        <v>1333</v>
      </c>
      <c r="M347" t="s">
        <v>116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117</v>
      </c>
      <c r="U347" t="s">
        <v>118</v>
      </c>
      <c r="V347" s="2">
        <f t="shared" si="66"/>
        <v>0</v>
      </c>
      <c r="W347" s="2">
        <f t="shared" si="67"/>
        <v>5530.6</v>
      </c>
      <c r="X347" s="2">
        <f>W347-R347</f>
        <v>1077.4900000000007</v>
      </c>
      <c r="Y347" s="2">
        <f t="shared" si="68"/>
        <v>0.19482334647235391</v>
      </c>
      <c r="Z347" s="2">
        <f t="shared" si="69"/>
        <v>8</v>
      </c>
      <c r="AA347" s="2">
        <f t="shared" si="70"/>
        <v>9</v>
      </c>
      <c r="AB347" s="2">
        <f t="shared" si="71"/>
        <v>2024</v>
      </c>
      <c r="AC347" s="2" t="str">
        <f t="shared" si="72"/>
        <v>Valid</v>
      </c>
      <c r="AD347" s="2">
        <f t="shared" si="73"/>
        <v>0</v>
      </c>
      <c r="AE347" s="2">
        <f t="shared" si="74"/>
        <v>0</v>
      </c>
      <c r="AH347" t="str">
        <f t="shared" si="77"/>
        <v>Karan Malhotra</v>
      </c>
      <c r="AI347" t="str">
        <f t="shared" si="77"/>
        <v>Consumer</v>
      </c>
      <c r="AJ347" t="str">
        <f t="shared" si="77"/>
        <v>West</v>
      </c>
      <c r="AK347" t="str">
        <f t="shared" si="77"/>
        <v>Madhya Pradesh</v>
      </c>
      <c r="AL347" t="str">
        <f t="shared" si="77"/>
        <v>Indore</v>
      </c>
      <c r="AM347" t="str">
        <f t="shared" si="77"/>
        <v>Furniture</v>
      </c>
      <c r="AN347" t="str">
        <f t="shared" si="77"/>
        <v>Furnishings</v>
      </c>
      <c r="AO347" t="str">
        <f t="shared" si="75"/>
        <v>Second Class</v>
      </c>
      <c r="AP347" t="str">
        <f t="shared" si="76"/>
        <v>Paid</v>
      </c>
      <c r="AQ347" t="str">
        <f t="shared" si="76"/>
        <v>Completed</v>
      </c>
    </row>
    <row r="348" spans="1:43">
      <c r="A348" t="s">
        <v>1334</v>
      </c>
      <c r="B348" s="3">
        <v>45860</v>
      </c>
      <c r="C348" s="3" t="s">
        <v>1335</v>
      </c>
      <c r="D348" t="s">
        <v>1336</v>
      </c>
      <c r="E348" t="s">
        <v>207</v>
      </c>
      <c r="F348" t="s">
        <v>177</v>
      </c>
      <c r="G348" t="s">
        <v>140</v>
      </c>
      <c r="H348" t="s">
        <v>282</v>
      </c>
      <c r="I348" t="s">
        <v>283</v>
      </c>
      <c r="J348" t="s">
        <v>126</v>
      </c>
      <c r="K348" t="s">
        <v>152</v>
      </c>
      <c r="L348" t="s">
        <v>1337</v>
      </c>
      <c r="M348" t="s">
        <v>116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117</v>
      </c>
      <c r="U348" t="s">
        <v>118</v>
      </c>
      <c r="V348" s="2">
        <f t="shared" si="66"/>
        <v>0.2</v>
      </c>
      <c r="W348" s="2">
        <f t="shared" si="67"/>
        <v>7715.8080000000009</v>
      </c>
      <c r="X348" s="2">
        <f>W348-R348</f>
        <v>3457.3880000000008</v>
      </c>
      <c r="Y348" s="2">
        <f t="shared" si="68"/>
        <v>0.4480915025360922</v>
      </c>
      <c r="Z348" s="2" t="str">
        <f t="shared" si="69"/>
        <v/>
      </c>
      <c r="AA348" s="2">
        <f t="shared" si="70"/>
        <v>7</v>
      </c>
      <c r="AB348" s="2">
        <f t="shared" si="71"/>
        <v>2025</v>
      </c>
      <c r="AC348" s="2" t="str">
        <f t="shared" si="72"/>
        <v>Text Value Not Recognized as Date</v>
      </c>
      <c r="AD348" s="2">
        <f t="shared" si="73"/>
        <v>0</v>
      </c>
      <c r="AE348" s="2">
        <f t="shared" si="74"/>
        <v>0</v>
      </c>
      <c r="AH348" t="str">
        <f t="shared" si="77"/>
        <v>Rahul Verma</v>
      </c>
      <c r="AI348" t="str">
        <f t="shared" si="77"/>
        <v>Corporate</v>
      </c>
      <c r="AJ348" t="str">
        <f t="shared" si="77"/>
        <v>South</v>
      </c>
      <c r="AK348" t="str">
        <f t="shared" si="77"/>
        <v>Kerala</v>
      </c>
      <c r="AL348" t="str">
        <f t="shared" si="77"/>
        <v>Kochi</v>
      </c>
      <c r="AM348" t="str">
        <f t="shared" si="77"/>
        <v>Furniture</v>
      </c>
      <c r="AN348" t="str">
        <f t="shared" si="77"/>
        <v>Chairs</v>
      </c>
      <c r="AO348" t="str">
        <f t="shared" si="75"/>
        <v>Second Class</v>
      </c>
      <c r="AP348" t="str">
        <f t="shared" si="76"/>
        <v>Paid</v>
      </c>
      <c r="AQ348" t="str">
        <f t="shared" si="76"/>
        <v>Completed</v>
      </c>
    </row>
    <row r="349" spans="1:43">
      <c r="A349" t="s">
        <v>1338</v>
      </c>
      <c r="B349" s="3">
        <v>45303</v>
      </c>
      <c r="C349" s="3">
        <v>45634</v>
      </c>
      <c r="D349" t="s">
        <v>1339</v>
      </c>
      <c r="E349" t="s">
        <v>218</v>
      </c>
      <c r="F349" t="s">
        <v>122</v>
      </c>
      <c r="G349" t="s">
        <v>149</v>
      </c>
      <c r="H349" t="s">
        <v>287</v>
      </c>
      <c r="I349" t="s">
        <v>288</v>
      </c>
      <c r="J349" t="s">
        <v>126</v>
      </c>
      <c r="K349" t="s">
        <v>152</v>
      </c>
      <c r="L349" t="s">
        <v>1340</v>
      </c>
      <c r="M349" t="s">
        <v>116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189</v>
      </c>
      <c r="U349" t="s">
        <v>190</v>
      </c>
      <c r="V349" s="2">
        <f t="shared" si="66"/>
        <v>0.2</v>
      </c>
      <c r="W349" s="2">
        <f t="shared" si="67"/>
        <v>11925.96</v>
      </c>
      <c r="X349" s="2">
        <f>W349-R349</f>
        <v>1822.4499999999989</v>
      </c>
      <c r="Y349" s="2">
        <f t="shared" si="68"/>
        <v>0.15281369382422874</v>
      </c>
      <c r="Z349" s="2">
        <f t="shared" si="69"/>
        <v>331</v>
      </c>
      <c r="AA349" s="2">
        <f t="shared" si="70"/>
        <v>1</v>
      </c>
      <c r="AB349" s="2">
        <f t="shared" si="71"/>
        <v>2024</v>
      </c>
      <c r="AC349" s="2" t="str">
        <f t="shared" si="72"/>
        <v>Valid</v>
      </c>
      <c r="AD349" s="2">
        <f t="shared" si="73"/>
        <v>0</v>
      </c>
      <c r="AE349" s="2">
        <f t="shared" si="74"/>
        <v>0</v>
      </c>
      <c r="AH349" t="str">
        <f t="shared" si="77"/>
        <v>Aarav Sharma</v>
      </c>
      <c r="AI349" t="str">
        <f t="shared" si="77"/>
        <v>Small Business</v>
      </c>
      <c r="AJ349" t="str">
        <f t="shared" si="77"/>
        <v>West</v>
      </c>
      <c r="AK349" t="str">
        <f t="shared" si="77"/>
        <v>Goa</v>
      </c>
      <c r="AL349" t="str">
        <f t="shared" si="77"/>
        <v>Panaji</v>
      </c>
      <c r="AM349" t="str">
        <f t="shared" si="77"/>
        <v>Furniture</v>
      </c>
      <c r="AN349" t="str">
        <f t="shared" si="77"/>
        <v>Chairs</v>
      </c>
      <c r="AO349" t="str">
        <f t="shared" si="75"/>
        <v>Second Class</v>
      </c>
      <c r="AP349" t="str">
        <f t="shared" si="76"/>
        <v>Refunded</v>
      </c>
      <c r="AQ349" t="str">
        <f t="shared" si="76"/>
        <v>Returned</v>
      </c>
    </row>
    <row r="350" spans="1:43">
      <c r="A350" t="s">
        <v>1341</v>
      </c>
      <c r="B350" s="3">
        <v>45445</v>
      </c>
      <c r="C350" s="3">
        <v>45450</v>
      </c>
      <c r="D350" t="s">
        <v>1342</v>
      </c>
      <c r="E350" t="s">
        <v>218</v>
      </c>
      <c r="F350" t="s">
        <v>177</v>
      </c>
      <c r="G350" t="s">
        <v>140</v>
      </c>
      <c r="H350" t="s">
        <v>270</v>
      </c>
      <c r="I350" t="s">
        <v>271</v>
      </c>
      <c r="J350" t="s">
        <v>160</v>
      </c>
      <c r="K350" t="s">
        <v>266</v>
      </c>
      <c r="L350" t="s">
        <v>1343</v>
      </c>
      <c r="M350" t="s">
        <v>129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117</v>
      </c>
      <c r="U350" t="s">
        <v>118</v>
      </c>
      <c r="V350" s="2">
        <f t="shared" si="66"/>
        <v>0.25</v>
      </c>
      <c r="W350" s="2">
        <f t="shared" si="67"/>
        <v>19306.755000000005</v>
      </c>
      <c r="X350" s="2">
        <f>W350-R350</f>
        <v>4864.3750000000055</v>
      </c>
      <c r="Y350" s="2">
        <f t="shared" si="68"/>
        <v>0.25195197225012717</v>
      </c>
      <c r="Z350" s="2">
        <f t="shared" si="69"/>
        <v>5</v>
      </c>
      <c r="AA350" s="2">
        <f t="shared" si="70"/>
        <v>6</v>
      </c>
      <c r="AB350" s="2">
        <f t="shared" si="71"/>
        <v>2024</v>
      </c>
      <c r="AC350" s="2" t="str">
        <f t="shared" si="72"/>
        <v>Valid</v>
      </c>
      <c r="AD350" s="2">
        <f t="shared" si="73"/>
        <v>0</v>
      </c>
      <c r="AE350" s="2">
        <f t="shared" si="74"/>
        <v>0</v>
      </c>
      <c r="AH350" t="str">
        <f t="shared" si="77"/>
        <v>Aarav Sharma</v>
      </c>
      <c r="AI350" t="str">
        <f t="shared" si="77"/>
        <v>Corporate</v>
      </c>
      <c r="AJ350" t="str">
        <f t="shared" si="77"/>
        <v>South</v>
      </c>
      <c r="AK350" t="str">
        <f t="shared" si="77"/>
        <v>Karnataka</v>
      </c>
      <c r="AL350" t="str">
        <f t="shared" si="77"/>
        <v>Bengaluru</v>
      </c>
      <c r="AM350" t="str">
        <f t="shared" si="77"/>
        <v>Technology</v>
      </c>
      <c r="AN350" t="str">
        <f t="shared" si="77"/>
        <v>Phones</v>
      </c>
      <c r="AO350" t="str">
        <f t="shared" si="75"/>
        <v>Same Day</v>
      </c>
      <c r="AP350" t="str">
        <f t="shared" si="76"/>
        <v>Paid</v>
      </c>
      <c r="AQ350" t="str">
        <f t="shared" si="76"/>
        <v>Completed</v>
      </c>
    </row>
    <row r="351" spans="1:43">
      <c r="A351" t="s">
        <v>1344</v>
      </c>
      <c r="B351" s="3" t="s">
        <v>1345</v>
      </c>
      <c r="C351" s="3">
        <v>45929</v>
      </c>
      <c r="D351" t="s">
        <v>1346</v>
      </c>
      <c r="E351" t="s">
        <v>375</v>
      </c>
      <c r="F351" t="s">
        <v>182</v>
      </c>
      <c r="G351" t="s">
        <v>123</v>
      </c>
      <c r="H351" t="s">
        <v>335</v>
      </c>
      <c r="I351" t="s">
        <v>336</v>
      </c>
      <c r="J351" t="s">
        <v>126</v>
      </c>
      <c r="K351" t="s">
        <v>143</v>
      </c>
      <c r="L351" t="s">
        <v>1347</v>
      </c>
      <c r="M351" t="s">
        <v>116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117</v>
      </c>
      <c r="U351" t="s">
        <v>118</v>
      </c>
      <c r="V351" s="2">
        <f t="shared" si="66"/>
        <v>0.25</v>
      </c>
      <c r="W351" s="2">
        <f t="shared" si="67"/>
        <v>19355.962500000001</v>
      </c>
      <c r="X351" s="2">
        <f>W351-R351</f>
        <v>4343.5125000000007</v>
      </c>
      <c r="Y351" s="2">
        <f t="shared" si="68"/>
        <v>0.22440178317146461</v>
      </c>
      <c r="Z351" s="2" t="str">
        <f t="shared" si="69"/>
        <v/>
      </c>
      <c r="AA351" s="2" t="e">
        <f t="shared" si="70"/>
        <v>#VALUE!</v>
      </c>
      <c r="AB351" s="2" t="e">
        <f t="shared" si="71"/>
        <v>#VALUE!</v>
      </c>
      <c r="AC351" s="2" t="str">
        <f t="shared" si="72"/>
        <v>Text Value Not Recognized as Date</v>
      </c>
      <c r="AD351" s="2">
        <f t="shared" si="73"/>
        <v>0</v>
      </c>
      <c r="AE351" s="2">
        <f t="shared" si="74"/>
        <v>1</v>
      </c>
      <c r="AH351" t="str">
        <f t="shared" si="77"/>
        <v>Kabir Singh</v>
      </c>
      <c r="AI351" t="str">
        <f t="shared" si="77"/>
        <v>Home Office</v>
      </c>
      <c r="AJ351" t="str">
        <f t="shared" si="77"/>
        <v>East</v>
      </c>
      <c r="AK351" t="str">
        <f t="shared" si="77"/>
        <v>Jharkhand</v>
      </c>
      <c r="AL351" t="str">
        <f t="shared" si="77"/>
        <v>Ranchi</v>
      </c>
      <c r="AM351" t="str">
        <f t="shared" si="77"/>
        <v>Furniture</v>
      </c>
      <c r="AN351" t="str">
        <f t="shared" si="77"/>
        <v>Furnishings</v>
      </c>
      <c r="AO351" t="str">
        <f t="shared" si="75"/>
        <v>Second Class</v>
      </c>
      <c r="AP351" t="str">
        <f t="shared" si="76"/>
        <v>Paid</v>
      </c>
      <c r="AQ351" t="str">
        <f t="shared" si="76"/>
        <v>Completed</v>
      </c>
    </row>
    <row r="352" spans="1:43">
      <c r="A352" t="s">
        <v>1348</v>
      </c>
      <c r="B352" s="3">
        <v>45474</v>
      </c>
      <c r="C352" s="3">
        <v>45305</v>
      </c>
      <c r="D352" t="s">
        <v>1349</v>
      </c>
      <c r="E352" t="s">
        <v>222</v>
      </c>
      <c r="F352" t="s">
        <v>122</v>
      </c>
      <c r="G352" t="s">
        <v>123</v>
      </c>
      <c r="H352" t="s">
        <v>335</v>
      </c>
      <c r="I352" t="s">
        <v>336</v>
      </c>
      <c r="J352" t="s">
        <v>126</v>
      </c>
      <c r="K352" t="s">
        <v>143</v>
      </c>
      <c r="L352" t="s">
        <v>1350</v>
      </c>
      <c r="M352" t="s">
        <v>116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189</v>
      </c>
      <c r="U352" t="s">
        <v>190</v>
      </c>
      <c r="V352" s="2">
        <f t="shared" si="66"/>
        <v>0.1</v>
      </c>
      <c r="W352" s="2">
        <f t="shared" si="67"/>
        <v>11914.344000000001</v>
      </c>
      <c r="X352" s="2">
        <f>W352-R352</f>
        <v>2143.1040000000012</v>
      </c>
      <c r="Y352" s="2">
        <f t="shared" si="68"/>
        <v>0.17987595456367561</v>
      </c>
      <c r="Z352" s="2">
        <f t="shared" si="69"/>
        <v>-169</v>
      </c>
      <c r="AA352" s="2">
        <f t="shared" si="70"/>
        <v>7</v>
      </c>
      <c r="AB352" s="2">
        <f t="shared" si="71"/>
        <v>2024</v>
      </c>
      <c r="AC352" s="2" t="str">
        <f t="shared" si="72"/>
        <v>Invalid shipping record</v>
      </c>
      <c r="AD352" s="2">
        <f t="shared" si="73"/>
        <v>0</v>
      </c>
      <c r="AE352" s="2">
        <f t="shared" si="74"/>
        <v>0</v>
      </c>
      <c r="AH352" t="str">
        <f t="shared" si="77"/>
        <v>Sneha Kapoor</v>
      </c>
      <c r="AI352" t="str">
        <f t="shared" si="77"/>
        <v>Small Business</v>
      </c>
      <c r="AJ352" t="str">
        <f t="shared" si="77"/>
        <v>East</v>
      </c>
      <c r="AK352" t="str">
        <f t="shared" si="77"/>
        <v>Jharkhand</v>
      </c>
      <c r="AL352" t="str">
        <f t="shared" si="77"/>
        <v>Ranchi</v>
      </c>
      <c r="AM352" t="str">
        <f t="shared" si="77"/>
        <v>Furniture</v>
      </c>
      <c r="AN352" t="str">
        <f t="shared" si="77"/>
        <v>Furnishings</v>
      </c>
      <c r="AO352" t="str">
        <f t="shared" si="75"/>
        <v>Second Class</v>
      </c>
      <c r="AP352" t="str">
        <f t="shared" si="76"/>
        <v>Refunded</v>
      </c>
      <c r="AQ352" t="str">
        <f t="shared" si="76"/>
        <v>Returned</v>
      </c>
    </row>
    <row r="353" spans="1:43">
      <c r="A353" t="s">
        <v>1351</v>
      </c>
      <c r="B353" s="3" t="s">
        <v>1352</v>
      </c>
      <c r="C353" s="3">
        <v>45804</v>
      </c>
      <c r="D353" t="s">
        <v>1353</v>
      </c>
      <c r="E353" t="s">
        <v>157</v>
      </c>
      <c r="F353" t="s">
        <v>122</v>
      </c>
      <c r="G353" t="s">
        <v>140</v>
      </c>
      <c r="H353" t="s">
        <v>141</v>
      </c>
      <c r="I353" t="s">
        <v>142</v>
      </c>
      <c r="J353" t="s">
        <v>113</v>
      </c>
      <c r="K353" t="s">
        <v>213</v>
      </c>
      <c r="L353" t="s">
        <v>1354</v>
      </c>
      <c r="M353" t="s">
        <v>135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199</v>
      </c>
      <c r="U353" t="s">
        <v>44</v>
      </c>
      <c r="V353" s="2">
        <f t="shared" si="66"/>
        <v>0.25</v>
      </c>
      <c r="W353" s="2">
        <f t="shared" si="67"/>
        <v>3237.4800000000005</v>
      </c>
      <c r="X353" s="2">
        <f>W353-R353</f>
        <v>1119.1400000000003</v>
      </c>
      <c r="Y353" s="2">
        <f t="shared" si="68"/>
        <v>0.34568244437031276</v>
      </c>
      <c r="Z353" s="2" t="str">
        <f t="shared" si="69"/>
        <v/>
      </c>
      <c r="AA353" s="2" t="e">
        <f t="shared" si="70"/>
        <v>#VALUE!</v>
      </c>
      <c r="AB353" s="2" t="e">
        <f t="shared" si="71"/>
        <v>#VALUE!</v>
      </c>
      <c r="AC353" s="2" t="str">
        <f t="shared" si="72"/>
        <v>Text Value Not Recognized as Date</v>
      </c>
      <c r="AD353" s="2">
        <f t="shared" si="73"/>
        <v>0</v>
      </c>
      <c r="AE353" s="2">
        <f t="shared" si="74"/>
        <v>0</v>
      </c>
      <c r="AH353" t="str">
        <f t="shared" si="77"/>
        <v>Vikram Iyer</v>
      </c>
      <c r="AI353" t="str">
        <f t="shared" si="77"/>
        <v>Small Business</v>
      </c>
      <c r="AJ353" t="str">
        <f t="shared" si="77"/>
        <v>South</v>
      </c>
      <c r="AK353" t="str">
        <f t="shared" si="77"/>
        <v>Telangana</v>
      </c>
      <c r="AL353" t="str">
        <f t="shared" si="77"/>
        <v>Hyderabad</v>
      </c>
      <c r="AM353" t="str">
        <f t="shared" si="77"/>
        <v>Office Supplies</v>
      </c>
      <c r="AN353" t="str">
        <f t="shared" si="77"/>
        <v>Storage</v>
      </c>
      <c r="AO353" t="str">
        <f t="shared" si="75"/>
        <v>First Class</v>
      </c>
      <c r="AP353" t="str">
        <f t="shared" si="76"/>
        <v>Pending</v>
      </c>
      <c r="AQ353" t="str">
        <f t="shared" si="76"/>
        <v>Cancelled</v>
      </c>
    </row>
    <row r="354" spans="1:43">
      <c r="A354" t="s">
        <v>1355</v>
      </c>
      <c r="B354" s="3">
        <v>45884</v>
      </c>
      <c r="C354" s="3">
        <v>45886</v>
      </c>
      <c r="D354" t="s">
        <v>1356</v>
      </c>
      <c r="E354" t="s">
        <v>256</v>
      </c>
      <c r="F354" t="s">
        <v>122</v>
      </c>
      <c r="G354" t="s">
        <v>123</v>
      </c>
      <c r="H354" t="s">
        <v>260</v>
      </c>
      <c r="I354" t="s">
        <v>261</v>
      </c>
      <c r="J354" t="s">
        <v>160</v>
      </c>
      <c r="K354" t="s">
        <v>166</v>
      </c>
      <c r="L354" t="s">
        <v>1357</v>
      </c>
      <c r="M354" t="s">
        <v>135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117</v>
      </c>
      <c r="U354" t="s">
        <v>118</v>
      </c>
      <c r="V354" s="2">
        <f t="shared" si="66"/>
        <v>0.25</v>
      </c>
      <c r="W354" s="2">
        <f t="shared" si="67"/>
        <v>10734.75</v>
      </c>
      <c r="X354" s="2">
        <f>W354-R354</f>
        <v>4259.0200000000004</v>
      </c>
      <c r="Y354" s="2">
        <f t="shared" si="68"/>
        <v>0.39675073942103917</v>
      </c>
      <c r="Z354" s="2">
        <f t="shared" si="69"/>
        <v>2</v>
      </c>
      <c r="AA354" s="2">
        <f t="shared" si="70"/>
        <v>8</v>
      </c>
      <c r="AB354" s="2">
        <f t="shared" si="71"/>
        <v>2025</v>
      </c>
      <c r="AC354" s="2" t="str">
        <f t="shared" si="72"/>
        <v>Valid</v>
      </c>
      <c r="AD354" s="2">
        <f t="shared" si="73"/>
        <v>0</v>
      </c>
      <c r="AE354" s="2">
        <f t="shared" si="74"/>
        <v>0</v>
      </c>
      <c r="AH354" t="str">
        <f t="shared" si="77"/>
        <v>Diya Patel</v>
      </c>
      <c r="AI354" t="str">
        <f t="shared" si="77"/>
        <v>Small Business</v>
      </c>
      <c r="AJ354" t="str">
        <f t="shared" si="77"/>
        <v>East</v>
      </c>
      <c r="AK354" t="str">
        <f t="shared" si="77"/>
        <v>Assam</v>
      </c>
      <c r="AL354" t="str">
        <f t="shared" si="77"/>
        <v>Guwahati</v>
      </c>
      <c r="AM354" t="str">
        <f t="shared" si="77"/>
        <v>Technology</v>
      </c>
      <c r="AN354" t="str">
        <f t="shared" si="77"/>
        <v>Copiers</v>
      </c>
      <c r="AO354" t="str">
        <f t="shared" si="75"/>
        <v>First Class</v>
      </c>
      <c r="AP354" t="str">
        <f t="shared" si="76"/>
        <v>Paid</v>
      </c>
      <c r="AQ354" t="str">
        <f t="shared" si="76"/>
        <v>Completed</v>
      </c>
    </row>
    <row r="355" spans="1:43">
      <c r="A355" t="s">
        <v>1358</v>
      </c>
      <c r="B355" s="3" t="s">
        <v>1359</v>
      </c>
      <c r="C355" s="3" t="s">
        <v>925</v>
      </c>
      <c r="D355" t="s">
        <v>1360</v>
      </c>
      <c r="E355" t="s">
        <v>148</v>
      </c>
      <c r="F355" t="s">
        <v>109</v>
      </c>
      <c r="G355" t="s">
        <v>110</v>
      </c>
      <c r="H355" t="s">
        <v>111</v>
      </c>
      <c r="I355" t="s">
        <v>112</v>
      </c>
      <c r="J355" t="s">
        <v>113</v>
      </c>
      <c r="K355" t="s">
        <v>133</v>
      </c>
      <c r="L355" t="s">
        <v>1361</v>
      </c>
      <c r="M355" t="s">
        <v>129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117</v>
      </c>
      <c r="U355" t="s">
        <v>118</v>
      </c>
      <c r="V355" s="2">
        <f t="shared" si="66"/>
        <v>0.2</v>
      </c>
      <c r="W355" s="2">
        <f t="shared" si="67"/>
        <v>10308.024000000001</v>
      </c>
      <c r="X355" s="2">
        <f>W355-R355</f>
        <v>4485.7140000000009</v>
      </c>
      <c r="Y355" s="2">
        <f t="shared" si="68"/>
        <v>0.4351672056642476</v>
      </c>
      <c r="Z355" s="2" t="str">
        <f t="shared" si="69"/>
        <v/>
      </c>
      <c r="AA355" s="2" t="e">
        <f t="shared" si="70"/>
        <v>#VALUE!</v>
      </c>
      <c r="AB355" s="2" t="e">
        <f t="shared" si="71"/>
        <v>#VALUE!</v>
      </c>
      <c r="AC355" s="2" t="str">
        <f t="shared" si="72"/>
        <v>Text Value Not Recognized as Date</v>
      </c>
      <c r="AD355" s="2">
        <f t="shared" si="73"/>
        <v>0</v>
      </c>
      <c r="AE355" s="2">
        <f t="shared" si="74"/>
        <v>0</v>
      </c>
      <c r="AH355" t="str">
        <f t="shared" si="77"/>
        <v>Ananya Rao</v>
      </c>
      <c r="AI355" t="str">
        <f t="shared" si="77"/>
        <v>Consumer</v>
      </c>
      <c r="AJ355" t="str">
        <f t="shared" si="77"/>
        <v>North</v>
      </c>
      <c r="AK355" t="str">
        <f t="shared" si="77"/>
        <v>Rajasthan</v>
      </c>
      <c r="AL355" t="str">
        <f t="shared" si="77"/>
        <v>Jaipur</v>
      </c>
      <c r="AM355" t="str">
        <f t="shared" si="77"/>
        <v>Office Supplies</v>
      </c>
      <c r="AN355" t="str">
        <f t="shared" si="77"/>
        <v>Art</v>
      </c>
      <c r="AO355" t="str">
        <f t="shared" si="75"/>
        <v>Same Day</v>
      </c>
      <c r="AP355" t="str">
        <f t="shared" si="76"/>
        <v>Paid</v>
      </c>
      <c r="AQ355" t="str">
        <f t="shared" si="76"/>
        <v>Completed</v>
      </c>
    </row>
    <row r="356" spans="1:43">
      <c r="A356" t="s">
        <v>1362</v>
      </c>
      <c r="B356" s="3">
        <v>45653</v>
      </c>
      <c r="C356" s="3">
        <v>45657</v>
      </c>
      <c r="D356" t="s">
        <v>1363</v>
      </c>
      <c r="E356" t="s">
        <v>375</v>
      </c>
      <c r="F356" t="s">
        <v>1364</v>
      </c>
      <c r="G356" t="s">
        <v>110</v>
      </c>
      <c r="H356" t="s">
        <v>211</v>
      </c>
      <c r="I356" t="s">
        <v>212</v>
      </c>
      <c r="J356" t="s">
        <v>126</v>
      </c>
      <c r="K356" t="s">
        <v>143</v>
      </c>
      <c r="L356" t="s">
        <v>1365</v>
      </c>
      <c r="M356" t="s">
        <v>145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199</v>
      </c>
      <c r="U356" t="s">
        <v>44</v>
      </c>
      <c r="V356" s="2">
        <f t="shared" si="66"/>
        <v>-0.06</v>
      </c>
      <c r="W356" s="2">
        <f t="shared" si="67"/>
        <v>21285.520800000002</v>
      </c>
      <c r="X356" s="2">
        <f>W356-R356</f>
        <v>8376.6808000000019</v>
      </c>
      <c r="Y356" s="2">
        <f t="shared" si="68"/>
        <v>0.39353891683965753</v>
      </c>
      <c r="Z356" s="2">
        <f t="shared" si="69"/>
        <v>4</v>
      </c>
      <c r="AA356" s="2">
        <f t="shared" si="70"/>
        <v>12</v>
      </c>
      <c r="AB356" s="2">
        <f t="shared" si="71"/>
        <v>2024</v>
      </c>
      <c r="AC356" s="2" t="str">
        <f t="shared" si="72"/>
        <v>Invalid</v>
      </c>
      <c r="AD356" s="2">
        <f t="shared" si="73"/>
        <v>1</v>
      </c>
      <c r="AE356" s="2">
        <f t="shared" si="74"/>
        <v>1</v>
      </c>
      <c r="AH356" t="str">
        <f t="shared" si="77"/>
        <v>Kabir Singh</v>
      </c>
      <c r="AI356" t="str">
        <f t="shared" si="77"/>
        <v>Corporate</v>
      </c>
      <c r="AJ356" t="str">
        <f t="shared" si="77"/>
        <v>North</v>
      </c>
      <c r="AK356" t="str">
        <f t="shared" si="77"/>
        <v>Punjab</v>
      </c>
      <c r="AL356" t="str">
        <f t="shared" si="77"/>
        <v>Ludhiana</v>
      </c>
      <c r="AM356" t="str">
        <f t="shared" si="77"/>
        <v>Furniture</v>
      </c>
      <c r="AN356" t="str">
        <f t="shared" si="77"/>
        <v>Furnishings</v>
      </c>
      <c r="AO356" t="str">
        <f t="shared" si="75"/>
        <v>Standard Class</v>
      </c>
      <c r="AP356" t="str">
        <f t="shared" si="76"/>
        <v>Pending</v>
      </c>
      <c r="AQ356" t="str">
        <f t="shared" si="76"/>
        <v>Cancelled</v>
      </c>
    </row>
    <row r="357" spans="1:43">
      <c r="A357" t="s">
        <v>1366</v>
      </c>
      <c r="B357" s="3">
        <v>45631</v>
      </c>
      <c r="C357" s="3">
        <v>45421</v>
      </c>
      <c r="D357" t="s">
        <v>1367</v>
      </c>
      <c r="E357" t="s">
        <v>203</v>
      </c>
      <c r="F357" t="s">
        <v>177</v>
      </c>
      <c r="G357" t="s">
        <v>149</v>
      </c>
      <c r="H357" t="s">
        <v>111</v>
      </c>
      <c r="I357" t="s">
        <v>197</v>
      </c>
      <c r="J357" t="s">
        <v>126</v>
      </c>
      <c r="K357" t="s">
        <v>127</v>
      </c>
      <c r="L357" t="s">
        <v>1368</v>
      </c>
      <c r="M357" t="s">
        <v>145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199</v>
      </c>
      <c r="U357" t="s">
        <v>44</v>
      </c>
      <c r="V357" s="2">
        <f t="shared" si="66"/>
        <v>0</v>
      </c>
      <c r="W357" s="2">
        <f t="shared" si="67"/>
        <v>16017.4</v>
      </c>
      <c r="X357" s="2">
        <f>W357-R357</f>
        <v>6459.6</v>
      </c>
      <c r="Y357" s="2">
        <f t="shared" si="68"/>
        <v>0.40328642601171227</v>
      </c>
      <c r="Z357" s="2">
        <f t="shared" si="69"/>
        <v>-210</v>
      </c>
      <c r="AA357" s="2">
        <f t="shared" si="70"/>
        <v>12</v>
      </c>
      <c r="AB357" s="2">
        <f t="shared" si="71"/>
        <v>2024</v>
      </c>
      <c r="AC357" s="2" t="str">
        <f t="shared" si="72"/>
        <v>Invalid shipping record</v>
      </c>
      <c r="AD357" s="2">
        <f t="shared" si="73"/>
        <v>0</v>
      </c>
      <c r="AE357" s="2">
        <f t="shared" si="74"/>
        <v>0</v>
      </c>
      <c r="AH357" t="str">
        <f t="shared" si="77"/>
        <v>Priya Menon</v>
      </c>
      <c r="AI357" t="str">
        <f t="shared" si="77"/>
        <v>Corporate</v>
      </c>
      <c r="AJ357" t="str">
        <f t="shared" si="77"/>
        <v>West</v>
      </c>
      <c r="AK357" t="str">
        <f t="shared" si="77"/>
        <v>Rajasthan</v>
      </c>
      <c r="AL357" t="str">
        <f t="shared" si="77"/>
        <v>Udaipur</v>
      </c>
      <c r="AM357" t="str">
        <f t="shared" si="77"/>
        <v>Furniture</v>
      </c>
      <c r="AN357" t="str">
        <f t="shared" si="77"/>
        <v>Tables</v>
      </c>
      <c r="AO357" t="str">
        <f t="shared" si="75"/>
        <v>Standard Class</v>
      </c>
      <c r="AP357" t="str">
        <f t="shared" si="76"/>
        <v>Pending</v>
      </c>
      <c r="AQ357" t="str">
        <f t="shared" si="76"/>
        <v>Cancelled</v>
      </c>
    </row>
    <row r="358" spans="1:43">
      <c r="A358" t="s">
        <v>1369</v>
      </c>
      <c r="B358" s="3">
        <v>45835</v>
      </c>
      <c r="C358" s="3">
        <v>45837</v>
      </c>
      <c r="D358" t="s">
        <v>1370</v>
      </c>
      <c r="E358" t="s">
        <v>232</v>
      </c>
      <c r="F358" t="s">
        <v>182</v>
      </c>
      <c r="G358" t="s">
        <v>140</v>
      </c>
      <c r="H358" t="s">
        <v>141</v>
      </c>
      <c r="I358" t="s">
        <v>142</v>
      </c>
      <c r="J358" t="s">
        <v>126</v>
      </c>
      <c r="K358" t="s">
        <v>152</v>
      </c>
      <c r="L358" t="s">
        <v>1371</v>
      </c>
      <c r="M358" t="s">
        <v>135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199</v>
      </c>
      <c r="U358" t="s">
        <v>190</v>
      </c>
      <c r="V358" s="2">
        <f t="shared" si="66"/>
        <v>0.2</v>
      </c>
      <c r="W358" s="2">
        <f t="shared" si="67"/>
        <v>2486.8000000000002</v>
      </c>
      <c r="X358" s="2">
        <f>W358-R358</f>
        <v>355.07000000000016</v>
      </c>
      <c r="Y358" s="2">
        <f t="shared" si="68"/>
        <v>0.1427818883705968</v>
      </c>
      <c r="Z358" s="2">
        <f t="shared" si="69"/>
        <v>2</v>
      </c>
      <c r="AA358" s="2">
        <f t="shared" si="70"/>
        <v>6</v>
      </c>
      <c r="AB358" s="2">
        <f t="shared" si="71"/>
        <v>2025</v>
      </c>
      <c r="AC358" s="2" t="str">
        <f t="shared" si="72"/>
        <v>Valid</v>
      </c>
      <c r="AD358" s="2">
        <f t="shared" si="73"/>
        <v>0</v>
      </c>
      <c r="AE358" s="2">
        <f t="shared" si="74"/>
        <v>0</v>
      </c>
      <c r="AH358" t="str">
        <f t="shared" si="77"/>
        <v>Rohan Mehta</v>
      </c>
      <c r="AI358" t="str">
        <f t="shared" si="77"/>
        <v>Home Office</v>
      </c>
      <c r="AJ358" t="str">
        <f t="shared" si="77"/>
        <v>South</v>
      </c>
      <c r="AK358" t="str">
        <f t="shared" si="77"/>
        <v>Telangana</v>
      </c>
      <c r="AL358" t="str">
        <f t="shared" si="77"/>
        <v>Hyderabad</v>
      </c>
      <c r="AM358" t="str">
        <f t="shared" si="77"/>
        <v>Furniture</v>
      </c>
      <c r="AN358" t="str">
        <f t="shared" si="77"/>
        <v>Chairs</v>
      </c>
      <c r="AO358" t="str">
        <f t="shared" si="75"/>
        <v>First Class</v>
      </c>
      <c r="AP358" t="str">
        <f t="shared" si="76"/>
        <v>Pending</v>
      </c>
      <c r="AQ358" t="str">
        <f t="shared" si="76"/>
        <v>Returned</v>
      </c>
    </row>
    <row r="359" spans="1:43">
      <c r="A359" t="s">
        <v>1372</v>
      </c>
      <c r="B359" s="3">
        <v>45678</v>
      </c>
      <c r="C359" s="3">
        <v>45686</v>
      </c>
      <c r="D359" t="s">
        <v>1373</v>
      </c>
      <c r="E359" t="s">
        <v>121</v>
      </c>
      <c r="F359" t="s">
        <v>182</v>
      </c>
      <c r="G359" t="s">
        <v>140</v>
      </c>
      <c r="H359" t="s">
        <v>171</v>
      </c>
      <c r="I359" t="s">
        <v>172</v>
      </c>
      <c r="J359" t="s">
        <v>160</v>
      </c>
      <c r="K359" t="s">
        <v>385</v>
      </c>
      <c r="L359" t="s">
        <v>1374</v>
      </c>
      <c r="M359" t="s">
        <v>116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117</v>
      </c>
      <c r="U359" t="s">
        <v>44</v>
      </c>
      <c r="V359" s="2">
        <f t="shared" si="66"/>
        <v>0</v>
      </c>
      <c r="W359" s="2">
        <f t="shared" si="67"/>
        <v>4369.04</v>
      </c>
      <c r="X359" s="2">
        <f>W359-R359</f>
        <v>652.15999999999985</v>
      </c>
      <c r="Y359" s="2">
        <f t="shared" si="68"/>
        <v>0.14926848918755603</v>
      </c>
      <c r="Z359" s="2">
        <f t="shared" si="69"/>
        <v>8</v>
      </c>
      <c r="AA359" s="2">
        <f t="shared" si="70"/>
        <v>1</v>
      </c>
      <c r="AB359" s="2">
        <f t="shared" si="71"/>
        <v>2025</v>
      </c>
      <c r="AC359" s="2" t="str">
        <f t="shared" si="72"/>
        <v>Valid</v>
      </c>
      <c r="AD359" s="2">
        <f t="shared" si="73"/>
        <v>0</v>
      </c>
      <c r="AE359" s="2">
        <f t="shared" si="74"/>
        <v>0</v>
      </c>
      <c r="AH359" t="str">
        <f t="shared" si="77"/>
        <v>Mira Das</v>
      </c>
      <c r="AI359" t="str">
        <f t="shared" si="77"/>
        <v>Home Office</v>
      </c>
      <c r="AJ359" t="str">
        <f t="shared" si="77"/>
        <v>South</v>
      </c>
      <c r="AK359" t="str">
        <f t="shared" si="77"/>
        <v>Andhra Pradesh</v>
      </c>
      <c r="AL359" t="str">
        <f t="shared" si="77"/>
        <v>Vijayawada</v>
      </c>
      <c r="AM359" t="str">
        <f t="shared" si="77"/>
        <v>Technology</v>
      </c>
      <c r="AN359" t="str">
        <f t="shared" si="77"/>
        <v>Machines</v>
      </c>
      <c r="AO359" t="str">
        <f t="shared" si="75"/>
        <v>Second Class</v>
      </c>
      <c r="AP359" t="str">
        <f t="shared" si="76"/>
        <v>Paid</v>
      </c>
      <c r="AQ359" t="str">
        <f t="shared" si="76"/>
        <v>Cancelled</v>
      </c>
    </row>
    <row r="360" spans="1:43">
      <c r="A360" t="s">
        <v>1375</v>
      </c>
      <c r="B360" s="3">
        <v>45878</v>
      </c>
      <c r="C360" s="3">
        <v>45876</v>
      </c>
      <c r="D360" t="s">
        <v>1376</v>
      </c>
      <c r="E360" t="s">
        <v>157</v>
      </c>
      <c r="F360" t="s">
        <v>182</v>
      </c>
      <c r="G360" t="s">
        <v>149</v>
      </c>
      <c r="H360" t="s">
        <v>276</v>
      </c>
      <c r="I360" t="s">
        <v>277</v>
      </c>
      <c r="J360" t="s">
        <v>126</v>
      </c>
      <c r="K360" t="s">
        <v>252</v>
      </c>
      <c r="L360" t="s">
        <v>1377</v>
      </c>
      <c r="M360" t="s">
        <v>116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199</v>
      </c>
      <c r="U360" t="s">
        <v>190</v>
      </c>
      <c r="V360" s="2">
        <f t="shared" si="66"/>
        <v>0.05</v>
      </c>
      <c r="W360" s="2">
        <f t="shared" si="67"/>
        <v>5956.12</v>
      </c>
      <c r="X360" s="2">
        <f>W360-R360</f>
        <v>1576.9399999999996</v>
      </c>
      <c r="Y360" s="2">
        <f t="shared" si="68"/>
        <v>0.26475960860425907</v>
      </c>
      <c r="Z360" s="2">
        <f t="shared" si="69"/>
        <v>-2</v>
      </c>
      <c r="AA360" s="2">
        <f t="shared" si="70"/>
        <v>8</v>
      </c>
      <c r="AB360" s="2">
        <f t="shared" si="71"/>
        <v>2025</v>
      </c>
      <c r="AC360" s="2" t="str">
        <f t="shared" si="72"/>
        <v>Invalid shipping record</v>
      </c>
      <c r="AD360" s="2">
        <f t="shared" si="73"/>
        <v>0</v>
      </c>
      <c r="AE360" s="2">
        <f t="shared" si="74"/>
        <v>0</v>
      </c>
      <c r="AH360" t="str">
        <f t="shared" si="77"/>
        <v>Vikram Iyer</v>
      </c>
      <c r="AI360" t="str">
        <f t="shared" si="77"/>
        <v>Home Office</v>
      </c>
      <c r="AJ360" t="str">
        <f t="shared" si="77"/>
        <v>West</v>
      </c>
      <c r="AK360" t="str">
        <f t="shared" si="77"/>
        <v>Gujarat</v>
      </c>
      <c r="AL360" t="str">
        <f t="shared" si="77"/>
        <v>Ahmedabad</v>
      </c>
      <c r="AM360" t="str">
        <f t="shared" si="77"/>
        <v>Furniture</v>
      </c>
      <c r="AN360" t="str">
        <f t="shared" si="77"/>
        <v>Bookcases</v>
      </c>
      <c r="AO360" t="str">
        <f t="shared" si="75"/>
        <v>Second Class</v>
      </c>
      <c r="AP360" t="str">
        <f t="shared" si="76"/>
        <v>Pending</v>
      </c>
      <c r="AQ360" t="str">
        <f t="shared" si="76"/>
        <v>Returned</v>
      </c>
    </row>
    <row r="361" spans="1:43">
      <c r="A361" t="s">
        <v>1378</v>
      </c>
      <c r="B361" s="3">
        <v>45525</v>
      </c>
      <c r="C361" s="3" t="s">
        <v>1379</v>
      </c>
      <c r="D361" t="s">
        <v>1380</v>
      </c>
      <c r="E361" t="s">
        <v>132</v>
      </c>
      <c r="F361" t="s">
        <v>109</v>
      </c>
      <c r="G361" t="s">
        <v>140</v>
      </c>
      <c r="H361" t="s">
        <v>357</v>
      </c>
      <c r="I361" t="s">
        <v>358</v>
      </c>
      <c r="J361" t="s">
        <v>160</v>
      </c>
      <c r="K361" t="s">
        <v>266</v>
      </c>
      <c r="L361" t="s">
        <v>1381</v>
      </c>
      <c r="M361" t="s">
        <v>129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117</v>
      </c>
      <c r="U361" t="s">
        <v>118</v>
      </c>
      <c r="V361" s="2">
        <f t="shared" si="66"/>
        <v>0.1</v>
      </c>
      <c r="W361" s="2">
        <f t="shared" si="67"/>
        <v>4997.3760000000002</v>
      </c>
      <c r="X361" s="2">
        <f>W361-R361</f>
        <v>2025.9860000000003</v>
      </c>
      <c r="Y361" s="2">
        <f t="shared" si="68"/>
        <v>0.40540995914656014</v>
      </c>
      <c r="Z361" s="2" t="str">
        <f t="shared" si="69"/>
        <v/>
      </c>
      <c r="AA361" s="2">
        <f t="shared" si="70"/>
        <v>8</v>
      </c>
      <c r="AB361" s="2">
        <f t="shared" si="71"/>
        <v>2024</v>
      </c>
      <c r="AC361" s="2" t="str">
        <f t="shared" si="72"/>
        <v>Text Value Not Recognized as Date</v>
      </c>
      <c r="AD361" s="2">
        <f t="shared" si="73"/>
        <v>0</v>
      </c>
      <c r="AE361" s="2">
        <f t="shared" si="74"/>
        <v>0</v>
      </c>
      <c r="AH361" t="str">
        <f t="shared" si="77"/>
        <v>Isha Nair</v>
      </c>
      <c r="AI361" t="str">
        <f t="shared" si="77"/>
        <v>Consumer</v>
      </c>
      <c r="AJ361" t="str">
        <f t="shared" si="77"/>
        <v>South</v>
      </c>
      <c r="AK361" t="str">
        <f t="shared" si="77"/>
        <v>Tamil Nadu</v>
      </c>
      <c r="AL361" t="str">
        <f t="shared" si="77"/>
        <v>Chennai</v>
      </c>
      <c r="AM361" t="str">
        <f t="shared" si="77"/>
        <v>Technology</v>
      </c>
      <c r="AN361" t="str">
        <f t="shared" si="77"/>
        <v>Phones</v>
      </c>
      <c r="AO361" t="str">
        <f t="shared" si="75"/>
        <v>Same Day</v>
      </c>
      <c r="AP361" t="str">
        <f t="shared" si="76"/>
        <v>Paid</v>
      </c>
      <c r="AQ361" t="str">
        <f t="shared" si="76"/>
        <v>Completed</v>
      </c>
    </row>
    <row r="362" spans="1:43">
      <c r="A362" t="s">
        <v>1382</v>
      </c>
      <c r="B362" s="3">
        <v>45460</v>
      </c>
      <c r="C362" s="3">
        <v>45463</v>
      </c>
      <c r="D362" t="s">
        <v>1383</v>
      </c>
      <c r="E362" t="s">
        <v>222</v>
      </c>
      <c r="F362" t="s">
        <v>122</v>
      </c>
      <c r="G362" t="s">
        <v>149</v>
      </c>
      <c r="H362" t="s">
        <v>276</v>
      </c>
      <c r="I362" t="s">
        <v>277</v>
      </c>
      <c r="J362" t="s">
        <v>126</v>
      </c>
      <c r="K362" t="s">
        <v>143</v>
      </c>
      <c r="L362" t="s">
        <v>1384</v>
      </c>
      <c r="M362" t="s">
        <v>145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189</v>
      </c>
      <c r="U362" t="s">
        <v>44</v>
      </c>
      <c r="V362" s="2">
        <f t="shared" si="66"/>
        <v>0.2</v>
      </c>
      <c r="W362" s="2">
        <f t="shared" si="67"/>
        <v>17669.400000000001</v>
      </c>
      <c r="X362" s="2">
        <f>W362-R362</f>
        <v>3950.630000000001</v>
      </c>
      <c r="Y362" s="2">
        <f t="shared" si="68"/>
        <v>0.2235859734908939</v>
      </c>
      <c r="Z362" s="2">
        <f t="shared" si="69"/>
        <v>3</v>
      </c>
      <c r="AA362" s="2">
        <f t="shared" si="70"/>
        <v>6</v>
      </c>
      <c r="AB362" s="2">
        <f t="shared" si="71"/>
        <v>2024</v>
      </c>
      <c r="AC362" s="2" t="str">
        <f t="shared" si="72"/>
        <v>Valid</v>
      </c>
      <c r="AD362" s="2">
        <f t="shared" si="73"/>
        <v>0</v>
      </c>
      <c r="AE362" s="2">
        <f t="shared" si="74"/>
        <v>0</v>
      </c>
      <c r="AH362" t="str">
        <f t="shared" si="77"/>
        <v>Sneha Kapoor</v>
      </c>
      <c r="AI362" t="str">
        <f t="shared" si="77"/>
        <v>Small Business</v>
      </c>
      <c r="AJ362" t="str">
        <f t="shared" si="77"/>
        <v>West</v>
      </c>
      <c r="AK362" t="str">
        <f t="shared" si="77"/>
        <v>Gujarat</v>
      </c>
      <c r="AL362" t="str">
        <f t="shared" si="77"/>
        <v>Ahmedabad</v>
      </c>
      <c r="AM362" t="str">
        <f t="shared" si="77"/>
        <v>Furniture</v>
      </c>
      <c r="AN362" t="str">
        <f t="shared" si="77"/>
        <v>Furnishings</v>
      </c>
      <c r="AO362" t="str">
        <f t="shared" si="75"/>
        <v>Standard Class</v>
      </c>
      <c r="AP362" t="str">
        <f t="shared" si="76"/>
        <v>Refunded</v>
      </c>
      <c r="AQ362" t="str">
        <f t="shared" si="76"/>
        <v>Cancelled</v>
      </c>
    </row>
    <row r="363" spans="1:43">
      <c r="A363" t="s">
        <v>1385</v>
      </c>
      <c r="B363" s="3">
        <v>45661</v>
      </c>
      <c r="C363" s="3">
        <v>45749</v>
      </c>
      <c r="D363" t="s">
        <v>1386</v>
      </c>
      <c r="E363" t="s">
        <v>232</v>
      </c>
      <c r="F363" t="s">
        <v>177</v>
      </c>
      <c r="G363" t="s">
        <v>123</v>
      </c>
      <c r="H363" t="s">
        <v>124</v>
      </c>
      <c r="I363" t="s">
        <v>125</v>
      </c>
      <c r="J363" t="s">
        <v>126</v>
      </c>
      <c r="K363" t="s">
        <v>152</v>
      </c>
      <c r="L363" t="s">
        <v>1387</v>
      </c>
      <c r="M363" t="s">
        <v>116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199</v>
      </c>
      <c r="U363" t="s">
        <v>190</v>
      </c>
      <c r="V363" s="2">
        <f t="shared" si="66"/>
        <v>0.05</v>
      </c>
      <c r="W363" s="2">
        <f t="shared" si="67"/>
        <v>35615.709000000003</v>
      </c>
      <c r="X363" s="2">
        <f>W363-R363</f>
        <v>15225.999000000003</v>
      </c>
      <c r="Y363" s="2">
        <f t="shared" si="68"/>
        <v>0.42750795723314122</v>
      </c>
      <c r="Z363" s="2">
        <f t="shared" si="69"/>
        <v>88</v>
      </c>
      <c r="AA363" s="2">
        <f t="shared" si="70"/>
        <v>1</v>
      </c>
      <c r="AB363" s="2">
        <f t="shared" si="71"/>
        <v>2025</v>
      </c>
      <c r="AC363" s="2" t="str">
        <f t="shared" si="72"/>
        <v>Valid</v>
      </c>
      <c r="AD363" s="2">
        <f t="shared" si="73"/>
        <v>0</v>
      </c>
      <c r="AE363" s="2">
        <f t="shared" si="74"/>
        <v>0</v>
      </c>
      <c r="AH363" t="str">
        <f t="shared" si="77"/>
        <v>Rohan Mehta</v>
      </c>
      <c r="AI363" t="str">
        <f t="shared" si="77"/>
        <v>Corporate</v>
      </c>
      <c r="AJ363" t="str">
        <f t="shared" si="77"/>
        <v>East</v>
      </c>
      <c r="AK363" t="str">
        <f t="shared" si="77"/>
        <v>Odisha</v>
      </c>
      <c r="AL363" t="str">
        <f t="shared" ref="AL363:AN426" si="78">PROPER(TRIM(I363))</f>
        <v>Bhubaneswar</v>
      </c>
      <c r="AM363" t="str">
        <f t="shared" si="78"/>
        <v>Furniture</v>
      </c>
      <c r="AN363" t="str">
        <f t="shared" si="78"/>
        <v>Chairs</v>
      </c>
      <c r="AO363" t="str">
        <f t="shared" si="75"/>
        <v>Second Class</v>
      </c>
      <c r="AP363" t="str">
        <f t="shared" si="76"/>
        <v>Pending</v>
      </c>
      <c r="AQ363" t="str">
        <f t="shared" si="76"/>
        <v>Returned</v>
      </c>
    </row>
    <row r="364" spans="1:43">
      <c r="A364" t="s">
        <v>1388</v>
      </c>
      <c r="B364" s="3">
        <v>45527</v>
      </c>
      <c r="C364" s="3" t="s">
        <v>1389</v>
      </c>
      <c r="D364" t="s">
        <v>1390</v>
      </c>
      <c r="E364" t="s">
        <v>157</v>
      </c>
      <c r="F364" t="s">
        <v>109</v>
      </c>
      <c r="G364" t="s">
        <v>149</v>
      </c>
      <c r="H364" t="s">
        <v>287</v>
      </c>
      <c r="I364" t="s">
        <v>288</v>
      </c>
      <c r="J364" t="s">
        <v>160</v>
      </c>
      <c r="K364" t="s">
        <v>385</v>
      </c>
      <c r="L364" t="s">
        <v>1391</v>
      </c>
      <c r="M364" t="s">
        <v>129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117</v>
      </c>
      <c r="U364" t="s">
        <v>118</v>
      </c>
      <c r="V364" s="2">
        <f t="shared" si="66"/>
        <v>0.05</v>
      </c>
      <c r="W364" s="2">
        <f t="shared" si="67"/>
        <v>1866.4079999999999</v>
      </c>
      <c r="X364" s="2">
        <f>W364-R364</f>
        <v>289.91799999999989</v>
      </c>
      <c r="Y364" s="2">
        <f t="shared" si="68"/>
        <v>0.15533473924243782</v>
      </c>
      <c r="Z364" s="2" t="str">
        <f t="shared" si="69"/>
        <v/>
      </c>
      <c r="AA364" s="2">
        <f t="shared" si="70"/>
        <v>8</v>
      </c>
      <c r="AB364" s="2">
        <f t="shared" si="71"/>
        <v>2024</v>
      </c>
      <c r="AC364" s="2" t="str">
        <f t="shared" si="72"/>
        <v>Text Value Not Recognized as Date</v>
      </c>
      <c r="AD364" s="2">
        <f t="shared" si="73"/>
        <v>0</v>
      </c>
      <c r="AE364" s="2">
        <f t="shared" si="74"/>
        <v>0</v>
      </c>
      <c r="AH364" t="str">
        <f t="shared" ref="AH364:AK427" si="79">PROPER(TRIM(E364))</f>
        <v>Vikram Iyer</v>
      </c>
      <c r="AI364" t="str">
        <f t="shared" si="79"/>
        <v>Consumer</v>
      </c>
      <c r="AJ364" t="str">
        <f t="shared" si="79"/>
        <v>West</v>
      </c>
      <c r="AK364" t="str">
        <f t="shared" si="79"/>
        <v>Goa</v>
      </c>
      <c r="AL364" t="str">
        <f t="shared" si="78"/>
        <v>Panaji</v>
      </c>
      <c r="AM364" t="str">
        <f t="shared" si="78"/>
        <v>Technology</v>
      </c>
      <c r="AN364" t="str">
        <f t="shared" si="78"/>
        <v>Machines</v>
      </c>
      <c r="AO364" t="str">
        <f t="shared" si="75"/>
        <v>Same Day</v>
      </c>
      <c r="AP364" t="str">
        <f t="shared" si="76"/>
        <v>Paid</v>
      </c>
      <c r="AQ364" t="str">
        <f t="shared" si="76"/>
        <v>Completed</v>
      </c>
    </row>
    <row r="365" spans="1:43">
      <c r="A365" t="s">
        <v>1392</v>
      </c>
      <c r="B365" s="3">
        <v>45845</v>
      </c>
      <c r="C365" s="3">
        <v>45850</v>
      </c>
      <c r="D365" t="s">
        <v>1393</v>
      </c>
      <c r="E365" t="s">
        <v>256</v>
      </c>
      <c r="F365" t="s">
        <v>177</v>
      </c>
      <c r="G365" t="s">
        <v>123</v>
      </c>
      <c r="H365" t="s">
        <v>186</v>
      </c>
      <c r="I365" t="s">
        <v>187</v>
      </c>
      <c r="J365" t="s">
        <v>126</v>
      </c>
      <c r="K365" t="s">
        <v>127</v>
      </c>
      <c r="L365" t="s">
        <v>1394</v>
      </c>
      <c r="M365" t="s">
        <v>116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117</v>
      </c>
      <c r="U365" t="s">
        <v>118</v>
      </c>
      <c r="V365" s="2">
        <f t="shared" si="66"/>
        <v>0.25</v>
      </c>
      <c r="W365" s="2">
        <f t="shared" si="67"/>
        <v>6867.6374999999989</v>
      </c>
      <c r="X365" s="2">
        <f>W365-R365</f>
        <v>1662.2774999999992</v>
      </c>
      <c r="Y365" s="2">
        <f t="shared" si="68"/>
        <v>0.24204502640100028</v>
      </c>
      <c r="Z365" s="2">
        <f t="shared" si="69"/>
        <v>5</v>
      </c>
      <c r="AA365" s="2">
        <f t="shared" si="70"/>
        <v>7</v>
      </c>
      <c r="AB365" s="2">
        <f t="shared" si="71"/>
        <v>2025</v>
      </c>
      <c r="AC365" s="2" t="str">
        <f t="shared" si="72"/>
        <v>Valid</v>
      </c>
      <c r="AD365" s="2">
        <f t="shared" si="73"/>
        <v>0</v>
      </c>
      <c r="AE365" s="2">
        <f t="shared" si="74"/>
        <v>0</v>
      </c>
      <c r="AH365" t="str">
        <f t="shared" si="79"/>
        <v>Diya Patel</v>
      </c>
      <c r="AI365" t="str">
        <f t="shared" si="79"/>
        <v>Corporate</v>
      </c>
      <c r="AJ365" t="str">
        <f t="shared" si="79"/>
        <v>East</v>
      </c>
      <c r="AK365" t="str">
        <f t="shared" si="79"/>
        <v>West Bengal</v>
      </c>
      <c r="AL365" t="str">
        <f t="shared" si="78"/>
        <v>Kolkata</v>
      </c>
      <c r="AM365" t="str">
        <f t="shared" si="78"/>
        <v>Furniture</v>
      </c>
      <c r="AN365" t="str">
        <f t="shared" si="78"/>
        <v>Tables</v>
      </c>
      <c r="AO365" t="str">
        <f t="shared" si="75"/>
        <v>Second Class</v>
      </c>
      <c r="AP365" t="str">
        <f t="shared" si="76"/>
        <v>Paid</v>
      </c>
      <c r="AQ365" t="str">
        <f t="shared" si="76"/>
        <v>Completed</v>
      </c>
    </row>
    <row r="366" spans="1:43">
      <c r="A366" t="s">
        <v>1395</v>
      </c>
      <c r="B366" s="3">
        <v>45737</v>
      </c>
      <c r="C366" s="3">
        <v>45740</v>
      </c>
      <c r="D366" t="s">
        <v>1396</v>
      </c>
      <c r="E366" t="s">
        <v>218</v>
      </c>
      <c r="F366" t="s">
        <v>122</v>
      </c>
      <c r="G366" t="s">
        <v>140</v>
      </c>
      <c r="H366" t="s">
        <v>171</v>
      </c>
      <c r="I366" t="s">
        <v>172</v>
      </c>
      <c r="J366" t="s">
        <v>126</v>
      </c>
      <c r="K366" t="s">
        <v>152</v>
      </c>
      <c r="L366" t="s">
        <v>1397</v>
      </c>
      <c r="M366" t="s">
        <v>116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117</v>
      </c>
      <c r="U366" t="s">
        <v>118</v>
      </c>
      <c r="V366" s="2">
        <f t="shared" si="66"/>
        <v>0</v>
      </c>
      <c r="W366" s="2">
        <f t="shared" si="67"/>
        <v>6195.75</v>
      </c>
      <c r="X366" s="2">
        <f>W366-R366</f>
        <v>2228.73</v>
      </c>
      <c r="Y366" s="2">
        <f t="shared" si="68"/>
        <v>0.35971916232901585</v>
      </c>
      <c r="Z366" s="2">
        <f t="shared" si="69"/>
        <v>3</v>
      </c>
      <c r="AA366" s="2">
        <f t="shared" si="70"/>
        <v>3</v>
      </c>
      <c r="AB366" s="2">
        <f t="shared" si="71"/>
        <v>2025</v>
      </c>
      <c r="AC366" s="2" t="str">
        <f t="shared" si="72"/>
        <v>Valid</v>
      </c>
      <c r="AD366" s="2">
        <f t="shared" si="73"/>
        <v>0</v>
      </c>
      <c r="AE366" s="2">
        <f t="shared" si="74"/>
        <v>0</v>
      </c>
      <c r="AH366" t="str">
        <f t="shared" si="79"/>
        <v>Aarav Sharma</v>
      </c>
      <c r="AI366" t="str">
        <f t="shared" si="79"/>
        <v>Small Business</v>
      </c>
      <c r="AJ366" t="str">
        <f t="shared" si="79"/>
        <v>South</v>
      </c>
      <c r="AK366" t="str">
        <f t="shared" si="79"/>
        <v>Andhra Pradesh</v>
      </c>
      <c r="AL366" t="str">
        <f t="shared" si="78"/>
        <v>Vijayawada</v>
      </c>
      <c r="AM366" t="str">
        <f t="shared" si="78"/>
        <v>Furniture</v>
      </c>
      <c r="AN366" t="str">
        <f t="shared" si="78"/>
        <v>Chairs</v>
      </c>
      <c r="AO366" t="str">
        <f t="shared" si="75"/>
        <v>Second Class</v>
      </c>
      <c r="AP366" t="str">
        <f t="shared" si="76"/>
        <v>Paid</v>
      </c>
      <c r="AQ366" t="str">
        <f t="shared" si="76"/>
        <v>Completed</v>
      </c>
    </row>
    <row r="367" spans="1:43">
      <c r="A367" t="s">
        <v>1398</v>
      </c>
      <c r="B367" s="3" t="s">
        <v>1399</v>
      </c>
      <c r="C367" s="3" t="s">
        <v>1400</v>
      </c>
      <c r="D367" t="s">
        <v>1401</v>
      </c>
      <c r="E367" t="s">
        <v>176</v>
      </c>
      <c r="F367" t="s">
        <v>177</v>
      </c>
      <c r="G367" t="s">
        <v>149</v>
      </c>
      <c r="H367" t="s">
        <v>287</v>
      </c>
      <c r="I367" t="s">
        <v>288</v>
      </c>
      <c r="J367" t="s">
        <v>160</v>
      </c>
      <c r="K367" t="s">
        <v>161</v>
      </c>
      <c r="L367" t="s">
        <v>1402</v>
      </c>
      <c r="M367" t="s">
        <v>135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117</v>
      </c>
      <c r="U367" t="s">
        <v>118</v>
      </c>
      <c r="V367" s="2">
        <f t="shared" si="66"/>
        <v>0</v>
      </c>
      <c r="W367" s="2">
        <f t="shared" si="67"/>
        <v>13651.2</v>
      </c>
      <c r="X367" s="2">
        <f>W367-R367</f>
        <v>3531.59</v>
      </c>
      <c r="Y367" s="2">
        <f t="shared" si="68"/>
        <v>0.2587017991092358</v>
      </c>
      <c r="Z367" s="2" t="str">
        <f t="shared" si="69"/>
        <v/>
      </c>
      <c r="AA367" s="2" t="e">
        <f t="shared" si="70"/>
        <v>#VALUE!</v>
      </c>
      <c r="AB367" s="2" t="e">
        <f t="shared" si="71"/>
        <v>#VALUE!</v>
      </c>
      <c r="AC367" s="2" t="str">
        <f t="shared" si="72"/>
        <v>Text Value Not Recognized as Date</v>
      </c>
      <c r="AD367" s="2">
        <f t="shared" si="73"/>
        <v>1</v>
      </c>
      <c r="AE367" s="2">
        <f t="shared" si="74"/>
        <v>1</v>
      </c>
      <c r="AH367" t="str">
        <f t="shared" si="79"/>
        <v>Aditi Sen</v>
      </c>
      <c r="AI367" t="str">
        <f t="shared" si="79"/>
        <v>Corporate</v>
      </c>
      <c r="AJ367" t="str">
        <f t="shared" si="79"/>
        <v>West</v>
      </c>
      <c r="AK367" t="str">
        <f t="shared" si="79"/>
        <v>Goa</v>
      </c>
      <c r="AL367" t="str">
        <f t="shared" si="78"/>
        <v>Panaji</v>
      </c>
      <c r="AM367" t="str">
        <f t="shared" si="78"/>
        <v>Technology</v>
      </c>
      <c r="AN367" t="str">
        <f t="shared" si="78"/>
        <v>Accessories</v>
      </c>
      <c r="AO367" t="str">
        <f t="shared" si="75"/>
        <v>First Class</v>
      </c>
      <c r="AP367" t="str">
        <f t="shared" si="76"/>
        <v>Paid</v>
      </c>
      <c r="AQ367" t="str">
        <f t="shared" si="76"/>
        <v>Completed</v>
      </c>
    </row>
    <row r="368" spans="1:43">
      <c r="A368" t="s">
        <v>1403</v>
      </c>
      <c r="B368" s="3">
        <v>45673</v>
      </c>
      <c r="C368" s="3">
        <v>45679</v>
      </c>
      <c r="D368" t="s">
        <v>1404</v>
      </c>
      <c r="E368" t="s">
        <v>222</v>
      </c>
      <c r="F368" t="s">
        <v>177</v>
      </c>
      <c r="G368" t="s">
        <v>110</v>
      </c>
      <c r="H368" t="s">
        <v>111</v>
      </c>
      <c r="I368" t="s">
        <v>112</v>
      </c>
      <c r="J368" t="s">
        <v>126</v>
      </c>
      <c r="K368" t="s">
        <v>127</v>
      </c>
      <c r="L368" t="s">
        <v>1405</v>
      </c>
      <c r="M368" t="s">
        <v>129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117</v>
      </c>
      <c r="U368" t="s">
        <v>118</v>
      </c>
      <c r="V368" s="2">
        <f t="shared" si="66"/>
        <v>0</v>
      </c>
      <c r="W368" s="2">
        <f t="shared" si="67"/>
        <v>8836.56</v>
      </c>
      <c r="X368" s="2">
        <f>W368-R368</f>
        <v>2968.8099999999995</v>
      </c>
      <c r="Y368" s="2">
        <f t="shared" si="68"/>
        <v>0.33596897435201023</v>
      </c>
      <c r="Z368" s="2">
        <f t="shared" si="69"/>
        <v>6</v>
      </c>
      <c r="AA368" s="2">
        <f t="shared" si="70"/>
        <v>1</v>
      </c>
      <c r="AB368" s="2">
        <f t="shared" si="71"/>
        <v>2025</v>
      </c>
      <c r="AC368" s="2" t="str">
        <f t="shared" si="72"/>
        <v>Valid</v>
      </c>
      <c r="AD368" s="2">
        <f t="shared" si="73"/>
        <v>0</v>
      </c>
      <c r="AE368" s="2">
        <f t="shared" si="74"/>
        <v>0</v>
      </c>
      <c r="AH368" t="str">
        <f t="shared" si="79"/>
        <v>Sneha Kapoor</v>
      </c>
      <c r="AI368" t="str">
        <f t="shared" si="79"/>
        <v>Corporate</v>
      </c>
      <c r="AJ368" t="str">
        <f t="shared" si="79"/>
        <v>North</v>
      </c>
      <c r="AK368" t="str">
        <f t="shared" si="79"/>
        <v>Rajasthan</v>
      </c>
      <c r="AL368" t="str">
        <f t="shared" si="78"/>
        <v>Jaipur</v>
      </c>
      <c r="AM368" t="str">
        <f t="shared" si="78"/>
        <v>Furniture</v>
      </c>
      <c r="AN368" t="str">
        <f t="shared" si="78"/>
        <v>Tables</v>
      </c>
      <c r="AO368" t="str">
        <f t="shared" si="75"/>
        <v>Same Day</v>
      </c>
      <c r="AP368" t="str">
        <f t="shared" si="76"/>
        <v>Paid</v>
      </c>
      <c r="AQ368" t="str">
        <f t="shared" si="76"/>
        <v>Completed</v>
      </c>
    </row>
    <row r="369" spans="1:43">
      <c r="A369" t="s">
        <v>1406</v>
      </c>
      <c r="B369" s="3">
        <v>45366</v>
      </c>
      <c r="C369" s="3">
        <v>45367</v>
      </c>
      <c r="D369" t="s">
        <v>1407</v>
      </c>
      <c r="E369" t="s">
        <v>232</v>
      </c>
      <c r="F369" t="s">
        <v>109</v>
      </c>
      <c r="G369" t="s">
        <v>110</v>
      </c>
      <c r="H369" t="s">
        <v>465</v>
      </c>
      <c r="I369" t="s">
        <v>466</v>
      </c>
      <c r="J369" t="s">
        <v>113</v>
      </c>
      <c r="K369" t="s">
        <v>133</v>
      </c>
      <c r="L369" t="s">
        <v>1408</v>
      </c>
      <c r="M369" t="s">
        <v>145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248</v>
      </c>
      <c r="U369" t="s">
        <v>44</v>
      </c>
      <c r="V369" s="2">
        <f t="shared" si="66"/>
        <v>0.15</v>
      </c>
      <c r="W369" s="2">
        <f t="shared" si="67"/>
        <v>19456.958999999999</v>
      </c>
      <c r="X369" s="2">
        <f>W369-R369</f>
        <v>4936.8989999999994</v>
      </c>
      <c r="Y369" s="2">
        <f t="shared" si="68"/>
        <v>0.25373435797443988</v>
      </c>
      <c r="Z369" s="2">
        <f t="shared" si="69"/>
        <v>1</v>
      </c>
      <c r="AA369" s="2">
        <f t="shared" si="70"/>
        <v>3</v>
      </c>
      <c r="AB369" s="2">
        <f t="shared" si="71"/>
        <v>2024</v>
      </c>
      <c r="AC369" s="2" t="str">
        <f t="shared" si="72"/>
        <v>Valid</v>
      </c>
      <c r="AD369" s="2">
        <f t="shared" si="73"/>
        <v>0</v>
      </c>
      <c r="AE369" s="2">
        <f t="shared" si="74"/>
        <v>0</v>
      </c>
      <c r="AH369" t="str">
        <f t="shared" si="79"/>
        <v>Rohan Mehta</v>
      </c>
      <c r="AI369" t="str">
        <f t="shared" si="79"/>
        <v>Consumer</v>
      </c>
      <c r="AJ369" t="str">
        <f t="shared" si="79"/>
        <v>North</v>
      </c>
      <c r="AK369" t="str">
        <f t="shared" si="79"/>
        <v>Delhi</v>
      </c>
      <c r="AL369" t="str">
        <f t="shared" si="78"/>
        <v>New Delhi</v>
      </c>
      <c r="AM369" t="str">
        <f t="shared" si="78"/>
        <v>Office Supplies</v>
      </c>
      <c r="AN369" t="str">
        <f t="shared" si="78"/>
        <v>Art</v>
      </c>
      <c r="AO369" t="str">
        <f t="shared" si="75"/>
        <v>Standard Class</v>
      </c>
      <c r="AP369" t="str">
        <f t="shared" si="76"/>
        <v>Failed</v>
      </c>
      <c r="AQ369" t="str">
        <f t="shared" si="76"/>
        <v>Cancelled</v>
      </c>
    </row>
    <row r="370" spans="1:43">
      <c r="A370" t="s">
        <v>1409</v>
      </c>
      <c r="B370" s="3">
        <v>45815</v>
      </c>
      <c r="C370" s="3">
        <v>45815</v>
      </c>
      <c r="D370" t="s">
        <v>1410</v>
      </c>
      <c r="E370" t="s">
        <v>218</v>
      </c>
      <c r="F370" t="s">
        <v>182</v>
      </c>
      <c r="G370" t="s">
        <v>110</v>
      </c>
      <c r="H370" t="s">
        <v>111</v>
      </c>
      <c r="I370" t="s">
        <v>112</v>
      </c>
      <c r="J370" t="s">
        <v>160</v>
      </c>
      <c r="K370" t="s">
        <v>161</v>
      </c>
      <c r="L370" t="s">
        <v>1411</v>
      </c>
      <c r="M370" t="s">
        <v>129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189</v>
      </c>
      <c r="U370" t="s">
        <v>190</v>
      </c>
      <c r="V370" s="2">
        <f t="shared" si="66"/>
        <v>0.05</v>
      </c>
      <c r="W370" s="2">
        <f t="shared" si="67"/>
        <v>2079.2745</v>
      </c>
      <c r="X370" s="2">
        <f>W370-R370</f>
        <v>567.10449999999992</v>
      </c>
      <c r="Y370" s="2">
        <f t="shared" si="68"/>
        <v>0.27274152595051782</v>
      </c>
      <c r="Z370" s="2">
        <f t="shared" si="69"/>
        <v>0</v>
      </c>
      <c r="AA370" s="2">
        <f t="shared" si="70"/>
        <v>6</v>
      </c>
      <c r="AB370" s="2">
        <f t="shared" si="71"/>
        <v>2025</v>
      </c>
      <c r="AC370" s="2" t="str">
        <f t="shared" si="72"/>
        <v>Valid</v>
      </c>
      <c r="AD370" s="2">
        <f t="shared" si="73"/>
        <v>0</v>
      </c>
      <c r="AE370" s="2">
        <f t="shared" si="74"/>
        <v>0</v>
      </c>
      <c r="AH370" t="str">
        <f t="shared" si="79"/>
        <v>Aarav Sharma</v>
      </c>
      <c r="AI370" t="str">
        <f t="shared" si="79"/>
        <v>Home Office</v>
      </c>
      <c r="AJ370" t="str">
        <f t="shared" si="79"/>
        <v>North</v>
      </c>
      <c r="AK370" t="str">
        <f t="shared" si="79"/>
        <v>Rajasthan</v>
      </c>
      <c r="AL370" t="str">
        <f t="shared" si="78"/>
        <v>Jaipur</v>
      </c>
      <c r="AM370" t="str">
        <f t="shared" si="78"/>
        <v>Technology</v>
      </c>
      <c r="AN370" t="str">
        <f t="shared" si="78"/>
        <v>Accessories</v>
      </c>
      <c r="AO370" t="str">
        <f t="shared" si="75"/>
        <v>Same Day</v>
      </c>
      <c r="AP370" t="str">
        <f t="shared" si="76"/>
        <v>Refunded</v>
      </c>
      <c r="AQ370" t="str">
        <f t="shared" si="76"/>
        <v>Returned</v>
      </c>
    </row>
    <row r="371" spans="1:43">
      <c r="A371" t="s">
        <v>1412</v>
      </c>
      <c r="B371" s="3" t="s">
        <v>1180</v>
      </c>
      <c r="C371" s="3">
        <v>45687</v>
      </c>
      <c r="D371" t="s">
        <v>1413</v>
      </c>
      <c r="E371" t="s">
        <v>203</v>
      </c>
      <c r="F371" t="s">
        <v>109</v>
      </c>
      <c r="G371" t="s">
        <v>110</v>
      </c>
      <c r="H371" t="s">
        <v>465</v>
      </c>
      <c r="I371" t="s">
        <v>466</v>
      </c>
      <c r="J371" t="s">
        <v>113</v>
      </c>
      <c r="K371" t="s">
        <v>178</v>
      </c>
      <c r="L371" t="s">
        <v>1414</v>
      </c>
      <c r="M371" t="s">
        <v>145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117</v>
      </c>
      <c r="U371" t="s">
        <v>118</v>
      </c>
      <c r="V371" s="2">
        <f t="shared" si="66"/>
        <v>0.15</v>
      </c>
      <c r="W371" s="2">
        <f t="shared" si="67"/>
        <v>8945.6804999999986</v>
      </c>
      <c r="X371" s="2">
        <f>W371-R371</f>
        <v>2205.3304999999982</v>
      </c>
      <c r="Y371" s="2">
        <f t="shared" si="68"/>
        <v>0.24652462157574245</v>
      </c>
      <c r="Z371" s="2" t="str">
        <f t="shared" si="69"/>
        <v/>
      </c>
      <c r="AA371" s="2" t="e">
        <f t="shared" si="70"/>
        <v>#VALUE!</v>
      </c>
      <c r="AB371" s="2" t="e">
        <f t="shared" si="71"/>
        <v>#VALUE!</v>
      </c>
      <c r="AC371" s="2" t="str">
        <f t="shared" si="72"/>
        <v>Text Value Not Recognized as Date</v>
      </c>
      <c r="AD371" s="2">
        <f t="shared" si="73"/>
        <v>0</v>
      </c>
      <c r="AE371" s="2">
        <f t="shared" si="74"/>
        <v>0</v>
      </c>
      <c r="AH371" t="str">
        <f t="shared" si="79"/>
        <v>Priya Menon</v>
      </c>
      <c r="AI371" t="str">
        <f t="shared" si="79"/>
        <v>Consumer</v>
      </c>
      <c r="AJ371" t="str">
        <f t="shared" si="79"/>
        <v>North</v>
      </c>
      <c r="AK371" t="str">
        <f t="shared" si="79"/>
        <v>Delhi</v>
      </c>
      <c r="AL371" t="str">
        <f t="shared" si="78"/>
        <v>New Delhi</v>
      </c>
      <c r="AM371" t="str">
        <f t="shared" si="78"/>
        <v>Office Supplies</v>
      </c>
      <c r="AN371" t="str">
        <f t="shared" si="78"/>
        <v>Labels</v>
      </c>
      <c r="AO371" t="str">
        <f t="shared" si="75"/>
        <v>Standard Class</v>
      </c>
      <c r="AP371" t="str">
        <f t="shared" si="76"/>
        <v>Paid</v>
      </c>
      <c r="AQ371" t="str">
        <f t="shared" si="76"/>
        <v>Completed</v>
      </c>
    </row>
    <row r="372" spans="1:43">
      <c r="A372" t="s">
        <v>1415</v>
      </c>
      <c r="B372" s="3">
        <v>45519</v>
      </c>
      <c r="C372" s="3">
        <v>45525</v>
      </c>
      <c r="D372" t="s">
        <v>1416</v>
      </c>
      <c r="E372" t="s">
        <v>148</v>
      </c>
      <c r="F372" t="s">
        <v>122</v>
      </c>
      <c r="G372" t="s">
        <v>149</v>
      </c>
      <c r="H372" t="s">
        <v>111</v>
      </c>
      <c r="I372" t="s">
        <v>197</v>
      </c>
      <c r="J372" t="s">
        <v>160</v>
      </c>
      <c r="K372" t="s">
        <v>166</v>
      </c>
      <c r="L372" t="s">
        <v>1417</v>
      </c>
      <c r="M372" t="s">
        <v>135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117</v>
      </c>
      <c r="U372" t="s">
        <v>118</v>
      </c>
      <c r="V372" s="2">
        <f t="shared" si="66"/>
        <v>0.2</v>
      </c>
      <c r="W372" s="2">
        <f t="shared" si="67"/>
        <v>13069.336000000001</v>
      </c>
      <c r="X372" s="2">
        <f>W372-R372</f>
        <v>4300.746000000001</v>
      </c>
      <c r="Y372" s="2">
        <f t="shared" si="68"/>
        <v>0.32907149988339124</v>
      </c>
      <c r="Z372" s="2">
        <f t="shared" si="69"/>
        <v>6</v>
      </c>
      <c r="AA372" s="2">
        <f t="shared" si="70"/>
        <v>8</v>
      </c>
      <c r="AB372" s="2">
        <f t="shared" si="71"/>
        <v>2024</v>
      </c>
      <c r="AC372" s="2" t="str">
        <f t="shared" si="72"/>
        <v>Valid</v>
      </c>
      <c r="AD372" s="2">
        <f t="shared" si="73"/>
        <v>0</v>
      </c>
      <c r="AE372" s="2">
        <f t="shared" si="74"/>
        <v>0</v>
      </c>
      <c r="AH372" t="str">
        <f t="shared" si="79"/>
        <v>Ananya Rao</v>
      </c>
      <c r="AI372" t="str">
        <f t="shared" si="79"/>
        <v>Small Business</v>
      </c>
      <c r="AJ372" t="str">
        <f t="shared" si="79"/>
        <v>West</v>
      </c>
      <c r="AK372" t="str">
        <f t="shared" si="79"/>
        <v>Rajasthan</v>
      </c>
      <c r="AL372" t="str">
        <f t="shared" si="78"/>
        <v>Udaipur</v>
      </c>
      <c r="AM372" t="str">
        <f t="shared" si="78"/>
        <v>Technology</v>
      </c>
      <c r="AN372" t="str">
        <f t="shared" si="78"/>
        <v>Copiers</v>
      </c>
      <c r="AO372" t="str">
        <f t="shared" si="75"/>
        <v>First Class</v>
      </c>
      <c r="AP372" t="str">
        <f t="shared" si="76"/>
        <v>Paid</v>
      </c>
      <c r="AQ372" t="str">
        <f t="shared" si="76"/>
        <v>Completed</v>
      </c>
    </row>
    <row r="373" spans="1:43">
      <c r="A373" t="s">
        <v>1418</v>
      </c>
      <c r="B373" s="3" t="s">
        <v>852</v>
      </c>
      <c r="C373" s="3">
        <v>45315</v>
      </c>
      <c r="D373" t="s">
        <v>1419</v>
      </c>
      <c r="E373" t="s">
        <v>256</v>
      </c>
      <c r="F373" t="s">
        <v>182</v>
      </c>
      <c r="G373" t="s">
        <v>149</v>
      </c>
      <c r="H373" t="s">
        <v>150</v>
      </c>
      <c r="I373" t="s">
        <v>151</v>
      </c>
      <c r="J373" t="s">
        <v>113</v>
      </c>
      <c r="K373" t="s">
        <v>133</v>
      </c>
      <c r="L373" t="s">
        <v>1420</v>
      </c>
      <c r="M373" t="s">
        <v>145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189</v>
      </c>
      <c r="U373" t="s">
        <v>44</v>
      </c>
      <c r="V373" s="2">
        <f t="shared" si="66"/>
        <v>0</v>
      </c>
      <c r="W373" s="2">
        <f t="shared" si="67"/>
        <v>6156.36</v>
      </c>
      <c r="X373" s="2">
        <f>W373-R373</f>
        <v>3174.4199999999996</v>
      </c>
      <c r="Y373" s="2">
        <f t="shared" si="68"/>
        <v>0.51563261407714944</v>
      </c>
      <c r="Z373" s="2" t="str">
        <f t="shared" si="69"/>
        <v/>
      </c>
      <c r="AA373" s="2" t="e">
        <f t="shared" si="70"/>
        <v>#VALUE!</v>
      </c>
      <c r="AB373" s="2" t="e">
        <f t="shared" si="71"/>
        <v>#VALUE!</v>
      </c>
      <c r="AC373" s="2" t="str">
        <f t="shared" si="72"/>
        <v>Text Value Not Recognized as Date</v>
      </c>
      <c r="AD373" s="2">
        <f t="shared" si="73"/>
        <v>1</v>
      </c>
      <c r="AE373" s="2">
        <f t="shared" si="74"/>
        <v>1</v>
      </c>
      <c r="AH373" t="str">
        <f t="shared" si="79"/>
        <v>Diya Patel</v>
      </c>
      <c r="AI373" t="str">
        <f t="shared" si="79"/>
        <v>Home Office</v>
      </c>
      <c r="AJ373" t="str">
        <f t="shared" si="79"/>
        <v>West</v>
      </c>
      <c r="AK373" t="str">
        <f t="shared" si="79"/>
        <v>Maharashtra</v>
      </c>
      <c r="AL373" t="str">
        <f t="shared" si="78"/>
        <v>Mumbai</v>
      </c>
      <c r="AM373" t="str">
        <f t="shared" si="78"/>
        <v>Office Supplies</v>
      </c>
      <c r="AN373" t="str">
        <f t="shared" si="78"/>
        <v>Art</v>
      </c>
      <c r="AO373" t="str">
        <f t="shared" si="75"/>
        <v>Standard Class</v>
      </c>
      <c r="AP373" t="str">
        <f t="shared" si="76"/>
        <v>Refunded</v>
      </c>
      <c r="AQ373" t="str">
        <f t="shared" si="76"/>
        <v>Cancelled</v>
      </c>
    </row>
    <row r="374" spans="1:43">
      <c r="A374" t="s">
        <v>1421</v>
      </c>
      <c r="B374" s="3">
        <v>45885</v>
      </c>
      <c r="C374" s="3">
        <v>45887</v>
      </c>
      <c r="D374" t="s">
        <v>788</v>
      </c>
      <c r="E374" t="s">
        <v>375</v>
      </c>
      <c r="F374" t="s">
        <v>109</v>
      </c>
      <c r="G374" t="s">
        <v>123</v>
      </c>
      <c r="H374" t="s">
        <v>335</v>
      </c>
      <c r="I374" t="s">
        <v>336</v>
      </c>
      <c r="J374" t="s">
        <v>126</v>
      </c>
      <c r="K374" t="s">
        <v>152</v>
      </c>
      <c r="L374" t="s">
        <v>1422</v>
      </c>
      <c r="M374" t="s">
        <v>129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117</v>
      </c>
      <c r="U374" t="s">
        <v>118</v>
      </c>
      <c r="V374" s="2">
        <f t="shared" si="66"/>
        <v>0</v>
      </c>
      <c r="W374" s="2">
        <f t="shared" si="67"/>
        <v>7651.7999999999993</v>
      </c>
      <c r="X374" s="2">
        <f>W374-R374</f>
        <v>2480.0199999999995</v>
      </c>
      <c r="Y374" s="2">
        <f t="shared" si="68"/>
        <v>0.32410935988917638</v>
      </c>
      <c r="Z374" s="2">
        <f t="shared" si="69"/>
        <v>2</v>
      </c>
      <c r="AA374" s="2">
        <f t="shared" si="70"/>
        <v>8</v>
      </c>
      <c r="AB374" s="2">
        <f t="shared" si="71"/>
        <v>2025</v>
      </c>
      <c r="AC374" s="2" t="str">
        <f t="shared" si="72"/>
        <v>Valid</v>
      </c>
      <c r="AD374" s="2">
        <f t="shared" si="73"/>
        <v>0</v>
      </c>
      <c r="AE374" s="2">
        <f t="shared" si="74"/>
        <v>0</v>
      </c>
      <c r="AH374" t="str">
        <f t="shared" si="79"/>
        <v>Kabir Singh</v>
      </c>
      <c r="AI374" t="str">
        <f t="shared" si="79"/>
        <v>Consumer</v>
      </c>
      <c r="AJ374" t="str">
        <f t="shared" si="79"/>
        <v>East</v>
      </c>
      <c r="AK374" t="str">
        <f t="shared" si="79"/>
        <v>Jharkhand</v>
      </c>
      <c r="AL374" t="str">
        <f t="shared" si="78"/>
        <v>Ranchi</v>
      </c>
      <c r="AM374" t="str">
        <f t="shared" si="78"/>
        <v>Furniture</v>
      </c>
      <c r="AN374" t="str">
        <f t="shared" si="78"/>
        <v>Chairs</v>
      </c>
      <c r="AO374" t="str">
        <f t="shared" si="75"/>
        <v>Same Day</v>
      </c>
      <c r="AP374" t="str">
        <f t="shared" si="76"/>
        <v>Paid</v>
      </c>
      <c r="AQ374" t="str">
        <f t="shared" si="76"/>
        <v>Completed</v>
      </c>
    </row>
    <row r="375" spans="1:43">
      <c r="A375" t="s">
        <v>1423</v>
      </c>
      <c r="B375" s="3">
        <v>45760</v>
      </c>
      <c r="C375" s="3">
        <v>45760</v>
      </c>
      <c r="D375" t="s">
        <v>1424</v>
      </c>
      <c r="E375" t="s">
        <v>222</v>
      </c>
      <c r="F375" t="s">
        <v>122</v>
      </c>
      <c r="G375" t="s">
        <v>110</v>
      </c>
      <c r="H375" t="s">
        <v>227</v>
      </c>
      <c r="I375" t="s">
        <v>228</v>
      </c>
      <c r="J375" t="s">
        <v>113</v>
      </c>
      <c r="K375" t="s">
        <v>213</v>
      </c>
      <c r="L375" t="s">
        <v>1425</v>
      </c>
      <c r="M375" t="s">
        <v>116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117</v>
      </c>
      <c r="U375" t="s">
        <v>118</v>
      </c>
      <c r="V375" s="2">
        <f t="shared" si="66"/>
        <v>0</v>
      </c>
      <c r="W375" s="2">
        <f t="shared" si="67"/>
        <v>10068.120000000001</v>
      </c>
      <c r="X375" s="2">
        <f>W375-R375</f>
        <v>1472.75</v>
      </c>
      <c r="Y375" s="2">
        <f t="shared" si="68"/>
        <v>0.14627855051389932</v>
      </c>
      <c r="Z375" s="2">
        <f t="shared" si="69"/>
        <v>0</v>
      </c>
      <c r="AA375" s="2">
        <f t="shared" si="70"/>
        <v>4</v>
      </c>
      <c r="AB375" s="2">
        <f t="shared" si="71"/>
        <v>2025</v>
      </c>
      <c r="AC375" s="2" t="str">
        <f t="shared" si="72"/>
        <v>Conflicting Duplicate Order ID</v>
      </c>
      <c r="AD375" s="2">
        <f t="shared" si="73"/>
        <v>0</v>
      </c>
      <c r="AE375" s="2">
        <f t="shared" si="74"/>
        <v>0</v>
      </c>
      <c r="AH375" t="str">
        <f t="shared" si="79"/>
        <v>Sneha Kapoor</v>
      </c>
      <c r="AI375" t="str">
        <f t="shared" si="79"/>
        <v>Small Business</v>
      </c>
      <c r="AJ375" t="str">
        <f t="shared" si="79"/>
        <v>North</v>
      </c>
      <c r="AK375" t="str">
        <f t="shared" si="79"/>
        <v>Uttar Pradesh</v>
      </c>
      <c r="AL375" t="str">
        <f t="shared" si="78"/>
        <v>Noida</v>
      </c>
      <c r="AM375" t="str">
        <f t="shared" si="78"/>
        <v>Office Supplies</v>
      </c>
      <c r="AN375" t="str">
        <f t="shared" si="78"/>
        <v>Storage</v>
      </c>
      <c r="AO375" t="str">
        <f t="shared" si="75"/>
        <v>Second Class</v>
      </c>
      <c r="AP375" t="str">
        <f t="shared" si="76"/>
        <v>Paid</v>
      </c>
      <c r="AQ375" t="str">
        <f t="shared" si="76"/>
        <v>Completed</v>
      </c>
    </row>
    <row r="376" spans="1:43">
      <c r="A376" t="s">
        <v>1426</v>
      </c>
      <c r="B376" s="3">
        <v>45715</v>
      </c>
      <c r="C376" s="3" t="s">
        <v>1427</v>
      </c>
      <c r="D376" t="s">
        <v>1428</v>
      </c>
      <c r="E376" t="s">
        <v>176</v>
      </c>
      <c r="F376" t="s">
        <v>122</v>
      </c>
      <c r="G376" t="s">
        <v>110</v>
      </c>
      <c r="H376" t="s">
        <v>227</v>
      </c>
      <c r="I376" t="s">
        <v>228</v>
      </c>
      <c r="J376" t="s">
        <v>113</v>
      </c>
      <c r="K376" t="s">
        <v>178</v>
      </c>
      <c r="L376" t="s">
        <v>1429</v>
      </c>
      <c r="M376" t="s">
        <v>145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117</v>
      </c>
      <c r="U376" t="s">
        <v>118</v>
      </c>
      <c r="V376" s="2">
        <f t="shared" si="66"/>
        <v>0</v>
      </c>
      <c r="W376" s="2">
        <f t="shared" si="67"/>
        <v>14359.5</v>
      </c>
      <c r="X376" s="2">
        <f>W376-R376</f>
        <v>6241.79</v>
      </c>
      <c r="Y376" s="2">
        <f t="shared" si="68"/>
        <v>0.43468017688638183</v>
      </c>
      <c r="Z376" s="2" t="str">
        <f t="shared" si="69"/>
        <v/>
      </c>
      <c r="AA376" s="2">
        <f t="shared" si="70"/>
        <v>2</v>
      </c>
      <c r="AB376" s="2">
        <f t="shared" si="71"/>
        <v>2025</v>
      </c>
      <c r="AC376" s="2" t="str">
        <f t="shared" si="72"/>
        <v>Text Value Not Recognized as Date</v>
      </c>
      <c r="AD376" s="2">
        <f t="shared" si="73"/>
        <v>0</v>
      </c>
      <c r="AE376" s="2">
        <f t="shared" si="74"/>
        <v>0</v>
      </c>
      <c r="AH376" t="str">
        <f t="shared" si="79"/>
        <v>Aditi Sen</v>
      </c>
      <c r="AI376" t="str">
        <f t="shared" si="79"/>
        <v>Small Business</v>
      </c>
      <c r="AJ376" t="str">
        <f t="shared" si="79"/>
        <v>North</v>
      </c>
      <c r="AK376" t="str">
        <f t="shared" si="79"/>
        <v>Uttar Pradesh</v>
      </c>
      <c r="AL376" t="str">
        <f t="shared" si="78"/>
        <v>Noida</v>
      </c>
      <c r="AM376" t="str">
        <f t="shared" si="78"/>
        <v>Office Supplies</v>
      </c>
      <c r="AN376" t="str">
        <f t="shared" si="78"/>
        <v>Labels</v>
      </c>
      <c r="AO376" t="str">
        <f t="shared" si="75"/>
        <v>Standard Class</v>
      </c>
      <c r="AP376" t="str">
        <f t="shared" si="76"/>
        <v>Paid</v>
      </c>
      <c r="AQ376" t="str">
        <f t="shared" si="76"/>
        <v>Completed</v>
      </c>
    </row>
    <row r="377" spans="1:43">
      <c r="A377" t="s">
        <v>1430</v>
      </c>
      <c r="B377" s="3" t="s">
        <v>1431</v>
      </c>
      <c r="C377" s="3">
        <v>45661</v>
      </c>
      <c r="D377" t="s">
        <v>1432</v>
      </c>
      <c r="E377" t="s">
        <v>157</v>
      </c>
      <c r="F377" t="s">
        <v>109</v>
      </c>
      <c r="G377" t="s">
        <v>110</v>
      </c>
      <c r="H377" t="s">
        <v>465</v>
      </c>
      <c r="I377" t="s">
        <v>466</v>
      </c>
      <c r="J377" t="s">
        <v>126</v>
      </c>
      <c r="K377" t="s">
        <v>152</v>
      </c>
      <c r="L377" t="s">
        <v>1433</v>
      </c>
      <c r="M377" t="s">
        <v>129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117</v>
      </c>
      <c r="U377" t="s">
        <v>118</v>
      </c>
      <c r="V377" s="2">
        <f t="shared" si="66"/>
        <v>0.25</v>
      </c>
      <c r="W377" s="2">
        <f t="shared" si="67"/>
        <v>2624.8724999999999</v>
      </c>
      <c r="X377" s="2">
        <f>W377-R377</f>
        <v>370.99249999999984</v>
      </c>
      <c r="Y377" s="2">
        <f t="shared" si="68"/>
        <v>0.14133734114704613</v>
      </c>
      <c r="Z377" s="2" t="str">
        <f t="shared" si="69"/>
        <v/>
      </c>
      <c r="AA377" s="2" t="e">
        <f t="shared" si="70"/>
        <v>#VALUE!</v>
      </c>
      <c r="AB377" s="2" t="e">
        <f t="shared" si="71"/>
        <v>#VALUE!</v>
      </c>
      <c r="AC377" s="2" t="str">
        <f t="shared" si="72"/>
        <v>Text Value Not Recognized as Date</v>
      </c>
      <c r="AD377" s="2">
        <f t="shared" si="73"/>
        <v>0</v>
      </c>
      <c r="AE377" s="2">
        <f t="shared" si="74"/>
        <v>0</v>
      </c>
      <c r="AH377" t="str">
        <f t="shared" si="79"/>
        <v>Vikram Iyer</v>
      </c>
      <c r="AI377" t="str">
        <f t="shared" si="79"/>
        <v>Consumer</v>
      </c>
      <c r="AJ377" t="str">
        <f t="shared" si="79"/>
        <v>North</v>
      </c>
      <c r="AK377" t="str">
        <f t="shared" si="79"/>
        <v>Delhi</v>
      </c>
      <c r="AL377" t="str">
        <f t="shared" si="78"/>
        <v>New Delhi</v>
      </c>
      <c r="AM377" t="str">
        <f t="shared" si="78"/>
        <v>Furniture</v>
      </c>
      <c r="AN377" t="str">
        <f t="shared" si="78"/>
        <v>Chairs</v>
      </c>
      <c r="AO377" t="str">
        <f t="shared" si="75"/>
        <v>Same Day</v>
      </c>
      <c r="AP377" t="str">
        <f t="shared" si="76"/>
        <v>Paid</v>
      </c>
      <c r="AQ377" t="str">
        <f t="shared" si="76"/>
        <v>Completed</v>
      </c>
    </row>
    <row r="378" spans="1:43">
      <c r="A378" t="s">
        <v>1434</v>
      </c>
      <c r="B378" s="3" t="s">
        <v>1435</v>
      </c>
      <c r="C378" s="3">
        <v>45657</v>
      </c>
      <c r="D378" t="s">
        <v>1436</v>
      </c>
      <c r="E378" t="s">
        <v>132</v>
      </c>
      <c r="F378" t="s">
        <v>122</v>
      </c>
      <c r="G378" t="s">
        <v>123</v>
      </c>
      <c r="H378" t="s">
        <v>237</v>
      </c>
      <c r="I378" t="s">
        <v>238</v>
      </c>
      <c r="J378" t="s">
        <v>126</v>
      </c>
      <c r="K378" t="s">
        <v>152</v>
      </c>
      <c r="L378" t="s">
        <v>1437</v>
      </c>
      <c r="M378" t="s">
        <v>135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117</v>
      </c>
      <c r="U378" t="s">
        <v>118</v>
      </c>
      <c r="V378" s="2">
        <f t="shared" si="66"/>
        <v>0.2</v>
      </c>
      <c r="W378" s="2">
        <f t="shared" si="67"/>
        <v>8854.9440000000013</v>
      </c>
      <c r="X378" s="2">
        <f>W378-R378</f>
        <v>1420.9940000000015</v>
      </c>
      <c r="Y378" s="2">
        <f t="shared" si="68"/>
        <v>0.1604746455765278</v>
      </c>
      <c r="Z378" s="2" t="str">
        <f t="shared" si="69"/>
        <v/>
      </c>
      <c r="AA378" s="2" t="e">
        <f t="shared" si="70"/>
        <v>#VALUE!</v>
      </c>
      <c r="AB378" s="2" t="e">
        <f t="shared" si="71"/>
        <v>#VALUE!</v>
      </c>
      <c r="AC378" s="2" t="str">
        <f t="shared" si="72"/>
        <v>Text Value Not Recognized as Date</v>
      </c>
      <c r="AD378" s="2">
        <f t="shared" si="73"/>
        <v>0</v>
      </c>
      <c r="AE378" s="2">
        <f t="shared" si="74"/>
        <v>0</v>
      </c>
      <c r="AH378" t="str">
        <f t="shared" si="79"/>
        <v>Isha Nair</v>
      </c>
      <c r="AI378" t="str">
        <f t="shared" si="79"/>
        <v>Small Business</v>
      </c>
      <c r="AJ378" t="str">
        <f t="shared" si="79"/>
        <v>East</v>
      </c>
      <c r="AK378" t="str">
        <f t="shared" si="79"/>
        <v>Bihar</v>
      </c>
      <c r="AL378" t="str">
        <f t="shared" si="78"/>
        <v>Patna</v>
      </c>
      <c r="AM378" t="str">
        <f t="shared" si="78"/>
        <v>Furniture</v>
      </c>
      <c r="AN378" t="str">
        <f t="shared" si="78"/>
        <v>Chairs</v>
      </c>
      <c r="AO378" t="str">
        <f t="shared" si="75"/>
        <v>First Class</v>
      </c>
      <c r="AP378" t="str">
        <f t="shared" si="76"/>
        <v>Paid</v>
      </c>
      <c r="AQ378" t="str">
        <f t="shared" si="76"/>
        <v>Completed</v>
      </c>
    </row>
    <row r="379" spans="1:43">
      <c r="A379" t="s">
        <v>1438</v>
      </c>
      <c r="B379" s="3">
        <v>45801</v>
      </c>
      <c r="C379" s="3" t="s">
        <v>1439</v>
      </c>
      <c r="D379" t="s">
        <v>1440</v>
      </c>
      <c r="E379" t="s">
        <v>375</v>
      </c>
      <c r="F379" t="s">
        <v>122</v>
      </c>
      <c r="G379" t="s">
        <v>123</v>
      </c>
      <c r="H379" t="s">
        <v>124</v>
      </c>
      <c r="I379" t="s">
        <v>125</v>
      </c>
      <c r="J379" t="s">
        <v>113</v>
      </c>
      <c r="K379" t="s">
        <v>1441</v>
      </c>
      <c r="L379" t="s">
        <v>1442</v>
      </c>
      <c r="M379" t="s">
        <v>129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117</v>
      </c>
      <c r="U379" t="s">
        <v>118</v>
      </c>
      <c r="V379" s="2">
        <f t="shared" si="66"/>
        <v>0</v>
      </c>
      <c r="W379" s="2">
        <f t="shared" si="67"/>
        <v>2564.7399999999998</v>
      </c>
      <c r="X379" s="2">
        <f>W379-R379</f>
        <v>810.15999999999985</v>
      </c>
      <c r="Y379" s="2">
        <f t="shared" si="68"/>
        <v>0.31588387126960232</v>
      </c>
      <c r="Z379" s="2" t="str">
        <f t="shared" si="69"/>
        <v/>
      </c>
      <c r="AA379" s="2">
        <f t="shared" si="70"/>
        <v>5</v>
      </c>
      <c r="AB379" s="2">
        <f t="shared" si="71"/>
        <v>2025</v>
      </c>
      <c r="AC379" s="2" t="str">
        <f t="shared" si="72"/>
        <v>Conflicting Duplicate Order ID</v>
      </c>
      <c r="AD379" s="2">
        <f t="shared" si="73"/>
        <v>0</v>
      </c>
      <c r="AE379" s="2">
        <f t="shared" si="74"/>
        <v>0</v>
      </c>
      <c r="AH379" t="str">
        <f t="shared" si="79"/>
        <v>Kabir Singh</v>
      </c>
      <c r="AI379" t="str">
        <f t="shared" si="79"/>
        <v>Small Business</v>
      </c>
      <c r="AJ379" t="str">
        <f t="shared" si="79"/>
        <v>East</v>
      </c>
      <c r="AK379" t="str">
        <f t="shared" si="79"/>
        <v>Odisha</v>
      </c>
      <c r="AL379" t="str">
        <f t="shared" si="78"/>
        <v>Bhubaneswar</v>
      </c>
      <c r="AM379" t="str">
        <f t="shared" si="78"/>
        <v>Office Supplies</v>
      </c>
      <c r="AN379" t="str">
        <f t="shared" si="78"/>
        <v>Storage</v>
      </c>
      <c r="AO379" t="str">
        <f t="shared" si="75"/>
        <v>Same Day</v>
      </c>
      <c r="AP379" t="str">
        <f t="shared" si="76"/>
        <v>Paid</v>
      </c>
      <c r="AQ379" t="str">
        <f t="shared" si="76"/>
        <v>Completed</v>
      </c>
    </row>
    <row r="380" spans="1:43">
      <c r="A380" t="s">
        <v>1443</v>
      </c>
      <c r="B380" s="3" t="s">
        <v>1444</v>
      </c>
      <c r="C380" s="3" t="s">
        <v>1444</v>
      </c>
      <c r="D380" t="s">
        <v>1445</v>
      </c>
      <c r="E380" t="s">
        <v>121</v>
      </c>
      <c r="F380" t="s">
        <v>109</v>
      </c>
      <c r="G380" t="s">
        <v>149</v>
      </c>
      <c r="H380" t="s">
        <v>287</v>
      </c>
      <c r="I380" t="s">
        <v>288</v>
      </c>
      <c r="J380" t="s">
        <v>160</v>
      </c>
      <c r="K380" t="s">
        <v>161</v>
      </c>
      <c r="L380" t="s">
        <v>1446</v>
      </c>
      <c r="M380" t="s">
        <v>145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117</v>
      </c>
      <c r="U380" t="s">
        <v>118</v>
      </c>
      <c r="V380" s="2">
        <f t="shared" si="66"/>
        <v>0</v>
      </c>
      <c r="W380" s="2">
        <f t="shared" si="67"/>
        <v>7821.22</v>
      </c>
      <c r="X380" s="2">
        <f>W380-R380</f>
        <v>2826.76</v>
      </c>
      <c r="Y380" s="2">
        <f t="shared" si="68"/>
        <v>0.36142187535959863</v>
      </c>
      <c r="Z380" s="2" t="str">
        <f t="shared" si="69"/>
        <v/>
      </c>
      <c r="AA380" s="2" t="e">
        <f t="shared" si="70"/>
        <v>#VALUE!</v>
      </c>
      <c r="AB380" s="2" t="e">
        <f t="shared" si="71"/>
        <v>#VALUE!</v>
      </c>
      <c r="AC380" s="2" t="str">
        <f t="shared" si="72"/>
        <v>Text Value Not Recognized as Date</v>
      </c>
      <c r="AD380" s="2">
        <f t="shared" si="73"/>
        <v>0</v>
      </c>
      <c r="AE380" s="2">
        <f t="shared" si="74"/>
        <v>0</v>
      </c>
      <c r="AH380" t="str">
        <f t="shared" si="79"/>
        <v>Mira Das</v>
      </c>
      <c r="AI380" t="str">
        <f t="shared" si="79"/>
        <v>Consumer</v>
      </c>
      <c r="AJ380" t="str">
        <f t="shared" si="79"/>
        <v>West</v>
      </c>
      <c r="AK380" t="str">
        <f t="shared" si="79"/>
        <v>Goa</v>
      </c>
      <c r="AL380" t="str">
        <f t="shared" si="78"/>
        <v>Panaji</v>
      </c>
      <c r="AM380" t="str">
        <f t="shared" si="78"/>
        <v>Technology</v>
      </c>
      <c r="AN380" t="str">
        <f t="shared" si="78"/>
        <v>Accessories</v>
      </c>
      <c r="AO380" t="str">
        <f t="shared" si="75"/>
        <v>Standard Class</v>
      </c>
      <c r="AP380" t="str">
        <f t="shared" si="76"/>
        <v>Paid</v>
      </c>
      <c r="AQ380" t="str">
        <f t="shared" si="76"/>
        <v>Completed</v>
      </c>
    </row>
    <row r="381" spans="1:43">
      <c r="A381" t="s">
        <v>1447</v>
      </c>
      <c r="B381" s="3">
        <v>45554</v>
      </c>
      <c r="C381" s="3">
        <v>45558</v>
      </c>
      <c r="D381" t="s">
        <v>1448</v>
      </c>
      <c r="E381" t="s">
        <v>121</v>
      </c>
      <c r="F381" t="s">
        <v>122</v>
      </c>
      <c r="G381" t="s">
        <v>140</v>
      </c>
      <c r="H381" t="s">
        <v>282</v>
      </c>
      <c r="I381" t="s">
        <v>283</v>
      </c>
      <c r="J381" t="s">
        <v>113</v>
      </c>
      <c r="K381" t="s">
        <v>114</v>
      </c>
      <c r="L381" t="s">
        <v>1449</v>
      </c>
      <c r="M381" t="s">
        <v>145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117</v>
      </c>
      <c r="U381" t="s">
        <v>118</v>
      </c>
      <c r="V381" s="2">
        <f t="shared" si="66"/>
        <v>0</v>
      </c>
      <c r="W381" s="2">
        <f t="shared" si="67"/>
        <v>7956.76</v>
      </c>
      <c r="X381" s="2">
        <f>W381-R381</f>
        <v>3157.2200000000003</v>
      </c>
      <c r="Y381" s="2">
        <f t="shared" si="68"/>
        <v>0.39679718880549369</v>
      </c>
      <c r="Z381" s="2">
        <f t="shared" si="69"/>
        <v>4</v>
      </c>
      <c r="AA381" s="2">
        <f t="shared" si="70"/>
        <v>9</v>
      </c>
      <c r="AB381" s="2">
        <f t="shared" si="71"/>
        <v>2024</v>
      </c>
      <c r="AC381" s="2" t="str">
        <f t="shared" si="72"/>
        <v>Valid</v>
      </c>
      <c r="AD381" s="2">
        <f t="shared" si="73"/>
        <v>0</v>
      </c>
      <c r="AE381" s="2">
        <f t="shared" si="74"/>
        <v>0</v>
      </c>
      <c r="AH381" t="str">
        <f t="shared" si="79"/>
        <v>Mira Das</v>
      </c>
      <c r="AI381" t="str">
        <f t="shared" si="79"/>
        <v>Small Business</v>
      </c>
      <c r="AJ381" t="str">
        <f t="shared" si="79"/>
        <v>South</v>
      </c>
      <c r="AK381" t="str">
        <f t="shared" si="79"/>
        <v>Kerala</v>
      </c>
      <c r="AL381" t="str">
        <f t="shared" si="78"/>
        <v>Kochi</v>
      </c>
      <c r="AM381" t="str">
        <f t="shared" si="78"/>
        <v>Office Supplies</v>
      </c>
      <c r="AN381" t="str">
        <f t="shared" si="78"/>
        <v>Paper</v>
      </c>
      <c r="AO381" t="str">
        <f t="shared" si="75"/>
        <v>Standard Class</v>
      </c>
      <c r="AP381" t="str">
        <f t="shared" si="76"/>
        <v>Paid</v>
      </c>
      <c r="AQ381" t="str">
        <f t="shared" si="76"/>
        <v>Completed</v>
      </c>
    </row>
    <row r="382" spans="1:43">
      <c r="A382" t="s">
        <v>1450</v>
      </c>
      <c r="B382" s="3">
        <v>45389</v>
      </c>
      <c r="C382" s="3" t="s">
        <v>1103</v>
      </c>
      <c r="D382" t="s">
        <v>1451</v>
      </c>
      <c r="E382" t="s">
        <v>157</v>
      </c>
      <c r="F382" t="s">
        <v>109</v>
      </c>
      <c r="G382" t="s">
        <v>149</v>
      </c>
      <c r="H382" t="s">
        <v>150</v>
      </c>
      <c r="I382" t="s">
        <v>151</v>
      </c>
      <c r="J382" t="s">
        <v>126</v>
      </c>
      <c r="K382" t="s">
        <v>252</v>
      </c>
      <c r="L382" t="s">
        <v>1452</v>
      </c>
      <c r="M382" t="s">
        <v>129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117</v>
      </c>
      <c r="U382" t="s">
        <v>190</v>
      </c>
      <c r="V382" s="2">
        <f t="shared" si="66"/>
        <v>0.25</v>
      </c>
      <c r="W382" s="2">
        <f t="shared" si="67"/>
        <v>8384.4375</v>
      </c>
      <c r="X382" s="2">
        <f>W382-R382</f>
        <v>3618.4775</v>
      </c>
      <c r="Y382" s="2">
        <f t="shared" si="68"/>
        <v>0.43157069272685256</v>
      </c>
      <c r="Z382" s="2" t="str">
        <f t="shared" si="69"/>
        <v/>
      </c>
      <c r="AA382" s="2">
        <f t="shared" si="70"/>
        <v>4</v>
      </c>
      <c r="AB382" s="2">
        <f t="shared" si="71"/>
        <v>2024</v>
      </c>
      <c r="AC382" s="2" t="str">
        <f t="shared" si="72"/>
        <v>Text Value Not Recognized as Date</v>
      </c>
      <c r="AD382" s="2">
        <f t="shared" si="73"/>
        <v>0</v>
      </c>
      <c r="AE382" s="2">
        <f t="shared" si="74"/>
        <v>0</v>
      </c>
      <c r="AH382" t="str">
        <f t="shared" si="79"/>
        <v>Vikram Iyer</v>
      </c>
      <c r="AI382" t="str">
        <f t="shared" si="79"/>
        <v>Consumer</v>
      </c>
      <c r="AJ382" t="str">
        <f t="shared" si="79"/>
        <v>West</v>
      </c>
      <c r="AK382" t="str">
        <f t="shared" si="79"/>
        <v>Maharashtra</v>
      </c>
      <c r="AL382" t="str">
        <f t="shared" si="78"/>
        <v>Mumbai</v>
      </c>
      <c r="AM382" t="str">
        <f t="shared" si="78"/>
        <v>Furniture</v>
      </c>
      <c r="AN382" t="str">
        <f t="shared" si="78"/>
        <v>Bookcases</v>
      </c>
      <c r="AO382" t="str">
        <f t="shared" si="75"/>
        <v>Same Day</v>
      </c>
      <c r="AP382" t="str">
        <f t="shared" si="76"/>
        <v>Paid</v>
      </c>
      <c r="AQ382" t="str">
        <f t="shared" si="76"/>
        <v>Returned</v>
      </c>
    </row>
    <row r="383" spans="1:43">
      <c r="A383" t="s">
        <v>1453</v>
      </c>
      <c r="B383" s="3">
        <v>45919</v>
      </c>
      <c r="C383" s="3" t="s">
        <v>1454</v>
      </c>
      <c r="D383" t="s">
        <v>1455</v>
      </c>
      <c r="E383" t="s">
        <v>139</v>
      </c>
      <c r="F383" t="s">
        <v>1456</v>
      </c>
      <c r="G383" t="s">
        <v>110</v>
      </c>
      <c r="H383" t="s">
        <v>465</v>
      </c>
      <c r="I383" t="s">
        <v>466</v>
      </c>
      <c r="J383" t="s">
        <v>113</v>
      </c>
      <c r="K383" t="s">
        <v>246</v>
      </c>
      <c r="L383" t="s">
        <v>1457</v>
      </c>
      <c r="M383" t="s">
        <v>145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248</v>
      </c>
      <c r="U383" t="s">
        <v>44</v>
      </c>
      <c r="V383" s="2">
        <f t="shared" si="66"/>
        <v>0.05</v>
      </c>
      <c r="W383" s="2">
        <f t="shared" si="67"/>
        <v>16671.169999999998</v>
      </c>
      <c r="X383" s="2">
        <f>W383-R383</f>
        <v>5837.9799999999977</v>
      </c>
      <c r="Y383" s="2">
        <f t="shared" si="68"/>
        <v>0.35018418023450054</v>
      </c>
      <c r="Z383" s="2" t="str">
        <f t="shared" si="69"/>
        <v/>
      </c>
      <c r="AA383" s="2">
        <f t="shared" si="70"/>
        <v>9</v>
      </c>
      <c r="AB383" s="2">
        <f t="shared" si="71"/>
        <v>2025</v>
      </c>
      <c r="AC383" s="2" t="str">
        <f t="shared" si="72"/>
        <v>Text Value Not Recognized as Date</v>
      </c>
      <c r="AD383" s="2">
        <f t="shared" si="73"/>
        <v>0</v>
      </c>
      <c r="AE383" s="2">
        <f t="shared" si="74"/>
        <v>0</v>
      </c>
      <c r="AH383" t="str">
        <f t="shared" si="79"/>
        <v>Arjun Bose</v>
      </c>
      <c r="AI383" t="str">
        <f t="shared" si="79"/>
        <v>Home Office</v>
      </c>
      <c r="AJ383" t="str">
        <f t="shared" si="79"/>
        <v>North</v>
      </c>
      <c r="AK383" t="str">
        <f t="shared" si="79"/>
        <v>Delhi</v>
      </c>
      <c r="AL383" t="str">
        <f t="shared" si="78"/>
        <v>New Delhi</v>
      </c>
      <c r="AM383" t="str">
        <f t="shared" si="78"/>
        <v>Office Supplies</v>
      </c>
      <c r="AN383" t="str">
        <f t="shared" si="78"/>
        <v>Binders</v>
      </c>
      <c r="AO383" t="str">
        <f t="shared" si="75"/>
        <v>Standard Class</v>
      </c>
      <c r="AP383" t="str">
        <f t="shared" si="76"/>
        <v>Failed</v>
      </c>
      <c r="AQ383" t="str">
        <f t="shared" si="76"/>
        <v>Cancelled</v>
      </c>
    </row>
    <row r="384" spans="1:43">
      <c r="A384" t="s">
        <v>1458</v>
      </c>
      <c r="B384" s="3">
        <v>45720</v>
      </c>
      <c r="C384" s="3">
        <v>45724</v>
      </c>
      <c r="D384" t="s">
        <v>251</v>
      </c>
      <c r="E384" t="s">
        <v>139</v>
      </c>
      <c r="F384" t="s">
        <v>122</v>
      </c>
      <c r="G384" t="s">
        <v>123</v>
      </c>
      <c r="H384" t="s">
        <v>237</v>
      </c>
      <c r="I384" t="s">
        <v>238</v>
      </c>
      <c r="J384" t="s">
        <v>1459</v>
      </c>
      <c r="K384" t="s">
        <v>266</v>
      </c>
      <c r="L384" t="s">
        <v>1460</v>
      </c>
      <c r="M384" t="s">
        <v>135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117</v>
      </c>
      <c r="U384" t="s">
        <v>118</v>
      </c>
      <c r="V384" s="2">
        <f t="shared" si="66"/>
        <v>0.2</v>
      </c>
      <c r="W384" s="2">
        <f t="shared" si="67"/>
        <v>10468.440000000002</v>
      </c>
      <c r="X384" s="2">
        <f>W384-R384</f>
        <v>2068.5700000000015</v>
      </c>
      <c r="Y384" s="2">
        <f t="shared" si="68"/>
        <v>0.19760059760575607</v>
      </c>
      <c r="Z384" s="2">
        <f t="shared" si="69"/>
        <v>4</v>
      </c>
      <c r="AA384" s="2">
        <f t="shared" si="70"/>
        <v>3</v>
      </c>
      <c r="AB384" s="2">
        <f t="shared" si="71"/>
        <v>2025</v>
      </c>
      <c r="AC384" s="2" t="str">
        <f t="shared" si="72"/>
        <v>Valid</v>
      </c>
      <c r="AD384" s="2">
        <f t="shared" si="73"/>
        <v>0</v>
      </c>
      <c r="AE384" s="2">
        <f t="shared" si="74"/>
        <v>0</v>
      </c>
      <c r="AH384" t="str">
        <f t="shared" si="79"/>
        <v>Arjun Bose</v>
      </c>
      <c r="AI384" t="str">
        <f t="shared" si="79"/>
        <v>Small Business</v>
      </c>
      <c r="AJ384" t="str">
        <f t="shared" si="79"/>
        <v>East</v>
      </c>
      <c r="AK384" t="str">
        <f t="shared" si="79"/>
        <v>Bihar</v>
      </c>
      <c r="AL384" t="str">
        <f t="shared" si="78"/>
        <v>Patna</v>
      </c>
      <c r="AM384" t="str">
        <f t="shared" si="78"/>
        <v>Technology</v>
      </c>
      <c r="AN384" t="str">
        <f t="shared" si="78"/>
        <v>Phones</v>
      </c>
      <c r="AO384" t="str">
        <f t="shared" si="75"/>
        <v>First Class</v>
      </c>
      <c r="AP384" t="str">
        <f t="shared" si="76"/>
        <v>Paid</v>
      </c>
      <c r="AQ384" t="str">
        <f t="shared" si="76"/>
        <v>Completed</v>
      </c>
    </row>
    <row r="385" spans="1:43">
      <c r="A385" t="s">
        <v>1461</v>
      </c>
      <c r="B385" s="3">
        <v>45836</v>
      </c>
      <c r="C385" s="3">
        <v>45843</v>
      </c>
      <c r="D385" t="s">
        <v>1462</v>
      </c>
      <c r="E385" t="s">
        <v>157</v>
      </c>
      <c r="F385" t="s">
        <v>177</v>
      </c>
      <c r="G385" t="s">
        <v>123</v>
      </c>
      <c r="H385" t="s">
        <v>186</v>
      </c>
      <c r="I385" t="s">
        <v>187</v>
      </c>
      <c r="J385" t="s">
        <v>113</v>
      </c>
      <c r="K385" t="s">
        <v>133</v>
      </c>
      <c r="L385" t="s">
        <v>1463</v>
      </c>
      <c r="M385" t="s">
        <v>135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117</v>
      </c>
      <c r="U385" t="s">
        <v>44</v>
      </c>
      <c r="V385" s="2">
        <f t="shared" si="66"/>
        <v>0</v>
      </c>
      <c r="W385" s="2">
        <f t="shared" si="67"/>
        <v>4485.5</v>
      </c>
      <c r="X385" s="2">
        <f>W385-R385</f>
        <v>1353.6399999999999</v>
      </c>
      <c r="Y385" s="2">
        <f t="shared" si="68"/>
        <v>0.30178129528480657</v>
      </c>
      <c r="Z385" s="2">
        <f t="shared" si="69"/>
        <v>7</v>
      </c>
      <c r="AA385" s="2">
        <f t="shared" si="70"/>
        <v>6</v>
      </c>
      <c r="AB385" s="2">
        <f t="shared" si="71"/>
        <v>2025</v>
      </c>
      <c r="AC385" s="2" t="str">
        <f t="shared" si="72"/>
        <v>Valid</v>
      </c>
      <c r="AD385" s="2">
        <f t="shared" si="73"/>
        <v>0</v>
      </c>
      <c r="AE385" s="2">
        <f t="shared" si="74"/>
        <v>0</v>
      </c>
      <c r="AH385" t="str">
        <f t="shared" si="79"/>
        <v>Vikram Iyer</v>
      </c>
      <c r="AI385" t="str">
        <f t="shared" si="79"/>
        <v>Corporate</v>
      </c>
      <c r="AJ385" t="str">
        <f t="shared" si="79"/>
        <v>East</v>
      </c>
      <c r="AK385" t="str">
        <f t="shared" si="79"/>
        <v>West Bengal</v>
      </c>
      <c r="AL385" t="str">
        <f t="shared" si="78"/>
        <v>Kolkata</v>
      </c>
      <c r="AM385" t="str">
        <f t="shared" si="78"/>
        <v>Office Supplies</v>
      </c>
      <c r="AN385" t="str">
        <f t="shared" si="78"/>
        <v>Art</v>
      </c>
      <c r="AO385" t="str">
        <f t="shared" si="75"/>
        <v>First Class</v>
      </c>
      <c r="AP385" t="str">
        <f t="shared" si="76"/>
        <v>Paid</v>
      </c>
      <c r="AQ385" t="str">
        <f t="shared" si="76"/>
        <v>Cancelled</v>
      </c>
    </row>
    <row r="386" spans="1:43">
      <c r="A386" t="s">
        <v>1464</v>
      </c>
      <c r="B386" s="3" t="s">
        <v>1465</v>
      </c>
      <c r="C386" s="3">
        <v>45371</v>
      </c>
      <c r="D386" t="s">
        <v>1466</v>
      </c>
      <c r="E386" t="s">
        <v>232</v>
      </c>
      <c r="F386" t="s">
        <v>109</v>
      </c>
      <c r="G386" t="s">
        <v>123</v>
      </c>
      <c r="H386" t="s">
        <v>335</v>
      </c>
      <c r="I386" t="s">
        <v>336</v>
      </c>
      <c r="J386" t="s">
        <v>160</v>
      </c>
      <c r="K386" t="s">
        <v>166</v>
      </c>
      <c r="L386" t="s">
        <v>1467</v>
      </c>
      <c r="M386" t="s">
        <v>145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117</v>
      </c>
      <c r="U386" t="s">
        <v>190</v>
      </c>
      <c r="V386" s="2">
        <f t="shared" si="66"/>
        <v>0.25</v>
      </c>
      <c r="W386" s="2">
        <f t="shared" si="67"/>
        <v>2822.1000000000004</v>
      </c>
      <c r="X386" s="2">
        <f>W386-R386</f>
        <v>1197.5300000000004</v>
      </c>
      <c r="Y386" s="2">
        <f t="shared" si="68"/>
        <v>0.42434003047376079</v>
      </c>
      <c r="Z386" s="2" t="str">
        <f t="shared" si="69"/>
        <v/>
      </c>
      <c r="AA386" s="2" t="e">
        <f t="shared" si="70"/>
        <v>#VALUE!</v>
      </c>
      <c r="AB386" s="2" t="e">
        <f t="shared" si="71"/>
        <v>#VALUE!</v>
      </c>
      <c r="AC386" s="2" t="str">
        <f t="shared" si="72"/>
        <v>Text Value Not Recognized as Date</v>
      </c>
      <c r="AD386" s="2">
        <f t="shared" si="73"/>
        <v>0</v>
      </c>
      <c r="AE386" s="2">
        <f t="shared" si="74"/>
        <v>0</v>
      </c>
      <c r="AH386" t="str">
        <f t="shared" si="79"/>
        <v>Rohan Mehta</v>
      </c>
      <c r="AI386" t="str">
        <f t="shared" si="79"/>
        <v>Consumer</v>
      </c>
      <c r="AJ386" t="str">
        <f t="shared" si="79"/>
        <v>East</v>
      </c>
      <c r="AK386" t="str">
        <f t="shared" si="79"/>
        <v>Jharkhand</v>
      </c>
      <c r="AL386" t="str">
        <f t="shared" si="78"/>
        <v>Ranchi</v>
      </c>
      <c r="AM386" t="str">
        <f t="shared" si="78"/>
        <v>Technology</v>
      </c>
      <c r="AN386" t="str">
        <f t="shared" si="78"/>
        <v>Copiers</v>
      </c>
      <c r="AO386" t="str">
        <f t="shared" si="75"/>
        <v>Standard Class</v>
      </c>
      <c r="AP386" t="str">
        <f t="shared" si="76"/>
        <v>Paid</v>
      </c>
      <c r="AQ386" t="str">
        <f t="shared" si="76"/>
        <v>Returned</v>
      </c>
    </row>
    <row r="387" spans="1:43">
      <c r="A387" t="s">
        <v>1468</v>
      </c>
      <c r="B387" s="3">
        <v>45832</v>
      </c>
      <c r="C387" s="3">
        <v>45838</v>
      </c>
      <c r="D387" t="s">
        <v>1469</v>
      </c>
      <c r="E387" t="s">
        <v>139</v>
      </c>
      <c r="F387" t="s">
        <v>109</v>
      </c>
      <c r="G387" t="s">
        <v>110</v>
      </c>
      <c r="H387" t="s">
        <v>344</v>
      </c>
      <c r="I387" t="s">
        <v>345</v>
      </c>
      <c r="J387" t="s">
        <v>113</v>
      </c>
      <c r="K387" t="s">
        <v>178</v>
      </c>
      <c r="L387" t="s">
        <v>1470</v>
      </c>
      <c r="M387" t="s">
        <v>145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117</v>
      </c>
      <c r="U387" t="s">
        <v>118</v>
      </c>
      <c r="V387" s="2">
        <f t="shared" ref="V387:V450" si="80">IF(ISBLANK(P387), 0, P387)</f>
        <v>0.1</v>
      </c>
      <c r="W387" s="2">
        <f t="shared" ref="W387:W450" si="81">N387 * O387 * (1 - P387)</f>
        <v>1975.104</v>
      </c>
      <c r="X387" s="2">
        <f>W387-R387</f>
        <v>859.75400000000013</v>
      </c>
      <c r="Y387" s="2">
        <f t="shared" ref="Y387:Y450" si="82">IFERROR(X387 / W387, 0)</f>
        <v>0.4352955591199249</v>
      </c>
      <c r="Z387" s="2">
        <f t="shared" ref="Z387:Z450" si="83">IF(OR(ISBLANK(B387), ISBLANK(C387), ISTEXT(B387), ISTEXT(C387)), "", C387 - B387)</f>
        <v>6</v>
      </c>
      <c r="AA387" s="2">
        <f t="shared" ref="AA387:AA450" si="84">MONTH(B387)</f>
        <v>6</v>
      </c>
      <c r="AB387" s="2">
        <f t="shared" ref="AB387:AB450" si="85">YEAR(B387)</f>
        <v>2025</v>
      </c>
      <c r="AC387" s="2" t="str">
        <f t="shared" ref="AC387:AC450" si="86">IF(COUNTIF(A:A, A387) &gt; 1, "Conflicting Duplicate Order ID",
 IF(OR(G387="Unknown", ISBLANK(G387)), "Missing region",
 IF(OR(M387="Unknown", ISBLANK(M387)), "Missing ship_mode",
 IF(OR(ISBLANK(B387), ISBLANK(C387)), "Missing Date",
 IF(OR(ISTEXT(B387), ISTEXT(C387)), "Text Value Not Recognized as Date",
 IF(C387 &lt; B387, "Invalid shipping record",
 IF(P387 &lt; 0, "Invalid",
 IF(P387 &gt; 0.7, "Invalid",
 "Valid"))))))))</f>
        <v>Valid</v>
      </c>
      <c r="AD387" s="2">
        <f t="shared" ref="AD387:AD450" si="87">IF(ABS(Q387 - W387) &gt; 0.01, 1, 0)</f>
        <v>0</v>
      </c>
      <c r="AE387" s="2">
        <f t="shared" ref="AE387:AE450" si="88">IF(ABS(S387 - X387) &gt; 0.01, 1, 0)</f>
        <v>0</v>
      </c>
      <c r="AH387" t="str">
        <f t="shared" si="79"/>
        <v>Arjun Bose</v>
      </c>
      <c r="AI387" t="str">
        <f t="shared" si="79"/>
        <v>Consumer</v>
      </c>
      <c r="AJ387" t="str">
        <f t="shared" si="79"/>
        <v>North</v>
      </c>
      <c r="AK387" t="str">
        <f t="shared" si="79"/>
        <v>Haryana</v>
      </c>
      <c r="AL387" t="str">
        <f t="shared" si="78"/>
        <v>Gurugram</v>
      </c>
      <c r="AM387" t="str">
        <f t="shared" si="78"/>
        <v>Office Supplies</v>
      </c>
      <c r="AN387" t="str">
        <f t="shared" si="78"/>
        <v>Labels</v>
      </c>
      <c r="AO387" t="str">
        <f t="shared" ref="AO387:AO450" si="89">PROPER(TRIM(M387))</f>
        <v>Standard Class</v>
      </c>
      <c r="AP387" t="str">
        <f t="shared" ref="AP387:AQ450" si="90">PROPER(TRIM(T387))</f>
        <v>Paid</v>
      </c>
      <c r="AQ387" t="str">
        <f t="shared" si="90"/>
        <v>Completed</v>
      </c>
    </row>
    <row r="388" spans="1:43">
      <c r="A388" t="s">
        <v>1471</v>
      </c>
      <c r="B388" s="3">
        <v>45700</v>
      </c>
      <c r="C388" s="3" t="s">
        <v>1472</v>
      </c>
      <c r="D388" t="s">
        <v>1473</v>
      </c>
      <c r="E388" t="s">
        <v>222</v>
      </c>
      <c r="F388" t="s">
        <v>109</v>
      </c>
      <c r="G388" t="s">
        <v>149</v>
      </c>
      <c r="H388" t="s">
        <v>150</v>
      </c>
      <c r="I388" t="s">
        <v>151</v>
      </c>
      <c r="J388" t="s">
        <v>126</v>
      </c>
      <c r="K388" t="s">
        <v>143</v>
      </c>
      <c r="L388" t="s">
        <v>1474</v>
      </c>
      <c r="M388" t="s">
        <v>116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117</v>
      </c>
      <c r="U388" t="s">
        <v>118</v>
      </c>
      <c r="V388" s="2">
        <f t="shared" si="80"/>
        <v>0.1</v>
      </c>
      <c r="W388" s="2">
        <f t="shared" si="81"/>
        <v>20063.952000000001</v>
      </c>
      <c r="X388" s="2">
        <f>W388-R388</f>
        <v>5700.5720000000019</v>
      </c>
      <c r="Y388" s="2">
        <f t="shared" si="82"/>
        <v>0.2841200975759911</v>
      </c>
      <c r="Z388" s="2" t="str">
        <f t="shared" si="83"/>
        <v/>
      </c>
      <c r="AA388" s="2">
        <f t="shared" si="84"/>
        <v>2</v>
      </c>
      <c r="AB388" s="2">
        <f t="shared" si="85"/>
        <v>2025</v>
      </c>
      <c r="AC388" s="2" t="str">
        <f t="shared" si="86"/>
        <v>Text Value Not Recognized as Date</v>
      </c>
      <c r="AD388" s="2">
        <f t="shared" si="87"/>
        <v>0</v>
      </c>
      <c r="AE388" s="2">
        <f t="shared" si="88"/>
        <v>0</v>
      </c>
      <c r="AH388" t="str">
        <f t="shared" si="79"/>
        <v>Sneha Kapoor</v>
      </c>
      <c r="AI388" t="str">
        <f t="shared" si="79"/>
        <v>Consumer</v>
      </c>
      <c r="AJ388" t="str">
        <f t="shared" si="79"/>
        <v>West</v>
      </c>
      <c r="AK388" t="str">
        <f t="shared" si="79"/>
        <v>Maharashtra</v>
      </c>
      <c r="AL388" t="str">
        <f t="shared" si="78"/>
        <v>Mumbai</v>
      </c>
      <c r="AM388" t="str">
        <f t="shared" si="78"/>
        <v>Furniture</v>
      </c>
      <c r="AN388" t="str">
        <f t="shared" si="78"/>
        <v>Furnishings</v>
      </c>
      <c r="AO388" t="str">
        <f t="shared" si="89"/>
        <v>Second Class</v>
      </c>
      <c r="AP388" t="str">
        <f t="shared" si="90"/>
        <v>Paid</v>
      </c>
      <c r="AQ388" t="str">
        <f t="shared" si="90"/>
        <v>Completed</v>
      </c>
    </row>
    <row r="389" spans="1:43">
      <c r="A389" t="s">
        <v>1475</v>
      </c>
      <c r="B389" s="3">
        <v>45938</v>
      </c>
      <c r="C389" s="3">
        <v>45882</v>
      </c>
      <c r="D389" t="s">
        <v>1476</v>
      </c>
      <c r="E389" t="s">
        <v>203</v>
      </c>
      <c r="F389" t="s">
        <v>122</v>
      </c>
      <c r="G389" t="s">
        <v>149</v>
      </c>
      <c r="H389" t="s">
        <v>158</v>
      </c>
      <c r="I389" t="s">
        <v>159</v>
      </c>
      <c r="J389" t="s">
        <v>126</v>
      </c>
      <c r="K389" t="s">
        <v>152</v>
      </c>
      <c r="L389" t="s">
        <v>1477</v>
      </c>
      <c r="M389" t="s">
        <v>145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199</v>
      </c>
      <c r="U389" t="s">
        <v>44</v>
      </c>
      <c r="V389" s="2">
        <f t="shared" si="80"/>
        <v>0</v>
      </c>
      <c r="W389" s="2">
        <f t="shared" si="81"/>
        <v>1764.3000000000002</v>
      </c>
      <c r="X389" s="2">
        <f>W389-R389</f>
        <v>431.81000000000017</v>
      </c>
      <c r="Y389" s="2">
        <f t="shared" si="82"/>
        <v>0.24474862551720236</v>
      </c>
      <c r="Z389" s="2">
        <f t="shared" si="83"/>
        <v>-56</v>
      </c>
      <c r="AA389" s="2">
        <f t="shared" si="84"/>
        <v>10</v>
      </c>
      <c r="AB389" s="2">
        <f t="shared" si="85"/>
        <v>2025</v>
      </c>
      <c r="AC389" s="2" t="str">
        <f t="shared" si="86"/>
        <v>Invalid shipping record</v>
      </c>
      <c r="AD389" s="2">
        <f t="shared" si="87"/>
        <v>0</v>
      </c>
      <c r="AE389" s="2">
        <f t="shared" si="88"/>
        <v>0</v>
      </c>
      <c r="AH389" t="str">
        <f t="shared" si="79"/>
        <v>Priya Menon</v>
      </c>
      <c r="AI389" t="str">
        <f t="shared" si="79"/>
        <v>Small Business</v>
      </c>
      <c r="AJ389" t="str">
        <f t="shared" si="79"/>
        <v>West</v>
      </c>
      <c r="AK389" t="str">
        <f t="shared" si="79"/>
        <v>Madhya Pradesh</v>
      </c>
      <c r="AL389" t="str">
        <f t="shared" si="78"/>
        <v>Indore</v>
      </c>
      <c r="AM389" t="str">
        <f t="shared" si="78"/>
        <v>Furniture</v>
      </c>
      <c r="AN389" t="str">
        <f t="shared" si="78"/>
        <v>Chairs</v>
      </c>
      <c r="AO389" t="str">
        <f t="shared" si="89"/>
        <v>Standard Class</v>
      </c>
      <c r="AP389" t="str">
        <f t="shared" si="90"/>
        <v>Pending</v>
      </c>
      <c r="AQ389" t="str">
        <f t="shared" si="90"/>
        <v>Cancelled</v>
      </c>
    </row>
    <row r="390" spans="1:43">
      <c r="A390" t="s">
        <v>1478</v>
      </c>
      <c r="B390" s="3">
        <v>45425</v>
      </c>
      <c r="C390" s="3">
        <v>45430</v>
      </c>
      <c r="D390" t="s">
        <v>1479</v>
      </c>
      <c r="E390" t="s">
        <v>132</v>
      </c>
      <c r="F390" t="s">
        <v>122</v>
      </c>
      <c r="G390" t="s">
        <v>149</v>
      </c>
      <c r="H390" t="s">
        <v>276</v>
      </c>
      <c r="I390" t="s">
        <v>277</v>
      </c>
      <c r="J390" t="s">
        <v>126</v>
      </c>
      <c r="K390" t="s">
        <v>152</v>
      </c>
      <c r="L390" t="s">
        <v>1480</v>
      </c>
      <c r="M390" t="s">
        <v>145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117</v>
      </c>
      <c r="U390" t="s">
        <v>118</v>
      </c>
      <c r="V390" s="2">
        <f t="shared" si="80"/>
        <v>0</v>
      </c>
      <c r="W390" s="2">
        <f t="shared" si="81"/>
        <v>9385.77</v>
      </c>
      <c r="X390" s="2">
        <f>W390-R390</f>
        <v>2513.3300000000008</v>
      </c>
      <c r="Y390" s="2">
        <f t="shared" si="82"/>
        <v>0.26778090662779941</v>
      </c>
      <c r="Z390" s="2">
        <f t="shared" si="83"/>
        <v>5</v>
      </c>
      <c r="AA390" s="2">
        <f t="shared" si="84"/>
        <v>5</v>
      </c>
      <c r="AB390" s="2">
        <f t="shared" si="85"/>
        <v>2024</v>
      </c>
      <c r="AC390" s="2" t="str">
        <f t="shared" si="86"/>
        <v>Valid</v>
      </c>
      <c r="AD390" s="2">
        <f t="shared" si="87"/>
        <v>0</v>
      </c>
      <c r="AE390" s="2">
        <f t="shared" si="88"/>
        <v>1</v>
      </c>
      <c r="AH390" t="str">
        <f t="shared" si="79"/>
        <v>Isha Nair</v>
      </c>
      <c r="AI390" t="str">
        <f t="shared" si="79"/>
        <v>Small Business</v>
      </c>
      <c r="AJ390" t="str">
        <f t="shared" si="79"/>
        <v>West</v>
      </c>
      <c r="AK390" t="str">
        <f t="shared" si="79"/>
        <v>Gujarat</v>
      </c>
      <c r="AL390" t="str">
        <f t="shared" si="78"/>
        <v>Ahmedabad</v>
      </c>
      <c r="AM390" t="str">
        <f t="shared" si="78"/>
        <v>Furniture</v>
      </c>
      <c r="AN390" t="str">
        <f t="shared" si="78"/>
        <v>Chairs</v>
      </c>
      <c r="AO390" t="str">
        <f t="shared" si="89"/>
        <v>Standard Class</v>
      </c>
      <c r="AP390" t="str">
        <f t="shared" si="90"/>
        <v>Paid</v>
      </c>
      <c r="AQ390" t="str">
        <f t="shared" si="90"/>
        <v>Completed</v>
      </c>
    </row>
    <row r="391" spans="1:43">
      <c r="A391" t="s">
        <v>1481</v>
      </c>
      <c r="B391" s="3">
        <v>45387</v>
      </c>
      <c r="C391" s="3">
        <v>45395</v>
      </c>
      <c r="D391" t="s">
        <v>1482</v>
      </c>
      <c r="E391" t="s">
        <v>256</v>
      </c>
      <c r="F391" t="s">
        <v>177</v>
      </c>
      <c r="G391" t="s">
        <v>149</v>
      </c>
      <c r="H391" t="s">
        <v>276</v>
      </c>
      <c r="I391" t="s">
        <v>277</v>
      </c>
      <c r="J391" t="s">
        <v>160</v>
      </c>
      <c r="K391" t="s">
        <v>385</v>
      </c>
      <c r="L391" t="s">
        <v>1483</v>
      </c>
      <c r="M391" t="s">
        <v>116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199</v>
      </c>
      <c r="U391" t="s">
        <v>44</v>
      </c>
      <c r="V391" s="2">
        <f t="shared" si="80"/>
        <v>0.2</v>
      </c>
      <c r="W391" s="2">
        <f t="shared" si="81"/>
        <v>7750.1600000000008</v>
      </c>
      <c r="X391" s="2">
        <f>W391-R391</f>
        <v>2315.8600000000006</v>
      </c>
      <c r="Y391" s="2">
        <f t="shared" si="82"/>
        <v>0.29881447608823564</v>
      </c>
      <c r="Z391" s="2">
        <f t="shared" si="83"/>
        <v>8</v>
      </c>
      <c r="AA391" s="2">
        <f t="shared" si="84"/>
        <v>4</v>
      </c>
      <c r="AB391" s="2">
        <f t="shared" si="85"/>
        <v>2024</v>
      </c>
      <c r="AC391" s="2" t="str">
        <f t="shared" si="86"/>
        <v>Valid</v>
      </c>
      <c r="AD391" s="2">
        <f t="shared" si="87"/>
        <v>0</v>
      </c>
      <c r="AE391" s="2">
        <f t="shared" si="88"/>
        <v>0</v>
      </c>
      <c r="AH391" t="str">
        <f t="shared" si="79"/>
        <v>Diya Patel</v>
      </c>
      <c r="AI391" t="str">
        <f t="shared" si="79"/>
        <v>Corporate</v>
      </c>
      <c r="AJ391" t="str">
        <f t="shared" si="79"/>
        <v>West</v>
      </c>
      <c r="AK391" t="str">
        <f t="shared" si="79"/>
        <v>Gujarat</v>
      </c>
      <c r="AL391" t="str">
        <f t="shared" si="78"/>
        <v>Ahmedabad</v>
      </c>
      <c r="AM391" t="str">
        <f t="shared" si="78"/>
        <v>Technology</v>
      </c>
      <c r="AN391" t="str">
        <f t="shared" si="78"/>
        <v>Machines</v>
      </c>
      <c r="AO391" t="str">
        <f t="shared" si="89"/>
        <v>Second Class</v>
      </c>
      <c r="AP391" t="str">
        <f t="shared" si="90"/>
        <v>Pending</v>
      </c>
      <c r="AQ391" t="str">
        <f t="shared" si="90"/>
        <v>Cancelled</v>
      </c>
    </row>
    <row r="392" spans="1:43">
      <c r="A392" t="s">
        <v>1484</v>
      </c>
      <c r="B392" s="3">
        <v>45602</v>
      </c>
      <c r="C392" s="3">
        <v>45607</v>
      </c>
      <c r="D392" t="s">
        <v>1485</v>
      </c>
      <c r="E392" t="s">
        <v>132</v>
      </c>
      <c r="F392" t="s">
        <v>109</v>
      </c>
      <c r="G392" t="s">
        <v>149</v>
      </c>
      <c r="H392" t="s">
        <v>276</v>
      </c>
      <c r="I392" t="s">
        <v>277</v>
      </c>
      <c r="J392" t="s">
        <v>126</v>
      </c>
      <c r="K392" t="s">
        <v>143</v>
      </c>
      <c r="L392" t="s">
        <v>1486</v>
      </c>
      <c r="M392" t="s">
        <v>145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117</v>
      </c>
      <c r="U392" t="s">
        <v>118</v>
      </c>
      <c r="V392" s="2">
        <f t="shared" si="80"/>
        <v>0.2</v>
      </c>
      <c r="W392" s="2">
        <f t="shared" si="81"/>
        <v>6135.232</v>
      </c>
      <c r="X392" s="2">
        <f>W392-R392</f>
        <v>2695.442</v>
      </c>
      <c r="Y392" s="2">
        <f t="shared" si="82"/>
        <v>0.43933823529411764</v>
      </c>
      <c r="Z392" s="2">
        <f t="shared" si="83"/>
        <v>5</v>
      </c>
      <c r="AA392" s="2">
        <f t="shared" si="84"/>
        <v>11</v>
      </c>
      <c r="AB392" s="2">
        <f t="shared" si="85"/>
        <v>2024</v>
      </c>
      <c r="AC392" s="2" t="str">
        <f t="shared" si="86"/>
        <v>Valid</v>
      </c>
      <c r="AD392" s="2">
        <f t="shared" si="87"/>
        <v>0</v>
      </c>
      <c r="AE392" s="2">
        <f t="shared" si="88"/>
        <v>0</v>
      </c>
      <c r="AH392" t="str">
        <f t="shared" si="79"/>
        <v>Isha Nair</v>
      </c>
      <c r="AI392" t="str">
        <f t="shared" si="79"/>
        <v>Consumer</v>
      </c>
      <c r="AJ392" t="str">
        <f t="shared" si="79"/>
        <v>West</v>
      </c>
      <c r="AK392" t="str">
        <f t="shared" si="79"/>
        <v>Gujarat</v>
      </c>
      <c r="AL392" t="str">
        <f t="shared" si="78"/>
        <v>Ahmedabad</v>
      </c>
      <c r="AM392" t="str">
        <f t="shared" si="78"/>
        <v>Furniture</v>
      </c>
      <c r="AN392" t="str">
        <f t="shared" si="78"/>
        <v>Furnishings</v>
      </c>
      <c r="AO392" t="str">
        <f t="shared" si="89"/>
        <v>Standard Class</v>
      </c>
      <c r="AP392" t="str">
        <f t="shared" si="90"/>
        <v>Paid</v>
      </c>
      <c r="AQ392" t="str">
        <f t="shared" si="90"/>
        <v>Completed</v>
      </c>
    </row>
    <row r="393" spans="1:43">
      <c r="A393" t="s">
        <v>1487</v>
      </c>
      <c r="B393" s="3" t="s">
        <v>1472</v>
      </c>
      <c r="C393" s="3">
        <v>45702</v>
      </c>
      <c r="D393" t="s">
        <v>1488</v>
      </c>
      <c r="E393" t="s">
        <v>256</v>
      </c>
      <c r="F393" t="s">
        <v>109</v>
      </c>
      <c r="G393" t="s">
        <v>140</v>
      </c>
      <c r="H393" t="s">
        <v>270</v>
      </c>
      <c r="I393" t="s">
        <v>271</v>
      </c>
      <c r="J393" t="s">
        <v>113</v>
      </c>
      <c r="K393" t="s">
        <v>213</v>
      </c>
      <c r="L393" t="s">
        <v>1489</v>
      </c>
      <c r="M393" t="s">
        <v>135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117</v>
      </c>
      <c r="U393" t="s">
        <v>118</v>
      </c>
      <c r="V393" s="2">
        <f t="shared" si="80"/>
        <v>0</v>
      </c>
      <c r="W393" s="2">
        <f t="shared" si="81"/>
        <v>714.43</v>
      </c>
      <c r="X393" s="2">
        <f>W393-R393</f>
        <v>148.9899999999999</v>
      </c>
      <c r="Y393" s="2">
        <f t="shared" si="82"/>
        <v>0.20854387413742412</v>
      </c>
      <c r="Z393" s="2" t="str">
        <f t="shared" si="83"/>
        <v/>
      </c>
      <c r="AA393" s="2" t="e">
        <f t="shared" si="84"/>
        <v>#VALUE!</v>
      </c>
      <c r="AB393" s="2" t="e">
        <f t="shared" si="85"/>
        <v>#VALUE!</v>
      </c>
      <c r="AC393" s="2" t="str">
        <f t="shared" si="86"/>
        <v>Text Value Not Recognized as Date</v>
      </c>
      <c r="AD393" s="2">
        <f t="shared" si="87"/>
        <v>0</v>
      </c>
      <c r="AE393" s="2">
        <f t="shared" si="88"/>
        <v>0</v>
      </c>
      <c r="AH393" t="str">
        <f t="shared" si="79"/>
        <v>Diya Patel</v>
      </c>
      <c r="AI393" t="str">
        <f t="shared" si="79"/>
        <v>Consumer</v>
      </c>
      <c r="AJ393" t="str">
        <f t="shared" si="79"/>
        <v>South</v>
      </c>
      <c r="AK393" t="str">
        <f t="shared" si="79"/>
        <v>Karnataka</v>
      </c>
      <c r="AL393" t="str">
        <f t="shared" si="78"/>
        <v>Bengaluru</v>
      </c>
      <c r="AM393" t="str">
        <f t="shared" si="78"/>
        <v>Office Supplies</v>
      </c>
      <c r="AN393" t="str">
        <f t="shared" si="78"/>
        <v>Storage</v>
      </c>
      <c r="AO393" t="str">
        <f t="shared" si="89"/>
        <v>First Class</v>
      </c>
      <c r="AP393" t="str">
        <f t="shared" si="90"/>
        <v>Paid</v>
      </c>
      <c r="AQ393" t="str">
        <f t="shared" si="90"/>
        <v>Completed</v>
      </c>
    </row>
    <row r="394" spans="1:43">
      <c r="A394" t="s">
        <v>1490</v>
      </c>
      <c r="B394" s="3">
        <v>45341</v>
      </c>
      <c r="C394" s="3">
        <v>45344</v>
      </c>
      <c r="D394" t="s">
        <v>1491</v>
      </c>
      <c r="E394" t="s">
        <v>176</v>
      </c>
      <c r="F394" t="s">
        <v>122</v>
      </c>
      <c r="G394" t="s">
        <v>140</v>
      </c>
      <c r="H394" t="s">
        <v>282</v>
      </c>
      <c r="I394" t="s">
        <v>283</v>
      </c>
      <c r="J394" t="s">
        <v>126</v>
      </c>
      <c r="K394" t="s">
        <v>143</v>
      </c>
      <c r="L394" t="s">
        <v>1492</v>
      </c>
      <c r="M394" t="s">
        <v>129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117</v>
      </c>
      <c r="U394" t="s">
        <v>118</v>
      </c>
      <c r="V394" s="2">
        <f t="shared" si="80"/>
        <v>0</v>
      </c>
      <c r="W394" s="2">
        <f t="shared" si="81"/>
        <v>36477.090000000004</v>
      </c>
      <c r="X394" s="2">
        <f>W394-R394</f>
        <v>11951.610000000004</v>
      </c>
      <c r="Y394" s="2">
        <f t="shared" si="82"/>
        <v>0.32764702447481425</v>
      </c>
      <c r="Z394" s="2">
        <f t="shared" si="83"/>
        <v>3</v>
      </c>
      <c r="AA394" s="2">
        <f t="shared" si="84"/>
        <v>2</v>
      </c>
      <c r="AB394" s="2">
        <f t="shared" si="85"/>
        <v>2024</v>
      </c>
      <c r="AC394" s="2" t="str">
        <f t="shared" si="86"/>
        <v>Valid</v>
      </c>
      <c r="AD394" s="2">
        <f t="shared" si="87"/>
        <v>0</v>
      </c>
      <c r="AE394" s="2">
        <f t="shared" si="88"/>
        <v>0</v>
      </c>
      <c r="AH394" t="str">
        <f t="shared" si="79"/>
        <v>Aditi Sen</v>
      </c>
      <c r="AI394" t="str">
        <f t="shared" si="79"/>
        <v>Small Business</v>
      </c>
      <c r="AJ394" t="str">
        <f t="shared" si="79"/>
        <v>South</v>
      </c>
      <c r="AK394" t="str">
        <f t="shared" si="79"/>
        <v>Kerala</v>
      </c>
      <c r="AL394" t="str">
        <f t="shared" si="78"/>
        <v>Kochi</v>
      </c>
      <c r="AM394" t="str">
        <f t="shared" si="78"/>
        <v>Furniture</v>
      </c>
      <c r="AN394" t="str">
        <f t="shared" si="78"/>
        <v>Furnishings</v>
      </c>
      <c r="AO394" t="str">
        <f t="shared" si="89"/>
        <v>Same Day</v>
      </c>
      <c r="AP394" t="str">
        <f t="shared" si="90"/>
        <v>Paid</v>
      </c>
      <c r="AQ394" t="str">
        <f t="shared" si="90"/>
        <v>Completed</v>
      </c>
    </row>
    <row r="395" spans="1:43">
      <c r="A395" t="s">
        <v>1493</v>
      </c>
      <c r="B395" s="3">
        <v>45527</v>
      </c>
      <c r="C395" s="3">
        <v>45533</v>
      </c>
      <c r="D395" t="s">
        <v>1494</v>
      </c>
      <c r="E395" t="s">
        <v>121</v>
      </c>
      <c r="F395" t="s">
        <v>177</v>
      </c>
      <c r="G395" t="s">
        <v>110</v>
      </c>
      <c r="H395" t="s">
        <v>227</v>
      </c>
      <c r="I395" t="s">
        <v>228</v>
      </c>
      <c r="J395" t="s">
        <v>113</v>
      </c>
      <c r="K395" t="s">
        <v>178</v>
      </c>
      <c r="L395" t="s">
        <v>1495</v>
      </c>
      <c r="M395" t="s">
        <v>129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117</v>
      </c>
      <c r="U395" t="s">
        <v>118</v>
      </c>
      <c r="V395" s="2">
        <f t="shared" si="80"/>
        <v>0.05</v>
      </c>
      <c r="W395" s="2">
        <f t="shared" si="81"/>
        <v>3680.1289999999999</v>
      </c>
      <c r="X395" s="2">
        <f>W395-R395</f>
        <v>712.66899999999987</v>
      </c>
      <c r="Y395" s="2">
        <f t="shared" si="82"/>
        <v>0.19365326595888346</v>
      </c>
      <c r="Z395" s="2">
        <f t="shared" si="83"/>
        <v>6</v>
      </c>
      <c r="AA395" s="2">
        <f t="shared" si="84"/>
        <v>8</v>
      </c>
      <c r="AB395" s="2">
        <f t="shared" si="85"/>
        <v>2024</v>
      </c>
      <c r="AC395" s="2" t="str">
        <f t="shared" si="86"/>
        <v>Valid</v>
      </c>
      <c r="AD395" s="2">
        <f t="shared" si="87"/>
        <v>0</v>
      </c>
      <c r="AE395" s="2">
        <f t="shared" si="88"/>
        <v>0</v>
      </c>
      <c r="AH395" t="str">
        <f t="shared" si="79"/>
        <v>Mira Das</v>
      </c>
      <c r="AI395" t="str">
        <f t="shared" si="79"/>
        <v>Corporate</v>
      </c>
      <c r="AJ395" t="str">
        <f t="shared" si="79"/>
        <v>North</v>
      </c>
      <c r="AK395" t="str">
        <f t="shared" si="79"/>
        <v>Uttar Pradesh</v>
      </c>
      <c r="AL395" t="str">
        <f t="shared" si="78"/>
        <v>Noida</v>
      </c>
      <c r="AM395" t="str">
        <f t="shared" si="78"/>
        <v>Office Supplies</v>
      </c>
      <c r="AN395" t="str">
        <f t="shared" si="78"/>
        <v>Labels</v>
      </c>
      <c r="AO395" t="str">
        <f t="shared" si="89"/>
        <v>Same Day</v>
      </c>
      <c r="AP395" t="str">
        <f t="shared" si="90"/>
        <v>Paid</v>
      </c>
      <c r="AQ395" t="str">
        <f t="shared" si="90"/>
        <v>Completed</v>
      </c>
    </row>
    <row r="396" spans="1:43">
      <c r="A396" t="s">
        <v>1496</v>
      </c>
      <c r="B396" s="3">
        <v>45355</v>
      </c>
      <c r="C396" s="3">
        <v>45386</v>
      </c>
      <c r="D396" t="s">
        <v>1497</v>
      </c>
      <c r="E396" t="s">
        <v>375</v>
      </c>
      <c r="F396" t="s">
        <v>109</v>
      </c>
      <c r="G396" t="s">
        <v>149</v>
      </c>
      <c r="H396" t="s">
        <v>150</v>
      </c>
      <c r="I396" t="s">
        <v>151</v>
      </c>
      <c r="J396" t="s">
        <v>126</v>
      </c>
      <c r="K396" t="s">
        <v>143</v>
      </c>
      <c r="L396" t="s">
        <v>1498</v>
      </c>
      <c r="M396" t="s">
        <v>135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117</v>
      </c>
      <c r="U396" t="s">
        <v>118</v>
      </c>
      <c r="V396" s="2">
        <f t="shared" si="80"/>
        <v>0</v>
      </c>
      <c r="W396" s="2">
        <f t="shared" si="81"/>
        <v>27616.47</v>
      </c>
      <c r="X396" s="2">
        <f>W396-R396</f>
        <v>6391.2100000000028</v>
      </c>
      <c r="Y396" s="2">
        <f t="shared" si="82"/>
        <v>0.23142747787823725</v>
      </c>
      <c r="Z396" s="2">
        <f t="shared" si="83"/>
        <v>31</v>
      </c>
      <c r="AA396" s="2">
        <f t="shared" si="84"/>
        <v>3</v>
      </c>
      <c r="AB396" s="2">
        <f t="shared" si="85"/>
        <v>2024</v>
      </c>
      <c r="AC396" s="2" t="str">
        <f t="shared" si="86"/>
        <v>Valid</v>
      </c>
      <c r="AD396" s="2">
        <f t="shared" si="87"/>
        <v>0</v>
      </c>
      <c r="AE396" s="2">
        <f t="shared" si="88"/>
        <v>0</v>
      </c>
      <c r="AH396" t="str">
        <f t="shared" si="79"/>
        <v>Kabir Singh</v>
      </c>
      <c r="AI396" t="str">
        <f t="shared" si="79"/>
        <v>Consumer</v>
      </c>
      <c r="AJ396" t="str">
        <f t="shared" si="79"/>
        <v>West</v>
      </c>
      <c r="AK396" t="str">
        <f t="shared" si="79"/>
        <v>Maharashtra</v>
      </c>
      <c r="AL396" t="str">
        <f t="shared" si="78"/>
        <v>Mumbai</v>
      </c>
      <c r="AM396" t="str">
        <f t="shared" si="78"/>
        <v>Furniture</v>
      </c>
      <c r="AN396" t="str">
        <f t="shared" si="78"/>
        <v>Furnishings</v>
      </c>
      <c r="AO396" t="str">
        <f t="shared" si="89"/>
        <v>First Class</v>
      </c>
      <c r="AP396" t="str">
        <f t="shared" si="90"/>
        <v>Paid</v>
      </c>
      <c r="AQ396" t="str">
        <f t="shared" si="90"/>
        <v>Completed</v>
      </c>
    </row>
    <row r="397" spans="1:43">
      <c r="A397" t="s">
        <v>1499</v>
      </c>
      <c r="B397" s="3">
        <v>45449</v>
      </c>
      <c r="C397" s="3">
        <v>45450</v>
      </c>
      <c r="D397" t="s">
        <v>1500</v>
      </c>
      <c r="E397" t="s">
        <v>207</v>
      </c>
      <c r="F397" t="s">
        <v>182</v>
      </c>
      <c r="G397" t="s">
        <v>140</v>
      </c>
      <c r="H397" t="s">
        <v>357</v>
      </c>
      <c r="I397" t="s">
        <v>358</v>
      </c>
      <c r="J397" t="s">
        <v>126</v>
      </c>
      <c r="K397" t="s">
        <v>127</v>
      </c>
      <c r="L397" t="s">
        <v>1501</v>
      </c>
      <c r="M397" t="s">
        <v>129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117</v>
      </c>
      <c r="U397" t="s">
        <v>118</v>
      </c>
      <c r="V397" s="2">
        <f t="shared" si="80"/>
        <v>0.05</v>
      </c>
      <c r="W397" s="2">
        <f t="shared" si="81"/>
        <v>5731.7014999999992</v>
      </c>
      <c r="X397" s="2">
        <f>W397-R397</f>
        <v>1616.1414999999988</v>
      </c>
      <c r="Y397" s="2">
        <f t="shared" si="82"/>
        <v>0.28196539893084088</v>
      </c>
      <c r="Z397" s="2">
        <f t="shared" si="83"/>
        <v>1</v>
      </c>
      <c r="AA397" s="2">
        <f t="shared" si="84"/>
        <v>6</v>
      </c>
      <c r="AB397" s="2">
        <f t="shared" si="85"/>
        <v>2024</v>
      </c>
      <c r="AC397" s="2" t="str">
        <f t="shared" si="86"/>
        <v>Valid</v>
      </c>
      <c r="AD397" s="2">
        <f t="shared" si="87"/>
        <v>0</v>
      </c>
      <c r="AE397" s="2">
        <f t="shared" si="88"/>
        <v>0</v>
      </c>
      <c r="AH397" t="str">
        <f t="shared" si="79"/>
        <v>Rahul Verma</v>
      </c>
      <c r="AI397" t="str">
        <f t="shared" si="79"/>
        <v>Home Office</v>
      </c>
      <c r="AJ397" t="str">
        <f t="shared" si="79"/>
        <v>South</v>
      </c>
      <c r="AK397" t="str">
        <f t="shared" si="79"/>
        <v>Tamil Nadu</v>
      </c>
      <c r="AL397" t="str">
        <f t="shared" si="78"/>
        <v>Chennai</v>
      </c>
      <c r="AM397" t="str">
        <f t="shared" si="78"/>
        <v>Furniture</v>
      </c>
      <c r="AN397" t="str">
        <f t="shared" si="78"/>
        <v>Tables</v>
      </c>
      <c r="AO397" t="str">
        <f t="shared" si="89"/>
        <v>Same Day</v>
      </c>
      <c r="AP397" t="str">
        <f t="shared" si="90"/>
        <v>Paid</v>
      </c>
      <c r="AQ397" t="str">
        <f t="shared" si="90"/>
        <v>Completed</v>
      </c>
    </row>
    <row r="398" spans="1:43">
      <c r="A398" t="s">
        <v>1502</v>
      </c>
      <c r="B398" s="3">
        <v>45761</v>
      </c>
      <c r="C398" s="3">
        <v>45769</v>
      </c>
      <c r="D398" t="s">
        <v>1503</v>
      </c>
      <c r="E398" t="s">
        <v>176</v>
      </c>
      <c r="F398" t="s">
        <v>122</v>
      </c>
      <c r="G398" t="s">
        <v>140</v>
      </c>
      <c r="H398" t="s">
        <v>270</v>
      </c>
      <c r="I398" t="s">
        <v>271</v>
      </c>
      <c r="J398" t="s">
        <v>160</v>
      </c>
      <c r="K398" t="s">
        <v>385</v>
      </c>
      <c r="L398" t="s">
        <v>1504</v>
      </c>
      <c r="M398" t="s">
        <v>145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117</v>
      </c>
      <c r="U398" t="s">
        <v>118</v>
      </c>
      <c r="V398" s="2">
        <f t="shared" si="80"/>
        <v>0.05</v>
      </c>
      <c r="W398" s="2">
        <f t="shared" si="81"/>
        <v>1213.587</v>
      </c>
      <c r="X398" s="2">
        <f>W398-R398</f>
        <v>257.36699999999996</v>
      </c>
      <c r="Y398" s="2">
        <f t="shared" si="82"/>
        <v>0.21207132245154239</v>
      </c>
      <c r="Z398" s="2">
        <f t="shared" si="83"/>
        <v>8</v>
      </c>
      <c r="AA398" s="2">
        <f t="shared" si="84"/>
        <v>4</v>
      </c>
      <c r="AB398" s="2">
        <f t="shared" si="85"/>
        <v>2025</v>
      </c>
      <c r="AC398" s="2" t="str">
        <f t="shared" si="86"/>
        <v>Valid</v>
      </c>
      <c r="AD398" s="2">
        <f t="shared" si="87"/>
        <v>0</v>
      </c>
      <c r="AE398" s="2">
        <f t="shared" si="88"/>
        <v>0</v>
      </c>
      <c r="AH398" t="str">
        <f t="shared" si="79"/>
        <v>Aditi Sen</v>
      </c>
      <c r="AI398" t="str">
        <f t="shared" si="79"/>
        <v>Small Business</v>
      </c>
      <c r="AJ398" t="str">
        <f t="shared" si="79"/>
        <v>South</v>
      </c>
      <c r="AK398" t="str">
        <f t="shared" si="79"/>
        <v>Karnataka</v>
      </c>
      <c r="AL398" t="str">
        <f t="shared" si="78"/>
        <v>Bengaluru</v>
      </c>
      <c r="AM398" t="str">
        <f t="shared" si="78"/>
        <v>Technology</v>
      </c>
      <c r="AN398" t="str">
        <f t="shared" si="78"/>
        <v>Machines</v>
      </c>
      <c r="AO398" t="str">
        <f t="shared" si="89"/>
        <v>Standard Class</v>
      </c>
      <c r="AP398" t="str">
        <f t="shared" si="90"/>
        <v>Paid</v>
      </c>
      <c r="AQ398" t="str">
        <f t="shared" si="90"/>
        <v>Completed</v>
      </c>
    </row>
    <row r="399" spans="1:43">
      <c r="A399" t="s">
        <v>1505</v>
      </c>
      <c r="B399" s="3">
        <v>45817</v>
      </c>
      <c r="C399" s="3">
        <v>45818</v>
      </c>
      <c r="D399" t="s">
        <v>1506</v>
      </c>
      <c r="E399" t="s">
        <v>222</v>
      </c>
      <c r="F399" t="s">
        <v>122</v>
      </c>
      <c r="G399" t="s">
        <v>110</v>
      </c>
      <c r="H399" t="s">
        <v>227</v>
      </c>
      <c r="I399" t="s">
        <v>228</v>
      </c>
      <c r="J399" t="s">
        <v>126</v>
      </c>
      <c r="K399" t="s">
        <v>127</v>
      </c>
      <c r="L399" t="s">
        <v>1507</v>
      </c>
      <c r="M399" t="s">
        <v>116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117</v>
      </c>
      <c r="U399" t="s">
        <v>118</v>
      </c>
      <c r="V399" s="2">
        <f t="shared" si="80"/>
        <v>0</v>
      </c>
      <c r="W399" s="2">
        <f t="shared" si="81"/>
        <v>3463.76</v>
      </c>
      <c r="X399" s="2">
        <f>W399-R399</f>
        <v>1320.0200000000004</v>
      </c>
      <c r="Y399" s="2">
        <f t="shared" si="82"/>
        <v>0.38109453310852959</v>
      </c>
      <c r="Z399" s="2">
        <f t="shared" si="83"/>
        <v>1</v>
      </c>
      <c r="AA399" s="2">
        <f t="shared" si="84"/>
        <v>6</v>
      </c>
      <c r="AB399" s="2">
        <f t="shared" si="85"/>
        <v>2025</v>
      </c>
      <c r="AC399" s="2" t="str">
        <f t="shared" si="86"/>
        <v>Valid</v>
      </c>
      <c r="AD399" s="2">
        <f t="shared" si="87"/>
        <v>0</v>
      </c>
      <c r="AE399" s="2">
        <f t="shared" si="88"/>
        <v>0</v>
      </c>
      <c r="AH399" t="str">
        <f t="shared" si="79"/>
        <v>Sneha Kapoor</v>
      </c>
      <c r="AI399" t="str">
        <f t="shared" si="79"/>
        <v>Small Business</v>
      </c>
      <c r="AJ399" t="str">
        <f t="shared" si="79"/>
        <v>North</v>
      </c>
      <c r="AK399" t="str">
        <f t="shared" si="79"/>
        <v>Uttar Pradesh</v>
      </c>
      <c r="AL399" t="str">
        <f t="shared" si="78"/>
        <v>Noida</v>
      </c>
      <c r="AM399" t="str">
        <f t="shared" si="78"/>
        <v>Furniture</v>
      </c>
      <c r="AN399" t="str">
        <f t="shared" si="78"/>
        <v>Tables</v>
      </c>
      <c r="AO399" t="str">
        <f t="shared" si="89"/>
        <v>Second Class</v>
      </c>
      <c r="AP399" t="str">
        <f t="shared" si="90"/>
        <v>Paid</v>
      </c>
      <c r="AQ399" t="str">
        <f t="shared" si="90"/>
        <v>Completed</v>
      </c>
    </row>
    <row r="400" spans="1:43">
      <c r="A400" t="s">
        <v>1508</v>
      </c>
      <c r="B400" s="3">
        <v>45492</v>
      </c>
      <c r="C400" s="3">
        <v>45499</v>
      </c>
      <c r="D400" t="s">
        <v>1509</v>
      </c>
      <c r="E400" t="s">
        <v>157</v>
      </c>
      <c r="F400" t="s">
        <v>177</v>
      </c>
      <c r="G400" t="s">
        <v>110</v>
      </c>
      <c r="H400" t="s">
        <v>211</v>
      </c>
      <c r="I400" t="s">
        <v>212</v>
      </c>
      <c r="J400" t="s">
        <v>160</v>
      </c>
      <c r="K400" t="s">
        <v>385</v>
      </c>
      <c r="L400" t="s">
        <v>1510</v>
      </c>
      <c r="M400" t="s">
        <v>129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117</v>
      </c>
      <c r="U400" t="s">
        <v>118</v>
      </c>
      <c r="V400" s="2">
        <f t="shared" si="80"/>
        <v>0.2</v>
      </c>
      <c r="W400" s="2">
        <f t="shared" si="81"/>
        <v>2021.8400000000001</v>
      </c>
      <c r="X400" s="2">
        <f>W400-R400</f>
        <v>666.62000000000012</v>
      </c>
      <c r="Y400" s="2">
        <f t="shared" si="82"/>
        <v>0.32970957147944452</v>
      </c>
      <c r="Z400" s="2">
        <f t="shared" si="83"/>
        <v>7</v>
      </c>
      <c r="AA400" s="2">
        <f t="shared" si="84"/>
        <v>7</v>
      </c>
      <c r="AB400" s="2">
        <f t="shared" si="85"/>
        <v>2024</v>
      </c>
      <c r="AC400" s="2" t="str">
        <f t="shared" si="86"/>
        <v>Valid</v>
      </c>
      <c r="AD400" s="2">
        <f t="shared" si="87"/>
        <v>0</v>
      </c>
      <c r="AE400" s="2">
        <f t="shared" si="88"/>
        <v>0</v>
      </c>
      <c r="AH400" t="str">
        <f t="shared" si="79"/>
        <v>Vikram Iyer</v>
      </c>
      <c r="AI400" t="str">
        <f t="shared" si="79"/>
        <v>Corporate</v>
      </c>
      <c r="AJ400" t="str">
        <f t="shared" si="79"/>
        <v>North</v>
      </c>
      <c r="AK400" t="str">
        <f t="shared" si="79"/>
        <v>Punjab</v>
      </c>
      <c r="AL400" t="str">
        <f t="shared" si="78"/>
        <v>Ludhiana</v>
      </c>
      <c r="AM400" t="str">
        <f t="shared" si="78"/>
        <v>Technology</v>
      </c>
      <c r="AN400" t="str">
        <f t="shared" si="78"/>
        <v>Machines</v>
      </c>
      <c r="AO400" t="str">
        <f t="shared" si="89"/>
        <v>Same Day</v>
      </c>
      <c r="AP400" t="str">
        <f t="shared" si="90"/>
        <v>Paid</v>
      </c>
      <c r="AQ400" t="str">
        <f t="shared" si="90"/>
        <v>Completed</v>
      </c>
    </row>
    <row r="401" spans="1:43">
      <c r="A401" t="s">
        <v>1511</v>
      </c>
      <c r="B401" s="3">
        <v>45771</v>
      </c>
      <c r="C401" s="3">
        <v>45776</v>
      </c>
      <c r="D401" t="s">
        <v>1512</v>
      </c>
      <c r="E401" t="s">
        <v>256</v>
      </c>
      <c r="F401" t="s">
        <v>122</v>
      </c>
      <c r="G401" t="s">
        <v>140</v>
      </c>
      <c r="H401" t="s">
        <v>171</v>
      </c>
      <c r="I401" t="s">
        <v>172</v>
      </c>
      <c r="J401" t="s">
        <v>113</v>
      </c>
      <c r="K401" t="s">
        <v>114</v>
      </c>
      <c r="L401" t="s">
        <v>1513</v>
      </c>
      <c r="M401" t="s">
        <v>129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117</v>
      </c>
      <c r="U401" t="s">
        <v>118</v>
      </c>
      <c r="V401" s="2">
        <f t="shared" si="80"/>
        <v>0.25</v>
      </c>
      <c r="W401" s="2">
        <f t="shared" si="81"/>
        <v>3268.875</v>
      </c>
      <c r="X401" s="2">
        <f>W401-R401</f>
        <v>1275.135</v>
      </c>
      <c r="Y401" s="2">
        <f t="shared" si="82"/>
        <v>0.39008374440747962</v>
      </c>
      <c r="Z401" s="2">
        <f t="shared" si="83"/>
        <v>5</v>
      </c>
      <c r="AA401" s="2">
        <f t="shared" si="84"/>
        <v>4</v>
      </c>
      <c r="AB401" s="2">
        <f t="shared" si="85"/>
        <v>2025</v>
      </c>
      <c r="AC401" s="2" t="str">
        <f t="shared" si="86"/>
        <v>Conflicting Duplicate Order ID</v>
      </c>
      <c r="AD401" s="2">
        <f t="shared" si="87"/>
        <v>0</v>
      </c>
      <c r="AE401" s="2">
        <f t="shared" si="88"/>
        <v>0</v>
      </c>
      <c r="AH401" t="str">
        <f t="shared" si="79"/>
        <v>Diya Patel</v>
      </c>
      <c r="AI401" t="str">
        <f t="shared" si="79"/>
        <v>Small Business</v>
      </c>
      <c r="AJ401" t="str">
        <f t="shared" si="79"/>
        <v>South</v>
      </c>
      <c r="AK401" t="str">
        <f t="shared" si="79"/>
        <v>Andhra Pradesh</v>
      </c>
      <c r="AL401" t="str">
        <f t="shared" si="78"/>
        <v>Vijayawada</v>
      </c>
      <c r="AM401" t="str">
        <f t="shared" si="78"/>
        <v>Office Supplies</v>
      </c>
      <c r="AN401" t="str">
        <f t="shared" si="78"/>
        <v>Paper</v>
      </c>
      <c r="AO401" t="str">
        <f t="shared" si="89"/>
        <v>Same Day</v>
      </c>
      <c r="AP401" t="str">
        <f t="shared" si="90"/>
        <v>Paid</v>
      </c>
      <c r="AQ401" t="str">
        <f t="shared" si="90"/>
        <v>Completed</v>
      </c>
    </row>
    <row r="402" spans="1:43">
      <c r="A402" t="s">
        <v>1514</v>
      </c>
      <c r="B402" s="3">
        <v>45814</v>
      </c>
      <c r="C402" s="3">
        <v>45819</v>
      </c>
      <c r="D402" t="s">
        <v>1515</v>
      </c>
      <c r="E402" t="s">
        <v>222</v>
      </c>
      <c r="F402" t="s">
        <v>122</v>
      </c>
      <c r="G402" t="s">
        <v>110</v>
      </c>
      <c r="H402" t="s">
        <v>227</v>
      </c>
      <c r="I402" t="s">
        <v>228</v>
      </c>
      <c r="J402" t="s">
        <v>113</v>
      </c>
      <c r="K402" t="s">
        <v>114</v>
      </c>
      <c r="L402" t="s">
        <v>1516</v>
      </c>
      <c r="M402" t="s">
        <v>129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117</v>
      </c>
      <c r="U402" t="s">
        <v>118</v>
      </c>
      <c r="V402" s="2">
        <f t="shared" si="80"/>
        <v>-0.1</v>
      </c>
      <c r="W402" s="2">
        <f t="shared" si="81"/>
        <v>6761.2930000000006</v>
      </c>
      <c r="X402" s="2">
        <f>W402-R402</f>
        <v>1883.9130000000005</v>
      </c>
      <c r="Y402" s="2">
        <f t="shared" si="82"/>
        <v>0.27863206046535777</v>
      </c>
      <c r="Z402" s="2">
        <f t="shared" si="83"/>
        <v>5</v>
      </c>
      <c r="AA402" s="2">
        <f t="shared" si="84"/>
        <v>6</v>
      </c>
      <c r="AB402" s="2">
        <f t="shared" si="85"/>
        <v>2025</v>
      </c>
      <c r="AC402" s="2" t="str">
        <f t="shared" si="86"/>
        <v>Invalid</v>
      </c>
      <c r="AD402" s="2">
        <f t="shared" si="87"/>
        <v>1</v>
      </c>
      <c r="AE402" s="2">
        <f t="shared" si="88"/>
        <v>1</v>
      </c>
      <c r="AH402" t="str">
        <f t="shared" si="79"/>
        <v>Sneha Kapoor</v>
      </c>
      <c r="AI402" t="str">
        <f t="shared" si="79"/>
        <v>Small Business</v>
      </c>
      <c r="AJ402" t="str">
        <f t="shared" si="79"/>
        <v>North</v>
      </c>
      <c r="AK402" t="str">
        <f t="shared" si="79"/>
        <v>Uttar Pradesh</v>
      </c>
      <c r="AL402" t="str">
        <f t="shared" si="78"/>
        <v>Noida</v>
      </c>
      <c r="AM402" t="str">
        <f t="shared" si="78"/>
        <v>Office Supplies</v>
      </c>
      <c r="AN402" t="str">
        <f t="shared" si="78"/>
        <v>Paper</v>
      </c>
      <c r="AO402" t="str">
        <f t="shared" si="89"/>
        <v>Same Day</v>
      </c>
      <c r="AP402" t="str">
        <f t="shared" si="90"/>
        <v>Paid</v>
      </c>
      <c r="AQ402" t="str">
        <f t="shared" si="90"/>
        <v>Completed</v>
      </c>
    </row>
    <row r="403" spans="1:43">
      <c r="A403" t="s">
        <v>1517</v>
      </c>
      <c r="B403" s="3">
        <v>45725</v>
      </c>
      <c r="C403" s="3" t="s">
        <v>1518</v>
      </c>
      <c r="D403" t="s">
        <v>1519</v>
      </c>
      <c r="E403" t="s">
        <v>139</v>
      </c>
      <c r="F403" t="s">
        <v>122</v>
      </c>
      <c r="G403" t="s">
        <v>123</v>
      </c>
      <c r="H403" t="s">
        <v>335</v>
      </c>
      <c r="I403" t="s">
        <v>336</v>
      </c>
      <c r="J403" t="s">
        <v>126</v>
      </c>
      <c r="K403" t="s">
        <v>127</v>
      </c>
      <c r="L403" t="s">
        <v>1520</v>
      </c>
      <c r="M403" t="s">
        <v>129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117</v>
      </c>
      <c r="U403" t="s">
        <v>118</v>
      </c>
      <c r="V403" s="2">
        <f t="shared" si="80"/>
        <v>0</v>
      </c>
      <c r="W403" s="2">
        <f t="shared" si="81"/>
        <v>7877.5499999999993</v>
      </c>
      <c r="X403" s="2">
        <f>W403-R403</f>
        <v>2314.7799999999988</v>
      </c>
      <c r="Y403" s="2">
        <f t="shared" si="82"/>
        <v>0.29384516759652418</v>
      </c>
      <c r="Z403" s="2" t="str">
        <f t="shared" si="83"/>
        <v/>
      </c>
      <c r="AA403" s="2">
        <f t="shared" si="84"/>
        <v>3</v>
      </c>
      <c r="AB403" s="2">
        <f t="shared" si="85"/>
        <v>2025</v>
      </c>
      <c r="AC403" s="2" t="str">
        <f t="shared" si="86"/>
        <v>Text Value Not Recognized as Date</v>
      </c>
      <c r="AD403" s="2">
        <f t="shared" si="87"/>
        <v>0</v>
      </c>
      <c r="AE403" s="2">
        <f t="shared" si="88"/>
        <v>0</v>
      </c>
      <c r="AH403" t="str">
        <f t="shared" si="79"/>
        <v>Arjun Bose</v>
      </c>
      <c r="AI403" t="str">
        <f t="shared" si="79"/>
        <v>Small Business</v>
      </c>
      <c r="AJ403" t="str">
        <f t="shared" si="79"/>
        <v>East</v>
      </c>
      <c r="AK403" t="str">
        <f t="shared" si="79"/>
        <v>Jharkhand</v>
      </c>
      <c r="AL403" t="str">
        <f t="shared" si="78"/>
        <v>Ranchi</v>
      </c>
      <c r="AM403" t="str">
        <f t="shared" si="78"/>
        <v>Furniture</v>
      </c>
      <c r="AN403" t="str">
        <f t="shared" si="78"/>
        <v>Tables</v>
      </c>
      <c r="AO403" t="str">
        <f t="shared" si="89"/>
        <v>Same Day</v>
      </c>
      <c r="AP403" t="str">
        <f t="shared" si="90"/>
        <v>Paid</v>
      </c>
      <c r="AQ403" t="str">
        <f t="shared" si="90"/>
        <v>Completed</v>
      </c>
    </row>
    <row r="404" spans="1:43">
      <c r="A404" t="s">
        <v>1521</v>
      </c>
      <c r="B404" s="3">
        <v>45373</v>
      </c>
      <c r="C404" s="3">
        <v>45373</v>
      </c>
      <c r="D404" t="s">
        <v>1522</v>
      </c>
      <c r="E404" t="s">
        <v>203</v>
      </c>
      <c r="F404" t="s">
        <v>122</v>
      </c>
      <c r="G404" t="s">
        <v>140</v>
      </c>
      <c r="H404" t="s">
        <v>270</v>
      </c>
      <c r="I404" t="s">
        <v>271</v>
      </c>
      <c r="J404" t="s">
        <v>126</v>
      </c>
      <c r="K404" t="s">
        <v>127</v>
      </c>
      <c r="L404" t="s">
        <v>1523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117</v>
      </c>
      <c r="U404" t="s">
        <v>118</v>
      </c>
      <c r="V404" s="2">
        <f t="shared" si="80"/>
        <v>0</v>
      </c>
      <c r="W404" s="2">
        <f t="shared" si="81"/>
        <v>4095.7799999999997</v>
      </c>
      <c r="X404" s="2">
        <f>W404-R404</f>
        <v>1288.0099999999998</v>
      </c>
      <c r="Y404" s="2">
        <f t="shared" si="82"/>
        <v>0.31447245701673426</v>
      </c>
      <c r="Z404" s="2">
        <f t="shared" si="83"/>
        <v>0</v>
      </c>
      <c r="AA404" s="2">
        <f t="shared" si="84"/>
        <v>3</v>
      </c>
      <c r="AB404" s="2">
        <f t="shared" si="85"/>
        <v>2024</v>
      </c>
      <c r="AC404" s="2" t="str">
        <f t="shared" si="86"/>
        <v>Missing ship_mode</v>
      </c>
      <c r="AD404" s="2">
        <f t="shared" si="87"/>
        <v>0</v>
      </c>
      <c r="AE404" s="2">
        <f t="shared" si="88"/>
        <v>0</v>
      </c>
      <c r="AH404" t="str">
        <f t="shared" si="79"/>
        <v>Priya Menon</v>
      </c>
      <c r="AI404" t="str">
        <f t="shared" si="79"/>
        <v>Small Business</v>
      </c>
      <c r="AJ404" t="str">
        <f t="shared" si="79"/>
        <v>South</v>
      </c>
      <c r="AK404" t="str">
        <f t="shared" si="79"/>
        <v>Karnataka</v>
      </c>
      <c r="AL404" t="str">
        <f t="shared" si="78"/>
        <v>Bengaluru</v>
      </c>
      <c r="AM404" t="str">
        <f t="shared" si="78"/>
        <v>Furniture</v>
      </c>
      <c r="AN404" t="str">
        <f t="shared" si="78"/>
        <v>Tables</v>
      </c>
      <c r="AO404" t="s">
        <v>306</v>
      </c>
      <c r="AP404" t="str">
        <f t="shared" si="90"/>
        <v>Paid</v>
      </c>
      <c r="AQ404" t="str">
        <f t="shared" si="90"/>
        <v>Completed</v>
      </c>
    </row>
    <row r="405" spans="1:43">
      <c r="A405" t="s">
        <v>1524</v>
      </c>
      <c r="B405" s="3">
        <v>45565</v>
      </c>
      <c r="C405" s="3">
        <v>45392</v>
      </c>
      <c r="D405" t="s">
        <v>1525</v>
      </c>
      <c r="E405" t="s">
        <v>139</v>
      </c>
      <c r="F405" t="s">
        <v>122</v>
      </c>
      <c r="G405" t="s">
        <v>140</v>
      </c>
      <c r="H405" t="s">
        <v>282</v>
      </c>
      <c r="I405" t="s">
        <v>283</v>
      </c>
      <c r="J405" t="s">
        <v>113</v>
      </c>
      <c r="K405" t="s">
        <v>1526</v>
      </c>
      <c r="L405" t="s">
        <v>1527</v>
      </c>
      <c r="M405" t="s">
        <v>129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117</v>
      </c>
      <c r="U405" t="s">
        <v>190</v>
      </c>
      <c r="V405" s="2">
        <f t="shared" si="80"/>
        <v>0.05</v>
      </c>
      <c r="W405" s="2">
        <f t="shared" si="81"/>
        <v>16683.1875</v>
      </c>
      <c r="X405" s="2">
        <f>W405-R405</f>
        <v>6382.0275000000001</v>
      </c>
      <c r="Y405" s="2">
        <f t="shared" si="82"/>
        <v>0.38254245479168775</v>
      </c>
      <c r="Z405" s="2">
        <f t="shared" si="83"/>
        <v>-173</v>
      </c>
      <c r="AA405" s="2">
        <f t="shared" si="84"/>
        <v>9</v>
      </c>
      <c r="AB405" s="2">
        <f t="shared" si="85"/>
        <v>2024</v>
      </c>
      <c r="AC405" s="2" t="str">
        <f t="shared" si="86"/>
        <v>Invalid shipping record</v>
      </c>
      <c r="AD405" s="2">
        <f t="shared" si="87"/>
        <v>0</v>
      </c>
      <c r="AE405" s="2">
        <f t="shared" si="88"/>
        <v>0</v>
      </c>
      <c r="AH405" t="str">
        <f t="shared" si="79"/>
        <v>Arjun Bose</v>
      </c>
      <c r="AI405" t="str">
        <f t="shared" si="79"/>
        <v>Small Business</v>
      </c>
      <c r="AJ405" t="str">
        <f t="shared" si="79"/>
        <v>South</v>
      </c>
      <c r="AK405" t="str">
        <f t="shared" si="79"/>
        <v>Kerala</v>
      </c>
      <c r="AL405" t="str">
        <f t="shared" si="78"/>
        <v>Kochi</v>
      </c>
      <c r="AM405" t="str">
        <f t="shared" si="78"/>
        <v>Office Supplies</v>
      </c>
      <c r="AN405" t="str">
        <f t="shared" si="78"/>
        <v>Paper</v>
      </c>
      <c r="AO405" t="str">
        <f t="shared" si="89"/>
        <v>Same Day</v>
      </c>
      <c r="AP405" t="str">
        <f t="shared" si="90"/>
        <v>Paid</v>
      </c>
      <c r="AQ405" t="str">
        <f t="shared" si="90"/>
        <v>Returned</v>
      </c>
    </row>
    <row r="406" spans="1:43">
      <c r="A406" t="s">
        <v>1528</v>
      </c>
      <c r="B406" s="3">
        <v>45318</v>
      </c>
      <c r="C406" s="3">
        <v>45325</v>
      </c>
      <c r="D406" t="s">
        <v>1529</v>
      </c>
      <c r="E406" t="s">
        <v>176</v>
      </c>
      <c r="F406" t="s">
        <v>177</v>
      </c>
      <c r="G406" t="s">
        <v>149</v>
      </c>
      <c r="H406" t="s">
        <v>111</v>
      </c>
      <c r="I406" t="s">
        <v>197</v>
      </c>
      <c r="J406" t="s">
        <v>126</v>
      </c>
      <c r="K406" t="s">
        <v>152</v>
      </c>
      <c r="L406" t="s">
        <v>1530</v>
      </c>
      <c r="M406" t="s">
        <v>129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117</v>
      </c>
      <c r="U406" t="s">
        <v>118</v>
      </c>
      <c r="V406" s="2">
        <f t="shared" si="80"/>
        <v>0</v>
      </c>
      <c r="W406" s="2">
        <f t="shared" si="81"/>
        <v>1078.83</v>
      </c>
      <c r="X406" s="2">
        <f>W406-R406</f>
        <v>152.4799999999999</v>
      </c>
      <c r="Y406" s="2">
        <f t="shared" si="82"/>
        <v>0.14133830167867034</v>
      </c>
      <c r="Z406" s="2">
        <f t="shared" si="83"/>
        <v>7</v>
      </c>
      <c r="AA406" s="2">
        <f t="shared" si="84"/>
        <v>1</v>
      </c>
      <c r="AB406" s="2">
        <f t="shared" si="85"/>
        <v>2024</v>
      </c>
      <c r="AC406" s="2" t="str">
        <f t="shared" si="86"/>
        <v>Valid</v>
      </c>
      <c r="AD406" s="2">
        <f t="shared" si="87"/>
        <v>0</v>
      </c>
      <c r="AE406" s="2">
        <f t="shared" si="88"/>
        <v>0</v>
      </c>
      <c r="AH406" t="str">
        <f t="shared" si="79"/>
        <v>Aditi Sen</v>
      </c>
      <c r="AI406" t="str">
        <f t="shared" si="79"/>
        <v>Corporate</v>
      </c>
      <c r="AJ406" t="str">
        <f t="shared" si="79"/>
        <v>West</v>
      </c>
      <c r="AK406" t="str">
        <f t="shared" si="79"/>
        <v>Rajasthan</v>
      </c>
      <c r="AL406" t="str">
        <f t="shared" si="78"/>
        <v>Udaipur</v>
      </c>
      <c r="AM406" t="str">
        <f t="shared" si="78"/>
        <v>Furniture</v>
      </c>
      <c r="AN406" t="str">
        <f t="shared" si="78"/>
        <v>Chairs</v>
      </c>
      <c r="AO406" t="str">
        <f t="shared" si="89"/>
        <v>Same Day</v>
      </c>
      <c r="AP406" t="str">
        <f t="shared" si="90"/>
        <v>Paid</v>
      </c>
      <c r="AQ406" t="str">
        <f t="shared" si="90"/>
        <v>Completed</v>
      </c>
    </row>
    <row r="407" spans="1:43">
      <c r="A407" t="s">
        <v>1531</v>
      </c>
      <c r="B407" s="3">
        <v>45558</v>
      </c>
      <c r="C407" s="3">
        <v>45559</v>
      </c>
      <c r="D407" t="s">
        <v>1532</v>
      </c>
      <c r="E407" t="s">
        <v>176</v>
      </c>
      <c r="F407" t="s">
        <v>182</v>
      </c>
      <c r="G407" t="s">
        <v>149</v>
      </c>
      <c r="H407" t="s">
        <v>276</v>
      </c>
      <c r="I407" t="s">
        <v>277</v>
      </c>
      <c r="J407" t="s">
        <v>126</v>
      </c>
      <c r="K407" t="s">
        <v>252</v>
      </c>
      <c r="L407" t="s">
        <v>1533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117</v>
      </c>
      <c r="U407" t="s">
        <v>118</v>
      </c>
      <c r="V407" s="2">
        <f t="shared" si="80"/>
        <v>0.1</v>
      </c>
      <c r="W407" s="2">
        <f t="shared" si="81"/>
        <v>24431.463</v>
      </c>
      <c r="X407" s="2">
        <f>W407-R407</f>
        <v>6229.1029999999992</v>
      </c>
      <c r="Y407" s="2">
        <f t="shared" si="82"/>
        <v>0.25496234097810677</v>
      </c>
      <c r="Z407" s="2">
        <f t="shared" si="83"/>
        <v>1</v>
      </c>
      <c r="AA407" s="2">
        <f t="shared" si="84"/>
        <v>9</v>
      </c>
      <c r="AB407" s="2">
        <f t="shared" si="85"/>
        <v>2024</v>
      </c>
      <c r="AC407" s="2" t="str">
        <f t="shared" si="86"/>
        <v>Missing ship_mode</v>
      </c>
      <c r="AD407" s="2">
        <f t="shared" si="87"/>
        <v>0</v>
      </c>
      <c r="AE407" s="2">
        <f t="shared" si="88"/>
        <v>0</v>
      </c>
      <c r="AH407" t="str">
        <f t="shared" si="79"/>
        <v>Aditi Sen</v>
      </c>
      <c r="AI407" t="str">
        <f t="shared" si="79"/>
        <v>Home Office</v>
      </c>
      <c r="AJ407" t="str">
        <f t="shared" si="79"/>
        <v>West</v>
      </c>
      <c r="AK407" t="str">
        <f t="shared" si="79"/>
        <v>Gujarat</v>
      </c>
      <c r="AL407" t="str">
        <f t="shared" si="78"/>
        <v>Ahmedabad</v>
      </c>
      <c r="AM407" t="str">
        <f t="shared" si="78"/>
        <v>Furniture</v>
      </c>
      <c r="AN407" t="str">
        <f t="shared" si="78"/>
        <v>Bookcases</v>
      </c>
      <c r="AO407" t="s">
        <v>306</v>
      </c>
      <c r="AP407" t="str">
        <f t="shared" si="90"/>
        <v>Paid</v>
      </c>
      <c r="AQ407" t="str">
        <f t="shared" si="90"/>
        <v>Completed</v>
      </c>
    </row>
    <row r="408" spans="1:43">
      <c r="A408" t="s">
        <v>1534</v>
      </c>
      <c r="B408" s="3">
        <v>45713</v>
      </c>
      <c r="C408" s="3">
        <v>45713</v>
      </c>
      <c r="D408" t="s">
        <v>1535</v>
      </c>
      <c r="E408" t="s">
        <v>375</v>
      </c>
      <c r="F408" t="s">
        <v>122</v>
      </c>
      <c r="G408" t="s">
        <v>149</v>
      </c>
      <c r="H408" t="s">
        <v>287</v>
      </c>
      <c r="I408" t="s">
        <v>288</v>
      </c>
      <c r="J408" t="s">
        <v>126</v>
      </c>
      <c r="K408" t="s">
        <v>143</v>
      </c>
      <c r="L408" t="s">
        <v>1536</v>
      </c>
      <c r="M408" t="s">
        <v>145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199</v>
      </c>
      <c r="U408" t="s">
        <v>190</v>
      </c>
      <c r="V408" s="2">
        <f t="shared" si="80"/>
        <v>0.25</v>
      </c>
      <c r="W408" s="2">
        <f t="shared" si="81"/>
        <v>5886.2999999999993</v>
      </c>
      <c r="X408" s="2">
        <f>W408-R408</f>
        <v>2264.5399999999991</v>
      </c>
      <c r="Y408" s="2">
        <f t="shared" si="82"/>
        <v>0.38471365713606159</v>
      </c>
      <c r="Z408" s="2">
        <f t="shared" si="83"/>
        <v>0</v>
      </c>
      <c r="AA408" s="2">
        <f t="shared" si="84"/>
        <v>2</v>
      </c>
      <c r="AB408" s="2">
        <f t="shared" si="85"/>
        <v>2025</v>
      </c>
      <c r="AC408" s="2" t="str">
        <f t="shared" si="86"/>
        <v>Valid</v>
      </c>
      <c r="AD408" s="2">
        <f t="shared" si="87"/>
        <v>0</v>
      </c>
      <c r="AE408" s="2">
        <f t="shared" si="88"/>
        <v>0</v>
      </c>
      <c r="AH408" t="str">
        <f t="shared" si="79"/>
        <v>Kabir Singh</v>
      </c>
      <c r="AI408" t="str">
        <f t="shared" si="79"/>
        <v>Small Business</v>
      </c>
      <c r="AJ408" t="str">
        <f t="shared" si="79"/>
        <v>West</v>
      </c>
      <c r="AK408" t="str">
        <f t="shared" si="79"/>
        <v>Goa</v>
      </c>
      <c r="AL408" t="str">
        <f t="shared" si="78"/>
        <v>Panaji</v>
      </c>
      <c r="AM408" t="str">
        <f t="shared" si="78"/>
        <v>Furniture</v>
      </c>
      <c r="AN408" t="str">
        <f t="shared" si="78"/>
        <v>Furnishings</v>
      </c>
      <c r="AO408" t="str">
        <f t="shared" si="89"/>
        <v>Standard Class</v>
      </c>
      <c r="AP408" t="str">
        <f t="shared" si="90"/>
        <v>Pending</v>
      </c>
      <c r="AQ408" t="str">
        <f t="shared" si="90"/>
        <v>Returned</v>
      </c>
    </row>
    <row r="409" spans="1:43">
      <c r="A409" t="s">
        <v>1537</v>
      </c>
      <c r="B409" s="3">
        <v>45424</v>
      </c>
      <c r="C409" s="3">
        <v>45425</v>
      </c>
      <c r="D409" t="s">
        <v>1538</v>
      </c>
      <c r="E409" t="s">
        <v>207</v>
      </c>
      <c r="F409" t="s">
        <v>177</v>
      </c>
      <c r="G409" t="s">
        <v>149</v>
      </c>
      <c r="H409" t="s">
        <v>287</v>
      </c>
      <c r="I409" t="s">
        <v>288</v>
      </c>
      <c r="J409" t="s">
        <v>113</v>
      </c>
      <c r="K409" t="s">
        <v>178</v>
      </c>
      <c r="L409" t="s">
        <v>1539</v>
      </c>
      <c r="M409" t="s">
        <v>116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117</v>
      </c>
      <c r="U409" t="s">
        <v>118</v>
      </c>
      <c r="V409" s="2">
        <f t="shared" si="80"/>
        <v>0</v>
      </c>
      <c r="W409" s="2">
        <f t="shared" si="81"/>
        <v>7933.6500000000005</v>
      </c>
      <c r="X409" s="2">
        <f>W409-R409</f>
        <v>2235.2300000000005</v>
      </c>
      <c r="Y409" s="2">
        <f t="shared" si="82"/>
        <v>0.2817404347305465</v>
      </c>
      <c r="Z409" s="2">
        <f t="shared" si="83"/>
        <v>1</v>
      </c>
      <c r="AA409" s="2">
        <f t="shared" si="84"/>
        <v>5</v>
      </c>
      <c r="AB409" s="2">
        <f t="shared" si="85"/>
        <v>2024</v>
      </c>
      <c r="AC409" s="2" t="str">
        <f t="shared" si="86"/>
        <v>Valid</v>
      </c>
      <c r="AD409" s="2">
        <f t="shared" si="87"/>
        <v>0</v>
      </c>
      <c r="AE409" s="2">
        <f t="shared" si="88"/>
        <v>0</v>
      </c>
      <c r="AH409" t="str">
        <f t="shared" si="79"/>
        <v>Rahul Verma</v>
      </c>
      <c r="AI409" t="str">
        <f t="shared" si="79"/>
        <v>Corporate</v>
      </c>
      <c r="AJ409" t="str">
        <f t="shared" si="79"/>
        <v>West</v>
      </c>
      <c r="AK409" t="str">
        <f t="shared" si="79"/>
        <v>Goa</v>
      </c>
      <c r="AL409" t="str">
        <f t="shared" si="78"/>
        <v>Panaji</v>
      </c>
      <c r="AM409" t="str">
        <f t="shared" si="78"/>
        <v>Office Supplies</v>
      </c>
      <c r="AN409" t="str">
        <f t="shared" si="78"/>
        <v>Labels</v>
      </c>
      <c r="AO409" t="str">
        <f t="shared" si="89"/>
        <v>Second Class</v>
      </c>
      <c r="AP409" t="str">
        <f t="shared" si="90"/>
        <v>Paid</v>
      </c>
      <c r="AQ409" t="str">
        <f t="shared" si="90"/>
        <v>Completed</v>
      </c>
    </row>
    <row r="410" spans="1:43">
      <c r="A410" t="s">
        <v>1540</v>
      </c>
      <c r="B410" s="3">
        <v>45870</v>
      </c>
      <c r="C410" s="3">
        <v>45872</v>
      </c>
      <c r="D410" t="s">
        <v>1541</v>
      </c>
      <c r="E410" t="s">
        <v>222</v>
      </c>
      <c r="F410" t="s">
        <v>109</v>
      </c>
      <c r="G410" t="s">
        <v>149</v>
      </c>
      <c r="H410" t="s">
        <v>150</v>
      </c>
      <c r="I410" t="s">
        <v>151</v>
      </c>
      <c r="J410" t="s">
        <v>126</v>
      </c>
      <c r="K410" t="s">
        <v>152</v>
      </c>
      <c r="L410" t="s">
        <v>1542</v>
      </c>
      <c r="M410" t="s">
        <v>135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248</v>
      </c>
      <c r="U410" t="s">
        <v>190</v>
      </c>
      <c r="V410" s="2">
        <f t="shared" si="80"/>
        <v>0</v>
      </c>
      <c r="W410" s="2">
        <f t="shared" si="81"/>
        <v>7093.84</v>
      </c>
      <c r="X410" s="2">
        <f>W410-R410</f>
        <v>2506.3500000000004</v>
      </c>
      <c r="Y410" s="2">
        <f t="shared" si="82"/>
        <v>0.35331357910525191</v>
      </c>
      <c r="Z410" s="2">
        <f t="shared" si="83"/>
        <v>2</v>
      </c>
      <c r="AA410" s="2">
        <f t="shared" si="84"/>
        <v>8</v>
      </c>
      <c r="AB410" s="2">
        <f t="shared" si="85"/>
        <v>2025</v>
      </c>
      <c r="AC410" s="2" t="str">
        <f t="shared" si="86"/>
        <v>Valid</v>
      </c>
      <c r="AD410" s="2">
        <f t="shared" si="87"/>
        <v>0</v>
      </c>
      <c r="AE410" s="2">
        <f t="shared" si="88"/>
        <v>0</v>
      </c>
      <c r="AH410" t="str">
        <f t="shared" si="79"/>
        <v>Sneha Kapoor</v>
      </c>
      <c r="AI410" t="str">
        <f t="shared" si="79"/>
        <v>Consumer</v>
      </c>
      <c r="AJ410" t="str">
        <f t="shared" si="79"/>
        <v>West</v>
      </c>
      <c r="AK410" t="str">
        <f t="shared" si="79"/>
        <v>Maharashtra</v>
      </c>
      <c r="AL410" t="str">
        <f t="shared" si="78"/>
        <v>Mumbai</v>
      </c>
      <c r="AM410" t="str">
        <f t="shared" si="78"/>
        <v>Furniture</v>
      </c>
      <c r="AN410" t="str">
        <f t="shared" si="78"/>
        <v>Chairs</v>
      </c>
      <c r="AO410" t="str">
        <f t="shared" si="89"/>
        <v>First Class</v>
      </c>
      <c r="AP410" t="str">
        <f t="shared" si="90"/>
        <v>Failed</v>
      </c>
      <c r="AQ410" t="str">
        <f t="shared" si="90"/>
        <v>Returned</v>
      </c>
    </row>
    <row r="411" spans="1:43">
      <c r="A411" t="s">
        <v>1543</v>
      </c>
      <c r="B411" s="3" t="s">
        <v>690</v>
      </c>
      <c r="C411" s="3" t="s">
        <v>649</v>
      </c>
      <c r="D411" t="s">
        <v>1544</v>
      </c>
      <c r="E411" t="s">
        <v>108</v>
      </c>
      <c r="F411" t="s">
        <v>109</v>
      </c>
      <c r="G411" t="s">
        <v>123</v>
      </c>
      <c r="H411" t="s">
        <v>260</v>
      </c>
      <c r="I411" t="s">
        <v>261</v>
      </c>
      <c r="J411" t="s">
        <v>160</v>
      </c>
      <c r="K411" t="s">
        <v>161</v>
      </c>
      <c r="L411" t="s">
        <v>1545</v>
      </c>
      <c r="M411" t="s">
        <v>129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189</v>
      </c>
      <c r="U411" t="s">
        <v>190</v>
      </c>
      <c r="V411" s="2">
        <f t="shared" si="80"/>
        <v>0.25</v>
      </c>
      <c r="W411" s="2">
        <f t="shared" si="81"/>
        <v>2269.0950000000003</v>
      </c>
      <c r="X411" s="2">
        <f>W411-R411</f>
        <v>675.50500000000034</v>
      </c>
      <c r="Y411" s="2">
        <f t="shared" si="82"/>
        <v>0.29769798091309541</v>
      </c>
      <c r="Z411" s="2" t="str">
        <f t="shared" si="83"/>
        <v/>
      </c>
      <c r="AA411" s="2" t="e">
        <f t="shared" si="84"/>
        <v>#VALUE!</v>
      </c>
      <c r="AB411" s="2" t="e">
        <f t="shared" si="85"/>
        <v>#VALUE!</v>
      </c>
      <c r="AC411" s="2" t="str">
        <f t="shared" si="86"/>
        <v>Text Value Not Recognized as Date</v>
      </c>
      <c r="AD411" s="2">
        <f t="shared" si="87"/>
        <v>0</v>
      </c>
      <c r="AE411" s="2">
        <f t="shared" si="88"/>
        <v>0</v>
      </c>
      <c r="AH411" t="str">
        <f t="shared" si="79"/>
        <v>Karan Malhotra</v>
      </c>
      <c r="AI411" t="str">
        <f t="shared" si="79"/>
        <v>Consumer</v>
      </c>
      <c r="AJ411" t="str">
        <f t="shared" si="79"/>
        <v>East</v>
      </c>
      <c r="AK411" t="str">
        <f t="shared" si="79"/>
        <v>Assam</v>
      </c>
      <c r="AL411" t="str">
        <f t="shared" si="78"/>
        <v>Guwahati</v>
      </c>
      <c r="AM411" t="str">
        <f t="shared" si="78"/>
        <v>Technology</v>
      </c>
      <c r="AN411" t="str">
        <f t="shared" si="78"/>
        <v>Accessories</v>
      </c>
      <c r="AO411" t="str">
        <f t="shared" si="89"/>
        <v>Same Day</v>
      </c>
      <c r="AP411" t="str">
        <f t="shared" si="90"/>
        <v>Refunded</v>
      </c>
      <c r="AQ411" t="str">
        <f t="shared" si="90"/>
        <v>Returned</v>
      </c>
    </row>
    <row r="412" spans="1:43">
      <c r="A412" t="s">
        <v>1546</v>
      </c>
      <c r="B412" s="3">
        <v>45394</v>
      </c>
      <c r="C412" s="3">
        <v>45402</v>
      </c>
      <c r="D412" t="s">
        <v>1547</v>
      </c>
      <c r="E412" t="s">
        <v>256</v>
      </c>
      <c r="F412" t="s">
        <v>109</v>
      </c>
      <c r="G412" t="s">
        <v>149</v>
      </c>
      <c r="H412" t="s">
        <v>287</v>
      </c>
      <c r="I412" t="s">
        <v>288</v>
      </c>
      <c r="J412" t="s">
        <v>126</v>
      </c>
      <c r="K412" t="s">
        <v>127</v>
      </c>
      <c r="L412" t="s">
        <v>1548</v>
      </c>
      <c r="M412" t="s">
        <v>135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117</v>
      </c>
      <c r="U412" t="s">
        <v>118</v>
      </c>
      <c r="V412" s="2">
        <f t="shared" si="80"/>
        <v>0.2</v>
      </c>
      <c r="W412" s="2">
        <f t="shared" si="81"/>
        <v>9378.7919999999995</v>
      </c>
      <c r="X412" s="2">
        <f>W412-R412</f>
        <v>2604.3119999999999</v>
      </c>
      <c r="Y412" s="2">
        <f t="shared" si="82"/>
        <v>0.27768096360384154</v>
      </c>
      <c r="Z412" s="2">
        <f t="shared" si="83"/>
        <v>8</v>
      </c>
      <c r="AA412" s="2">
        <f t="shared" si="84"/>
        <v>4</v>
      </c>
      <c r="AB412" s="2">
        <f t="shared" si="85"/>
        <v>2024</v>
      </c>
      <c r="AC412" s="2" t="str">
        <f t="shared" si="86"/>
        <v>Valid</v>
      </c>
      <c r="AD412" s="2">
        <f t="shared" si="87"/>
        <v>0</v>
      </c>
      <c r="AE412" s="2">
        <f t="shared" si="88"/>
        <v>0</v>
      </c>
      <c r="AH412" t="str">
        <f t="shared" si="79"/>
        <v>Diya Patel</v>
      </c>
      <c r="AI412" t="str">
        <f t="shared" si="79"/>
        <v>Consumer</v>
      </c>
      <c r="AJ412" t="str">
        <f t="shared" si="79"/>
        <v>West</v>
      </c>
      <c r="AK412" t="str">
        <f t="shared" si="79"/>
        <v>Goa</v>
      </c>
      <c r="AL412" t="str">
        <f t="shared" si="78"/>
        <v>Panaji</v>
      </c>
      <c r="AM412" t="str">
        <f t="shared" si="78"/>
        <v>Furniture</v>
      </c>
      <c r="AN412" t="str">
        <f t="shared" si="78"/>
        <v>Tables</v>
      </c>
      <c r="AO412" t="str">
        <f t="shared" si="89"/>
        <v>First Class</v>
      </c>
      <c r="AP412" t="str">
        <f t="shared" si="90"/>
        <v>Paid</v>
      </c>
      <c r="AQ412" t="str">
        <f t="shared" si="90"/>
        <v>Completed</v>
      </c>
    </row>
    <row r="413" spans="1:43">
      <c r="A413" t="s">
        <v>1549</v>
      </c>
      <c r="B413" s="3">
        <v>45892</v>
      </c>
      <c r="C413" s="3">
        <v>45897</v>
      </c>
      <c r="D413" t="s">
        <v>1550</v>
      </c>
      <c r="E413" t="s">
        <v>139</v>
      </c>
      <c r="F413" t="s">
        <v>182</v>
      </c>
      <c r="G413" t="s">
        <v>149</v>
      </c>
      <c r="H413" t="s">
        <v>111</v>
      </c>
      <c r="I413" t="s">
        <v>197</v>
      </c>
      <c r="J413" t="s">
        <v>126</v>
      </c>
      <c r="K413" t="s">
        <v>127</v>
      </c>
      <c r="L413" t="s">
        <v>1551</v>
      </c>
      <c r="M413" t="s">
        <v>135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248</v>
      </c>
      <c r="U413" t="s">
        <v>190</v>
      </c>
      <c r="V413" s="2">
        <f t="shared" si="80"/>
        <v>0.2</v>
      </c>
      <c r="W413" s="2">
        <f t="shared" si="81"/>
        <v>3334.2480000000005</v>
      </c>
      <c r="X413" s="2">
        <f>W413-R413</f>
        <v>565.47800000000052</v>
      </c>
      <c r="Y413" s="2">
        <f t="shared" si="82"/>
        <v>0.16959686262089696</v>
      </c>
      <c r="Z413" s="2">
        <f t="shared" si="83"/>
        <v>5</v>
      </c>
      <c r="AA413" s="2">
        <f t="shared" si="84"/>
        <v>8</v>
      </c>
      <c r="AB413" s="2">
        <f t="shared" si="85"/>
        <v>2025</v>
      </c>
      <c r="AC413" s="2" t="str">
        <f t="shared" si="86"/>
        <v>Valid</v>
      </c>
      <c r="AD413" s="2">
        <f t="shared" si="87"/>
        <v>0</v>
      </c>
      <c r="AE413" s="2">
        <f t="shared" si="88"/>
        <v>0</v>
      </c>
      <c r="AH413" t="str">
        <f t="shared" si="79"/>
        <v>Arjun Bose</v>
      </c>
      <c r="AI413" t="str">
        <f t="shared" si="79"/>
        <v>Home Office</v>
      </c>
      <c r="AJ413" t="str">
        <f t="shared" si="79"/>
        <v>West</v>
      </c>
      <c r="AK413" t="str">
        <f t="shared" si="79"/>
        <v>Rajasthan</v>
      </c>
      <c r="AL413" t="str">
        <f t="shared" si="78"/>
        <v>Udaipur</v>
      </c>
      <c r="AM413" t="str">
        <f t="shared" si="78"/>
        <v>Furniture</v>
      </c>
      <c r="AN413" t="str">
        <f t="shared" si="78"/>
        <v>Tables</v>
      </c>
      <c r="AO413" t="str">
        <f t="shared" si="89"/>
        <v>First Class</v>
      </c>
      <c r="AP413" t="str">
        <f t="shared" si="90"/>
        <v>Failed</v>
      </c>
      <c r="AQ413" t="str">
        <f t="shared" si="90"/>
        <v>Returned</v>
      </c>
    </row>
    <row r="414" spans="1:43">
      <c r="A414" t="s">
        <v>1552</v>
      </c>
      <c r="B414" s="3">
        <v>45313</v>
      </c>
      <c r="C414" s="3" t="s">
        <v>694</v>
      </c>
      <c r="D414" t="s">
        <v>1553</v>
      </c>
      <c r="E414" t="s">
        <v>132</v>
      </c>
      <c r="F414" t="s">
        <v>177</v>
      </c>
      <c r="G414" t="s">
        <v>140</v>
      </c>
      <c r="H414" t="s">
        <v>270</v>
      </c>
      <c r="I414" t="s">
        <v>271</v>
      </c>
      <c r="J414" t="s">
        <v>126</v>
      </c>
      <c r="K414" t="s">
        <v>152</v>
      </c>
      <c r="L414" t="s">
        <v>1554</v>
      </c>
      <c r="M414" t="s">
        <v>129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117</v>
      </c>
      <c r="U414" t="s">
        <v>118</v>
      </c>
      <c r="V414" s="2">
        <f t="shared" si="80"/>
        <v>0.25</v>
      </c>
      <c r="W414" s="2">
        <f t="shared" si="81"/>
        <v>1583.5425</v>
      </c>
      <c r="X414" s="2">
        <f>W414-R414</f>
        <v>569.35249999999996</v>
      </c>
      <c r="Y414" s="2">
        <f t="shared" si="82"/>
        <v>0.35954355503562424</v>
      </c>
      <c r="Z414" s="2" t="str">
        <f t="shared" si="83"/>
        <v/>
      </c>
      <c r="AA414" s="2">
        <f t="shared" si="84"/>
        <v>1</v>
      </c>
      <c r="AB414" s="2">
        <f t="shared" si="85"/>
        <v>2024</v>
      </c>
      <c r="AC414" s="2" t="str">
        <f t="shared" si="86"/>
        <v>Text Value Not Recognized as Date</v>
      </c>
      <c r="AD414" s="2">
        <f t="shared" si="87"/>
        <v>0</v>
      </c>
      <c r="AE414" s="2">
        <f t="shared" si="88"/>
        <v>0</v>
      </c>
      <c r="AH414" t="str">
        <f t="shared" si="79"/>
        <v>Isha Nair</v>
      </c>
      <c r="AI414" t="str">
        <f t="shared" si="79"/>
        <v>Corporate</v>
      </c>
      <c r="AJ414" t="str">
        <f t="shared" si="79"/>
        <v>South</v>
      </c>
      <c r="AK414" t="str">
        <f t="shared" si="79"/>
        <v>Karnataka</v>
      </c>
      <c r="AL414" t="str">
        <f t="shared" si="78"/>
        <v>Bengaluru</v>
      </c>
      <c r="AM414" t="str">
        <f t="shared" si="78"/>
        <v>Furniture</v>
      </c>
      <c r="AN414" t="str">
        <f t="shared" si="78"/>
        <v>Chairs</v>
      </c>
      <c r="AO414" t="str">
        <f t="shared" si="89"/>
        <v>Same Day</v>
      </c>
      <c r="AP414" t="str">
        <f t="shared" si="90"/>
        <v>Paid</v>
      </c>
      <c r="AQ414" t="str">
        <f t="shared" si="90"/>
        <v>Completed</v>
      </c>
    </row>
    <row r="415" spans="1:43">
      <c r="A415" t="s">
        <v>1555</v>
      </c>
      <c r="B415" s="3" t="s">
        <v>280</v>
      </c>
      <c r="C415" s="3" t="s">
        <v>1556</v>
      </c>
      <c r="D415" t="s">
        <v>1557</v>
      </c>
      <c r="E415" t="s">
        <v>165</v>
      </c>
      <c r="F415" t="s">
        <v>182</v>
      </c>
      <c r="G415" t="s">
        <v>149</v>
      </c>
      <c r="H415" t="s">
        <v>158</v>
      </c>
      <c r="I415" t="s">
        <v>159</v>
      </c>
      <c r="J415" t="s">
        <v>160</v>
      </c>
      <c r="K415" t="s">
        <v>161</v>
      </c>
      <c r="L415" t="s">
        <v>1558</v>
      </c>
      <c r="M415" t="s">
        <v>116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199</v>
      </c>
      <c r="U415" t="s">
        <v>44</v>
      </c>
      <c r="V415" s="2">
        <f t="shared" si="80"/>
        <v>0</v>
      </c>
      <c r="W415" s="2">
        <f t="shared" si="81"/>
        <v>15345.84</v>
      </c>
      <c r="X415" s="2">
        <f>W415-R415</f>
        <v>4610.51</v>
      </c>
      <c r="Y415" s="2">
        <f t="shared" si="82"/>
        <v>0.30044037993358463</v>
      </c>
      <c r="Z415" s="2" t="str">
        <f t="shared" si="83"/>
        <v/>
      </c>
      <c r="AA415" s="2" t="e">
        <f t="shared" si="84"/>
        <v>#VALUE!</v>
      </c>
      <c r="AB415" s="2" t="e">
        <f t="shared" si="85"/>
        <v>#VALUE!</v>
      </c>
      <c r="AC415" s="2" t="str">
        <f t="shared" si="86"/>
        <v>Text Value Not Recognized as Date</v>
      </c>
      <c r="AD415" s="2">
        <f t="shared" si="87"/>
        <v>0</v>
      </c>
      <c r="AE415" s="2">
        <f t="shared" si="88"/>
        <v>0</v>
      </c>
      <c r="AH415" t="str">
        <f t="shared" si="79"/>
        <v>Neha Gupta</v>
      </c>
      <c r="AI415" t="str">
        <f t="shared" si="79"/>
        <v>Home Office</v>
      </c>
      <c r="AJ415" t="str">
        <f t="shared" si="79"/>
        <v>West</v>
      </c>
      <c r="AK415" t="str">
        <f t="shared" si="79"/>
        <v>Madhya Pradesh</v>
      </c>
      <c r="AL415" t="str">
        <f t="shared" si="78"/>
        <v>Indore</v>
      </c>
      <c r="AM415" t="str">
        <f t="shared" si="78"/>
        <v>Technology</v>
      </c>
      <c r="AN415" t="str">
        <f t="shared" si="78"/>
        <v>Accessories</v>
      </c>
      <c r="AO415" t="str">
        <f t="shared" si="89"/>
        <v>Second Class</v>
      </c>
      <c r="AP415" t="str">
        <f t="shared" si="90"/>
        <v>Pending</v>
      </c>
      <c r="AQ415" t="str">
        <f t="shared" si="90"/>
        <v>Cancelled</v>
      </c>
    </row>
    <row r="416" spans="1:43">
      <c r="A416" t="s">
        <v>1559</v>
      </c>
      <c r="B416" s="3">
        <v>45533</v>
      </c>
      <c r="C416" s="3">
        <v>45534</v>
      </c>
      <c r="D416" t="s">
        <v>1560</v>
      </c>
      <c r="E416" t="s">
        <v>139</v>
      </c>
      <c r="F416" t="s">
        <v>182</v>
      </c>
      <c r="G416" t="s">
        <v>123</v>
      </c>
      <c r="H416" t="s">
        <v>260</v>
      </c>
      <c r="I416" t="s">
        <v>261</v>
      </c>
      <c r="J416" t="s">
        <v>113</v>
      </c>
      <c r="K416" t="s">
        <v>213</v>
      </c>
      <c r="L416" t="s">
        <v>1561</v>
      </c>
      <c r="M416" t="s">
        <v>135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117</v>
      </c>
      <c r="U416" t="s">
        <v>118</v>
      </c>
      <c r="V416" s="2">
        <f t="shared" si="80"/>
        <v>0.05</v>
      </c>
      <c r="W416" s="2">
        <f t="shared" si="81"/>
        <v>9439.503999999999</v>
      </c>
      <c r="X416" s="2">
        <f>W416-R416</f>
        <v>3920.1139999999987</v>
      </c>
      <c r="Y416" s="2">
        <f t="shared" si="82"/>
        <v>0.41528813378330037</v>
      </c>
      <c r="Z416" s="2">
        <f t="shared" si="83"/>
        <v>1</v>
      </c>
      <c r="AA416" s="2">
        <f t="shared" si="84"/>
        <v>8</v>
      </c>
      <c r="AB416" s="2">
        <f t="shared" si="85"/>
        <v>2024</v>
      </c>
      <c r="AC416" s="2" t="str">
        <f t="shared" si="86"/>
        <v>Valid</v>
      </c>
      <c r="AD416" s="2">
        <f t="shared" si="87"/>
        <v>0</v>
      </c>
      <c r="AE416" s="2">
        <f t="shared" si="88"/>
        <v>0</v>
      </c>
      <c r="AH416" t="str">
        <f t="shared" si="79"/>
        <v>Arjun Bose</v>
      </c>
      <c r="AI416" t="str">
        <f t="shared" si="79"/>
        <v>Home Office</v>
      </c>
      <c r="AJ416" t="str">
        <f t="shared" si="79"/>
        <v>East</v>
      </c>
      <c r="AK416" t="str">
        <f t="shared" si="79"/>
        <v>Assam</v>
      </c>
      <c r="AL416" t="str">
        <f t="shared" si="78"/>
        <v>Guwahati</v>
      </c>
      <c r="AM416" t="str">
        <f t="shared" si="78"/>
        <v>Office Supplies</v>
      </c>
      <c r="AN416" t="str">
        <f t="shared" si="78"/>
        <v>Storage</v>
      </c>
      <c r="AO416" t="str">
        <f t="shared" si="89"/>
        <v>First Class</v>
      </c>
      <c r="AP416" t="str">
        <f t="shared" si="90"/>
        <v>Paid</v>
      </c>
      <c r="AQ416" t="str">
        <f t="shared" si="90"/>
        <v>Completed</v>
      </c>
    </row>
    <row r="417" spans="1:43">
      <c r="A417" t="s">
        <v>1562</v>
      </c>
      <c r="B417" s="3">
        <v>45316</v>
      </c>
      <c r="C417" s="3">
        <v>45318</v>
      </c>
      <c r="D417" t="s">
        <v>1563</v>
      </c>
      <c r="E417" t="s">
        <v>218</v>
      </c>
      <c r="F417" t="s">
        <v>177</v>
      </c>
      <c r="G417" t="s">
        <v>140</v>
      </c>
      <c r="H417" t="s">
        <v>270</v>
      </c>
      <c r="I417" t="s">
        <v>271</v>
      </c>
      <c r="J417" t="s">
        <v>113</v>
      </c>
      <c r="K417" t="s">
        <v>213</v>
      </c>
      <c r="L417" t="s">
        <v>1564</v>
      </c>
      <c r="M417" t="s">
        <v>129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117</v>
      </c>
      <c r="U417" t="s">
        <v>190</v>
      </c>
      <c r="V417" s="2">
        <f t="shared" si="80"/>
        <v>0.15</v>
      </c>
      <c r="W417" s="2">
        <f t="shared" si="81"/>
        <v>10277.197</v>
      </c>
      <c r="X417" s="2">
        <f>W417-R417</f>
        <v>2370.6970000000001</v>
      </c>
      <c r="Y417" s="2">
        <f t="shared" si="82"/>
        <v>0.23067544584384245</v>
      </c>
      <c r="Z417" s="2">
        <f t="shared" si="83"/>
        <v>2</v>
      </c>
      <c r="AA417" s="2">
        <f t="shared" si="84"/>
        <v>1</v>
      </c>
      <c r="AB417" s="2">
        <f t="shared" si="85"/>
        <v>2024</v>
      </c>
      <c r="AC417" s="2" t="str">
        <f t="shared" si="86"/>
        <v>Valid</v>
      </c>
      <c r="AD417" s="2">
        <f t="shared" si="87"/>
        <v>0</v>
      </c>
      <c r="AE417" s="2">
        <f t="shared" si="88"/>
        <v>0</v>
      </c>
      <c r="AH417" t="str">
        <f t="shared" si="79"/>
        <v>Aarav Sharma</v>
      </c>
      <c r="AI417" t="str">
        <f t="shared" si="79"/>
        <v>Corporate</v>
      </c>
      <c r="AJ417" t="str">
        <f t="shared" si="79"/>
        <v>South</v>
      </c>
      <c r="AK417" t="str">
        <f t="shared" si="79"/>
        <v>Karnataka</v>
      </c>
      <c r="AL417" t="str">
        <f t="shared" si="78"/>
        <v>Bengaluru</v>
      </c>
      <c r="AM417" t="str">
        <f t="shared" si="78"/>
        <v>Office Supplies</v>
      </c>
      <c r="AN417" t="str">
        <f t="shared" si="78"/>
        <v>Storage</v>
      </c>
      <c r="AO417" t="str">
        <f t="shared" si="89"/>
        <v>Same Day</v>
      </c>
      <c r="AP417" t="str">
        <f t="shared" si="90"/>
        <v>Paid</v>
      </c>
      <c r="AQ417" t="str">
        <f t="shared" si="90"/>
        <v>Returned</v>
      </c>
    </row>
    <row r="418" spans="1:43">
      <c r="A418" t="s">
        <v>1565</v>
      </c>
      <c r="B418" s="3">
        <v>45665</v>
      </c>
      <c r="C418" s="3" t="s">
        <v>1566</v>
      </c>
      <c r="D418" t="s">
        <v>1567</v>
      </c>
      <c r="E418" t="s">
        <v>165</v>
      </c>
      <c r="F418" t="s">
        <v>109</v>
      </c>
      <c r="G418" t="s">
        <v>140</v>
      </c>
      <c r="H418" t="s">
        <v>141</v>
      </c>
      <c r="I418" t="s">
        <v>142</v>
      </c>
      <c r="J418" t="s">
        <v>126</v>
      </c>
      <c r="K418" t="s">
        <v>143</v>
      </c>
      <c r="L418" t="s">
        <v>1568</v>
      </c>
      <c r="M418" t="s">
        <v>135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117</v>
      </c>
      <c r="U418" t="s">
        <v>118</v>
      </c>
      <c r="V418" s="2">
        <f t="shared" si="80"/>
        <v>0.25</v>
      </c>
      <c r="W418" s="2">
        <f t="shared" si="81"/>
        <v>3833.7000000000003</v>
      </c>
      <c r="X418" s="2">
        <f>W418-R418</f>
        <v>947.35000000000036</v>
      </c>
      <c r="Y418" s="2">
        <f t="shared" si="82"/>
        <v>0.24711114589039318</v>
      </c>
      <c r="Z418" s="2" t="str">
        <f t="shared" si="83"/>
        <v/>
      </c>
      <c r="AA418" s="2">
        <f t="shared" si="84"/>
        <v>1</v>
      </c>
      <c r="AB418" s="2">
        <f t="shared" si="85"/>
        <v>2025</v>
      </c>
      <c r="AC418" s="2" t="str">
        <f t="shared" si="86"/>
        <v>Text Value Not Recognized as Date</v>
      </c>
      <c r="AD418" s="2">
        <f t="shared" si="87"/>
        <v>0</v>
      </c>
      <c r="AE418" s="2">
        <f t="shared" si="88"/>
        <v>0</v>
      </c>
      <c r="AH418" t="str">
        <f t="shared" si="79"/>
        <v>Neha Gupta</v>
      </c>
      <c r="AI418" t="str">
        <f t="shared" si="79"/>
        <v>Consumer</v>
      </c>
      <c r="AJ418" t="str">
        <f t="shared" si="79"/>
        <v>South</v>
      </c>
      <c r="AK418" t="str">
        <f t="shared" si="79"/>
        <v>Telangana</v>
      </c>
      <c r="AL418" t="str">
        <f t="shared" si="78"/>
        <v>Hyderabad</v>
      </c>
      <c r="AM418" t="str">
        <f t="shared" si="78"/>
        <v>Furniture</v>
      </c>
      <c r="AN418" t="str">
        <f t="shared" si="78"/>
        <v>Furnishings</v>
      </c>
      <c r="AO418" t="str">
        <f t="shared" si="89"/>
        <v>First Class</v>
      </c>
      <c r="AP418" t="str">
        <f t="shared" si="90"/>
        <v>Paid</v>
      </c>
      <c r="AQ418" t="str">
        <f t="shared" si="90"/>
        <v>Completed</v>
      </c>
    </row>
    <row r="419" spans="1:43">
      <c r="A419" t="s">
        <v>1569</v>
      </c>
      <c r="B419" s="3">
        <v>45686</v>
      </c>
      <c r="C419" s="3">
        <v>45693</v>
      </c>
      <c r="D419" t="s">
        <v>1570</v>
      </c>
      <c r="E419" t="s">
        <v>121</v>
      </c>
      <c r="F419" t="s">
        <v>109</v>
      </c>
      <c r="G419" t="s">
        <v>149</v>
      </c>
      <c r="H419" t="s">
        <v>276</v>
      </c>
      <c r="I419" t="s">
        <v>277</v>
      </c>
      <c r="J419" t="s">
        <v>113</v>
      </c>
      <c r="K419" t="s">
        <v>133</v>
      </c>
      <c r="L419" t="s">
        <v>1571</v>
      </c>
      <c r="M419" t="s">
        <v>135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117</v>
      </c>
      <c r="U419" t="s">
        <v>118</v>
      </c>
      <c r="V419" s="2">
        <f t="shared" si="80"/>
        <v>0.2</v>
      </c>
      <c r="W419" s="2">
        <f t="shared" si="81"/>
        <v>18542.400000000001</v>
      </c>
      <c r="X419" s="2">
        <f>W419-R419</f>
        <v>7348.6500000000015</v>
      </c>
      <c r="Y419" s="2">
        <f t="shared" si="82"/>
        <v>0.39631601087237905</v>
      </c>
      <c r="Z419" s="2">
        <f t="shared" si="83"/>
        <v>7</v>
      </c>
      <c r="AA419" s="2">
        <f t="shared" si="84"/>
        <v>1</v>
      </c>
      <c r="AB419" s="2">
        <f t="shared" si="85"/>
        <v>2025</v>
      </c>
      <c r="AC419" s="2" t="str">
        <f t="shared" si="86"/>
        <v>Valid</v>
      </c>
      <c r="AD419" s="2">
        <f t="shared" si="87"/>
        <v>0</v>
      </c>
      <c r="AE419" s="2">
        <f t="shared" si="88"/>
        <v>0</v>
      </c>
      <c r="AH419" t="str">
        <f t="shared" si="79"/>
        <v>Mira Das</v>
      </c>
      <c r="AI419" t="str">
        <f t="shared" si="79"/>
        <v>Consumer</v>
      </c>
      <c r="AJ419" t="str">
        <f t="shared" si="79"/>
        <v>West</v>
      </c>
      <c r="AK419" t="str">
        <f t="shared" si="79"/>
        <v>Gujarat</v>
      </c>
      <c r="AL419" t="str">
        <f t="shared" si="78"/>
        <v>Ahmedabad</v>
      </c>
      <c r="AM419" t="str">
        <f t="shared" si="78"/>
        <v>Office Supplies</v>
      </c>
      <c r="AN419" t="str">
        <f t="shared" si="78"/>
        <v>Art</v>
      </c>
      <c r="AO419" t="str">
        <f t="shared" si="89"/>
        <v>First Class</v>
      </c>
      <c r="AP419" t="str">
        <f t="shared" si="90"/>
        <v>Paid</v>
      </c>
      <c r="AQ419" t="str">
        <f t="shared" si="90"/>
        <v>Completed</v>
      </c>
    </row>
    <row r="420" spans="1:43">
      <c r="A420" t="s">
        <v>1572</v>
      </c>
      <c r="B420" s="3">
        <v>45605</v>
      </c>
      <c r="C420" s="3">
        <v>45613</v>
      </c>
      <c r="D420" t="s">
        <v>1573</v>
      </c>
      <c r="E420" t="s">
        <v>222</v>
      </c>
      <c r="F420" t="s">
        <v>177</v>
      </c>
      <c r="G420" t="s">
        <v>123</v>
      </c>
      <c r="H420" t="s">
        <v>124</v>
      </c>
      <c r="I420" t="s">
        <v>125</v>
      </c>
      <c r="J420" t="s">
        <v>160</v>
      </c>
      <c r="K420" t="s">
        <v>166</v>
      </c>
      <c r="L420" t="s">
        <v>1574</v>
      </c>
      <c r="M420" t="s">
        <v>145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248</v>
      </c>
      <c r="U420" t="s">
        <v>44</v>
      </c>
      <c r="V420" s="2">
        <f t="shared" si="80"/>
        <v>0</v>
      </c>
      <c r="W420" s="2">
        <f t="shared" si="81"/>
        <v>21962.400000000001</v>
      </c>
      <c r="X420" s="2">
        <f>W420-R420</f>
        <v>6630.4100000000017</v>
      </c>
      <c r="Y420" s="2">
        <f t="shared" si="82"/>
        <v>0.3018982442720286</v>
      </c>
      <c r="Z420" s="2">
        <f t="shared" si="83"/>
        <v>8</v>
      </c>
      <c r="AA420" s="2">
        <f t="shared" si="84"/>
        <v>11</v>
      </c>
      <c r="AB420" s="2">
        <f t="shared" si="85"/>
        <v>2024</v>
      </c>
      <c r="AC420" s="2" t="str">
        <f t="shared" si="86"/>
        <v>Valid</v>
      </c>
      <c r="AD420" s="2">
        <f t="shared" si="87"/>
        <v>0</v>
      </c>
      <c r="AE420" s="2">
        <f t="shared" si="88"/>
        <v>0</v>
      </c>
      <c r="AH420" t="str">
        <f t="shared" si="79"/>
        <v>Sneha Kapoor</v>
      </c>
      <c r="AI420" t="str">
        <f t="shared" si="79"/>
        <v>Corporate</v>
      </c>
      <c r="AJ420" t="str">
        <f t="shared" si="79"/>
        <v>East</v>
      </c>
      <c r="AK420" t="str">
        <f t="shared" si="79"/>
        <v>Odisha</v>
      </c>
      <c r="AL420" t="str">
        <f t="shared" si="78"/>
        <v>Bhubaneswar</v>
      </c>
      <c r="AM420" t="str">
        <f t="shared" si="78"/>
        <v>Technology</v>
      </c>
      <c r="AN420" t="str">
        <f t="shared" si="78"/>
        <v>Copiers</v>
      </c>
      <c r="AO420" t="str">
        <f t="shared" si="89"/>
        <v>Standard Class</v>
      </c>
      <c r="AP420" t="str">
        <f t="shared" si="90"/>
        <v>Failed</v>
      </c>
      <c r="AQ420" t="str">
        <f t="shared" si="90"/>
        <v>Cancelled</v>
      </c>
    </row>
    <row r="421" spans="1:43">
      <c r="A421" t="s">
        <v>1575</v>
      </c>
      <c r="B421" s="3" t="s">
        <v>1576</v>
      </c>
      <c r="C421" s="3">
        <v>45930</v>
      </c>
      <c r="D421" t="s">
        <v>1577</v>
      </c>
      <c r="E421" t="s">
        <v>222</v>
      </c>
      <c r="F421" t="s">
        <v>182</v>
      </c>
      <c r="G421" t="s">
        <v>110</v>
      </c>
      <c r="H421" t="s">
        <v>344</v>
      </c>
      <c r="I421" t="s">
        <v>345</v>
      </c>
      <c r="J421" t="s">
        <v>160</v>
      </c>
      <c r="K421" t="s">
        <v>266</v>
      </c>
      <c r="L421" t="s">
        <v>1578</v>
      </c>
      <c r="M421" t="s">
        <v>129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117</v>
      </c>
      <c r="U421" t="s">
        <v>118</v>
      </c>
      <c r="V421" s="2">
        <f t="shared" si="80"/>
        <v>0.05</v>
      </c>
      <c r="W421" s="2">
        <f t="shared" si="81"/>
        <v>1308.777</v>
      </c>
      <c r="X421" s="2">
        <f>W421-R421</f>
        <v>465.77700000000004</v>
      </c>
      <c r="Y421" s="2">
        <f t="shared" si="82"/>
        <v>0.35588721378813964</v>
      </c>
      <c r="Z421" s="2" t="str">
        <f t="shared" si="83"/>
        <v/>
      </c>
      <c r="AA421" s="2" t="e">
        <f t="shared" si="84"/>
        <v>#VALUE!</v>
      </c>
      <c r="AB421" s="2" t="e">
        <f t="shared" si="85"/>
        <v>#VALUE!</v>
      </c>
      <c r="AC421" s="2" t="str">
        <f t="shared" si="86"/>
        <v>Text Value Not Recognized as Date</v>
      </c>
      <c r="AD421" s="2">
        <f t="shared" si="87"/>
        <v>0</v>
      </c>
      <c r="AE421" s="2">
        <f t="shared" si="88"/>
        <v>0</v>
      </c>
      <c r="AH421" t="str">
        <f t="shared" si="79"/>
        <v>Sneha Kapoor</v>
      </c>
      <c r="AI421" t="str">
        <f t="shared" si="79"/>
        <v>Home Office</v>
      </c>
      <c r="AJ421" t="str">
        <f t="shared" si="79"/>
        <v>North</v>
      </c>
      <c r="AK421" t="str">
        <f t="shared" si="79"/>
        <v>Haryana</v>
      </c>
      <c r="AL421" t="str">
        <f t="shared" si="78"/>
        <v>Gurugram</v>
      </c>
      <c r="AM421" t="str">
        <f t="shared" si="78"/>
        <v>Technology</v>
      </c>
      <c r="AN421" t="str">
        <f t="shared" si="78"/>
        <v>Phones</v>
      </c>
      <c r="AO421" t="str">
        <f t="shared" si="89"/>
        <v>Same Day</v>
      </c>
      <c r="AP421" t="str">
        <f t="shared" si="90"/>
        <v>Paid</v>
      </c>
      <c r="AQ421" t="str">
        <f t="shared" si="90"/>
        <v>Completed</v>
      </c>
    </row>
    <row r="422" spans="1:43">
      <c r="A422" t="s">
        <v>1579</v>
      </c>
      <c r="B422" s="3" t="s">
        <v>784</v>
      </c>
      <c r="C422" s="3">
        <v>45735</v>
      </c>
      <c r="D422" t="s">
        <v>1580</v>
      </c>
      <c r="E422" t="s">
        <v>132</v>
      </c>
      <c r="F422" t="s">
        <v>177</v>
      </c>
      <c r="G422" t="s">
        <v>140</v>
      </c>
      <c r="H422" t="s">
        <v>357</v>
      </c>
      <c r="I422" t="s">
        <v>358</v>
      </c>
      <c r="J422" t="s">
        <v>160</v>
      </c>
      <c r="K422" t="s">
        <v>385</v>
      </c>
      <c r="L422" t="s">
        <v>1581</v>
      </c>
      <c r="M422" t="s">
        <v>145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199</v>
      </c>
      <c r="U422" t="s">
        <v>44</v>
      </c>
      <c r="V422" s="2">
        <f t="shared" si="80"/>
        <v>0.25</v>
      </c>
      <c r="W422" s="2">
        <f t="shared" si="81"/>
        <v>1814.9850000000001</v>
      </c>
      <c r="X422" s="2">
        <f>W422-R422</f>
        <v>694.92500000000018</v>
      </c>
      <c r="Y422" s="2">
        <f t="shared" si="82"/>
        <v>0.38288195219244242</v>
      </c>
      <c r="Z422" s="2" t="str">
        <f t="shared" si="83"/>
        <v/>
      </c>
      <c r="AA422" s="2" t="e">
        <f t="shared" si="84"/>
        <v>#VALUE!</v>
      </c>
      <c r="AB422" s="2" t="e">
        <f t="shared" si="85"/>
        <v>#VALUE!</v>
      </c>
      <c r="AC422" s="2" t="str">
        <f t="shared" si="86"/>
        <v>Text Value Not Recognized as Date</v>
      </c>
      <c r="AD422" s="2">
        <f t="shared" si="87"/>
        <v>0</v>
      </c>
      <c r="AE422" s="2">
        <f t="shared" si="88"/>
        <v>0</v>
      </c>
      <c r="AH422" t="str">
        <f t="shared" si="79"/>
        <v>Isha Nair</v>
      </c>
      <c r="AI422" t="str">
        <f t="shared" si="79"/>
        <v>Corporate</v>
      </c>
      <c r="AJ422" t="str">
        <f t="shared" si="79"/>
        <v>South</v>
      </c>
      <c r="AK422" t="str">
        <f t="shared" si="79"/>
        <v>Tamil Nadu</v>
      </c>
      <c r="AL422" t="str">
        <f t="shared" si="78"/>
        <v>Chennai</v>
      </c>
      <c r="AM422" t="str">
        <f t="shared" si="78"/>
        <v>Technology</v>
      </c>
      <c r="AN422" t="str">
        <f t="shared" si="78"/>
        <v>Machines</v>
      </c>
      <c r="AO422" t="str">
        <f t="shared" si="89"/>
        <v>Standard Class</v>
      </c>
      <c r="AP422" t="str">
        <f t="shared" si="90"/>
        <v>Pending</v>
      </c>
      <c r="AQ422" t="str">
        <f t="shared" si="90"/>
        <v>Cancelled</v>
      </c>
    </row>
    <row r="423" spans="1:43">
      <c r="A423" t="s">
        <v>1582</v>
      </c>
      <c r="B423" s="3">
        <v>45822</v>
      </c>
      <c r="C423" s="3">
        <v>45827</v>
      </c>
      <c r="D423" t="s">
        <v>1583</v>
      </c>
      <c r="E423" t="s">
        <v>232</v>
      </c>
      <c r="F423" t="s">
        <v>122</v>
      </c>
      <c r="G423" t="s">
        <v>110</v>
      </c>
      <c r="H423" t="s">
        <v>465</v>
      </c>
      <c r="I423" t="s">
        <v>466</v>
      </c>
      <c r="J423" t="s">
        <v>113</v>
      </c>
      <c r="K423" t="s">
        <v>246</v>
      </c>
      <c r="L423" t="s">
        <v>1584</v>
      </c>
      <c r="M423" t="s">
        <v>129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199</v>
      </c>
      <c r="U423" t="s">
        <v>190</v>
      </c>
      <c r="V423" s="2">
        <f t="shared" si="80"/>
        <v>0.2</v>
      </c>
      <c r="W423" s="2">
        <f t="shared" si="81"/>
        <v>2489.8800000000006</v>
      </c>
      <c r="X423" s="2">
        <f>W423-R423</f>
        <v>782.36000000000058</v>
      </c>
      <c r="Y423" s="2">
        <f t="shared" si="82"/>
        <v>0.31421594615001541</v>
      </c>
      <c r="Z423" s="2">
        <f t="shared" si="83"/>
        <v>5</v>
      </c>
      <c r="AA423" s="2">
        <f t="shared" si="84"/>
        <v>6</v>
      </c>
      <c r="AB423" s="2">
        <f t="shared" si="85"/>
        <v>2025</v>
      </c>
      <c r="AC423" s="2" t="str">
        <f t="shared" si="86"/>
        <v>Valid</v>
      </c>
      <c r="AD423" s="2">
        <f t="shared" si="87"/>
        <v>0</v>
      </c>
      <c r="AE423" s="2">
        <f t="shared" si="88"/>
        <v>0</v>
      </c>
      <c r="AH423" t="str">
        <f t="shared" si="79"/>
        <v>Rohan Mehta</v>
      </c>
      <c r="AI423" t="str">
        <f t="shared" si="79"/>
        <v>Small Business</v>
      </c>
      <c r="AJ423" t="str">
        <f t="shared" si="79"/>
        <v>North</v>
      </c>
      <c r="AK423" t="str">
        <f t="shared" si="79"/>
        <v>Delhi</v>
      </c>
      <c r="AL423" t="str">
        <f t="shared" si="78"/>
        <v>New Delhi</v>
      </c>
      <c r="AM423" t="str">
        <f t="shared" si="78"/>
        <v>Office Supplies</v>
      </c>
      <c r="AN423" t="str">
        <f t="shared" si="78"/>
        <v>Binders</v>
      </c>
      <c r="AO423" t="str">
        <f t="shared" si="89"/>
        <v>Same Day</v>
      </c>
      <c r="AP423" t="str">
        <f t="shared" si="90"/>
        <v>Pending</v>
      </c>
      <c r="AQ423" t="str">
        <f t="shared" si="90"/>
        <v>Returned</v>
      </c>
    </row>
    <row r="424" spans="1:43">
      <c r="A424" t="s">
        <v>1585</v>
      </c>
      <c r="B424" s="3">
        <v>45903</v>
      </c>
      <c r="C424" s="3">
        <v>45906</v>
      </c>
      <c r="D424" t="s">
        <v>1586</v>
      </c>
      <c r="E424" t="s">
        <v>375</v>
      </c>
      <c r="F424" t="s">
        <v>109</v>
      </c>
      <c r="G424" t="s">
        <v>149</v>
      </c>
      <c r="H424" t="s">
        <v>158</v>
      </c>
      <c r="I424" t="s">
        <v>159</v>
      </c>
      <c r="J424" t="s">
        <v>160</v>
      </c>
      <c r="K424" t="s">
        <v>166</v>
      </c>
      <c r="L424" t="s">
        <v>1587</v>
      </c>
      <c r="M424" t="s">
        <v>129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117</v>
      </c>
      <c r="U424" t="s">
        <v>118</v>
      </c>
      <c r="V424" s="2">
        <f t="shared" si="80"/>
        <v>0.15</v>
      </c>
      <c r="W424" s="2">
        <f t="shared" si="81"/>
        <v>4098.6574999999993</v>
      </c>
      <c r="X424" s="2">
        <f>W424-R424</f>
        <v>1420.5974999999994</v>
      </c>
      <c r="Y424" s="2">
        <f t="shared" si="82"/>
        <v>0.34660068571233377</v>
      </c>
      <c r="Z424" s="2">
        <f t="shared" si="83"/>
        <v>3</v>
      </c>
      <c r="AA424" s="2">
        <f t="shared" si="84"/>
        <v>9</v>
      </c>
      <c r="AB424" s="2">
        <f t="shared" si="85"/>
        <v>2025</v>
      </c>
      <c r="AC424" s="2" t="str">
        <f t="shared" si="86"/>
        <v>Valid</v>
      </c>
      <c r="AD424" s="2">
        <f t="shared" si="87"/>
        <v>0</v>
      </c>
      <c r="AE424" s="2">
        <f t="shared" si="88"/>
        <v>0</v>
      </c>
      <c r="AH424" t="str">
        <f t="shared" si="79"/>
        <v>Kabir Singh</v>
      </c>
      <c r="AI424" t="str">
        <f t="shared" si="79"/>
        <v>Consumer</v>
      </c>
      <c r="AJ424" t="str">
        <f t="shared" si="79"/>
        <v>West</v>
      </c>
      <c r="AK424" t="str">
        <f t="shared" si="79"/>
        <v>Madhya Pradesh</v>
      </c>
      <c r="AL424" t="str">
        <f t="shared" si="78"/>
        <v>Indore</v>
      </c>
      <c r="AM424" t="str">
        <f t="shared" si="78"/>
        <v>Technology</v>
      </c>
      <c r="AN424" t="str">
        <f t="shared" si="78"/>
        <v>Copiers</v>
      </c>
      <c r="AO424" t="str">
        <f t="shared" si="89"/>
        <v>Same Day</v>
      </c>
      <c r="AP424" t="str">
        <f t="shared" si="90"/>
        <v>Paid</v>
      </c>
      <c r="AQ424" t="str">
        <f t="shared" si="90"/>
        <v>Completed</v>
      </c>
    </row>
    <row r="425" spans="1:43">
      <c r="A425" t="s">
        <v>1588</v>
      </c>
      <c r="B425" s="3">
        <v>45342</v>
      </c>
      <c r="C425" s="3" t="s">
        <v>1589</v>
      </c>
      <c r="D425" t="s">
        <v>1590</v>
      </c>
      <c r="E425" t="s">
        <v>256</v>
      </c>
      <c r="F425" t="s">
        <v>109</v>
      </c>
      <c r="G425" t="s">
        <v>140</v>
      </c>
      <c r="H425" t="s">
        <v>282</v>
      </c>
      <c r="I425" t="s">
        <v>283</v>
      </c>
      <c r="J425" t="s">
        <v>160</v>
      </c>
      <c r="K425" t="s">
        <v>161</v>
      </c>
      <c r="L425" t="s">
        <v>1591</v>
      </c>
      <c r="M425" t="s">
        <v>1592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117</v>
      </c>
      <c r="U425" t="s">
        <v>118</v>
      </c>
      <c r="V425" s="2">
        <f t="shared" si="80"/>
        <v>0.2</v>
      </c>
      <c r="W425" s="2">
        <f t="shared" si="81"/>
        <v>27211.032000000003</v>
      </c>
      <c r="X425" s="2">
        <f>W425-R425</f>
        <v>9270.6020000000026</v>
      </c>
      <c r="Y425" s="2">
        <f t="shared" si="82"/>
        <v>0.34069277490100347</v>
      </c>
      <c r="Z425" s="2" t="str">
        <f t="shared" si="83"/>
        <v/>
      </c>
      <c r="AA425" s="2">
        <f t="shared" si="84"/>
        <v>2</v>
      </c>
      <c r="AB425" s="2">
        <f t="shared" si="85"/>
        <v>2024</v>
      </c>
      <c r="AC425" s="2" t="str">
        <f t="shared" si="86"/>
        <v>Conflicting Duplicate Order ID</v>
      </c>
      <c r="AD425" s="2">
        <f t="shared" si="87"/>
        <v>0</v>
      </c>
      <c r="AE425" s="2">
        <f t="shared" si="88"/>
        <v>0</v>
      </c>
      <c r="AH425" t="str">
        <f t="shared" si="79"/>
        <v>Diya Patel</v>
      </c>
      <c r="AI425" t="str">
        <f t="shared" si="79"/>
        <v>Consumer</v>
      </c>
      <c r="AJ425" t="str">
        <f t="shared" si="79"/>
        <v>South</v>
      </c>
      <c r="AK425" t="str">
        <f t="shared" si="79"/>
        <v>Kerala</v>
      </c>
      <c r="AL425" t="str">
        <f t="shared" si="78"/>
        <v>Kochi</v>
      </c>
      <c r="AM425" t="str">
        <f t="shared" si="78"/>
        <v>Technology</v>
      </c>
      <c r="AN425" t="str">
        <f t="shared" si="78"/>
        <v>Accessories</v>
      </c>
      <c r="AO425" t="str">
        <f t="shared" si="89"/>
        <v>First Class</v>
      </c>
      <c r="AP425" t="str">
        <f t="shared" si="90"/>
        <v>Paid</v>
      </c>
      <c r="AQ425" t="str">
        <f t="shared" si="90"/>
        <v>Completed</v>
      </c>
    </row>
    <row r="426" spans="1:43">
      <c r="A426" t="s">
        <v>1593</v>
      </c>
      <c r="B426" s="3">
        <v>45469</v>
      </c>
      <c r="C426" s="3">
        <v>45472</v>
      </c>
      <c r="D426" t="s">
        <v>1594</v>
      </c>
      <c r="E426" t="s">
        <v>165</v>
      </c>
      <c r="F426" t="s">
        <v>177</v>
      </c>
      <c r="G426" t="s">
        <v>110</v>
      </c>
      <c r="H426" t="s">
        <v>211</v>
      </c>
      <c r="I426" t="s">
        <v>212</v>
      </c>
      <c r="J426" t="s">
        <v>160</v>
      </c>
      <c r="K426" t="s">
        <v>266</v>
      </c>
      <c r="L426" t="s">
        <v>1595</v>
      </c>
      <c r="M426" t="s">
        <v>145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117</v>
      </c>
      <c r="U426" t="s">
        <v>118</v>
      </c>
      <c r="V426" s="2">
        <f t="shared" si="80"/>
        <v>0</v>
      </c>
      <c r="W426" s="2">
        <f t="shared" si="81"/>
        <v>6436.16</v>
      </c>
      <c r="X426" s="2">
        <f>W426-R426</f>
        <v>2172.33</v>
      </c>
      <c r="Y426" s="2">
        <f t="shared" si="82"/>
        <v>0.33751957689056827</v>
      </c>
      <c r="Z426" s="2">
        <f t="shared" si="83"/>
        <v>3</v>
      </c>
      <c r="AA426" s="2">
        <f t="shared" si="84"/>
        <v>6</v>
      </c>
      <c r="AB426" s="2">
        <f t="shared" si="85"/>
        <v>2024</v>
      </c>
      <c r="AC426" s="2" t="str">
        <f t="shared" si="86"/>
        <v>Valid</v>
      </c>
      <c r="AD426" s="2">
        <f t="shared" si="87"/>
        <v>0</v>
      </c>
      <c r="AE426" s="2">
        <f t="shared" si="88"/>
        <v>0</v>
      </c>
      <c r="AH426" t="str">
        <f t="shared" si="79"/>
        <v>Neha Gupta</v>
      </c>
      <c r="AI426" t="str">
        <f t="shared" si="79"/>
        <v>Corporate</v>
      </c>
      <c r="AJ426" t="str">
        <f t="shared" si="79"/>
        <v>North</v>
      </c>
      <c r="AK426" t="str">
        <f t="shared" si="79"/>
        <v>Punjab</v>
      </c>
      <c r="AL426" t="str">
        <f t="shared" si="78"/>
        <v>Ludhiana</v>
      </c>
      <c r="AM426" t="str">
        <f t="shared" si="78"/>
        <v>Technology</v>
      </c>
      <c r="AN426" t="str">
        <f t="shared" si="78"/>
        <v>Phones</v>
      </c>
      <c r="AO426" t="str">
        <f t="shared" si="89"/>
        <v>Standard Class</v>
      </c>
      <c r="AP426" t="str">
        <f t="shared" si="90"/>
        <v>Paid</v>
      </c>
      <c r="AQ426" t="str">
        <f t="shared" si="90"/>
        <v>Completed</v>
      </c>
    </row>
    <row r="427" spans="1:43">
      <c r="A427" t="s">
        <v>1596</v>
      </c>
      <c r="B427" s="3" t="s">
        <v>1597</v>
      </c>
      <c r="C427" s="3">
        <v>45562</v>
      </c>
      <c r="D427" t="s">
        <v>1598</v>
      </c>
      <c r="E427" t="s">
        <v>132</v>
      </c>
      <c r="F427" t="s">
        <v>182</v>
      </c>
      <c r="G427" t="s">
        <v>110</v>
      </c>
      <c r="H427" t="s">
        <v>465</v>
      </c>
      <c r="I427" t="s">
        <v>466</v>
      </c>
      <c r="J427" t="s">
        <v>113</v>
      </c>
      <c r="K427" t="s">
        <v>178</v>
      </c>
      <c r="L427" t="s">
        <v>1599</v>
      </c>
      <c r="M427" t="s">
        <v>135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189</v>
      </c>
      <c r="U427" t="s">
        <v>44</v>
      </c>
      <c r="V427" s="2">
        <f t="shared" si="80"/>
        <v>0.1</v>
      </c>
      <c r="W427" s="2">
        <f t="shared" si="81"/>
        <v>1918.2420000000002</v>
      </c>
      <c r="X427" s="2">
        <f>W427-R427</f>
        <v>544.72200000000021</v>
      </c>
      <c r="Y427" s="2">
        <f t="shared" si="82"/>
        <v>0.2839693844676533</v>
      </c>
      <c r="Z427" s="2" t="str">
        <f t="shared" si="83"/>
        <v/>
      </c>
      <c r="AA427" s="2" t="e">
        <f t="shared" si="84"/>
        <v>#VALUE!</v>
      </c>
      <c r="AB427" s="2" t="e">
        <f t="shared" si="85"/>
        <v>#VALUE!</v>
      </c>
      <c r="AC427" s="2" t="str">
        <f t="shared" si="86"/>
        <v>Text Value Not Recognized as Date</v>
      </c>
      <c r="AD427" s="2">
        <f t="shared" si="87"/>
        <v>0</v>
      </c>
      <c r="AE427" s="2">
        <f t="shared" si="88"/>
        <v>0</v>
      </c>
      <c r="AH427" t="str">
        <f t="shared" si="79"/>
        <v>Isha Nair</v>
      </c>
      <c r="AI427" t="str">
        <f t="shared" si="79"/>
        <v>Home Office</v>
      </c>
      <c r="AJ427" t="str">
        <f t="shared" si="79"/>
        <v>North</v>
      </c>
      <c r="AK427" t="str">
        <f t="shared" ref="AK427:AN490" si="91">PROPER(TRIM(H427))</f>
        <v>Delhi</v>
      </c>
      <c r="AL427" t="str">
        <f t="shared" si="91"/>
        <v>New Delhi</v>
      </c>
      <c r="AM427" t="str">
        <f t="shared" si="91"/>
        <v>Office Supplies</v>
      </c>
      <c r="AN427" t="str">
        <f t="shared" si="91"/>
        <v>Labels</v>
      </c>
      <c r="AO427" t="str">
        <f t="shared" si="89"/>
        <v>First Class</v>
      </c>
      <c r="AP427" t="str">
        <f t="shared" si="90"/>
        <v>Refunded</v>
      </c>
      <c r="AQ427" t="str">
        <f t="shared" si="90"/>
        <v>Cancelled</v>
      </c>
    </row>
    <row r="428" spans="1:43">
      <c r="A428" t="s">
        <v>1600</v>
      </c>
      <c r="B428" s="3" t="s">
        <v>1601</v>
      </c>
      <c r="C428" s="3">
        <v>45298</v>
      </c>
      <c r="D428" t="s">
        <v>1602</v>
      </c>
      <c r="E428" t="s">
        <v>176</v>
      </c>
      <c r="F428" t="s">
        <v>109</v>
      </c>
      <c r="G428" t="s">
        <v>110</v>
      </c>
      <c r="H428" t="s">
        <v>344</v>
      </c>
      <c r="I428" t="s">
        <v>345</v>
      </c>
      <c r="J428" t="s">
        <v>160</v>
      </c>
      <c r="K428" t="s">
        <v>166</v>
      </c>
      <c r="L428" t="s">
        <v>1603</v>
      </c>
      <c r="M428" t="s">
        <v>129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117</v>
      </c>
      <c r="U428" t="s">
        <v>118</v>
      </c>
      <c r="V428" s="2">
        <f t="shared" si="80"/>
        <v>0.1</v>
      </c>
      <c r="W428" s="2">
        <f t="shared" si="81"/>
        <v>27047.952000000001</v>
      </c>
      <c r="X428" s="2">
        <f>W428-R428</f>
        <v>8616.6219999999994</v>
      </c>
      <c r="Y428" s="2">
        <f t="shared" si="82"/>
        <v>0.31856837072174626</v>
      </c>
      <c r="Z428" s="2" t="str">
        <f t="shared" si="83"/>
        <v/>
      </c>
      <c r="AA428" s="2" t="e">
        <f t="shared" si="84"/>
        <v>#VALUE!</v>
      </c>
      <c r="AB428" s="2" t="e">
        <f t="shared" si="85"/>
        <v>#VALUE!</v>
      </c>
      <c r="AC428" s="2" t="str">
        <f t="shared" si="86"/>
        <v>Text Value Not Recognized as Date</v>
      </c>
      <c r="AD428" s="2">
        <f t="shared" si="87"/>
        <v>0</v>
      </c>
      <c r="AE428" s="2">
        <f t="shared" si="88"/>
        <v>0</v>
      </c>
      <c r="AH428" t="str">
        <f t="shared" ref="AH428:AM491" si="92">PROPER(TRIM(E428))</f>
        <v>Aditi Sen</v>
      </c>
      <c r="AI428" t="str">
        <f t="shared" si="92"/>
        <v>Consumer</v>
      </c>
      <c r="AJ428" t="str">
        <f t="shared" si="92"/>
        <v>North</v>
      </c>
      <c r="AK428" t="str">
        <f t="shared" si="91"/>
        <v>Haryana</v>
      </c>
      <c r="AL428" t="str">
        <f t="shared" si="91"/>
        <v>Gurugram</v>
      </c>
      <c r="AM428" t="str">
        <f t="shared" si="91"/>
        <v>Technology</v>
      </c>
      <c r="AN428" t="str">
        <f t="shared" si="91"/>
        <v>Copiers</v>
      </c>
      <c r="AO428" t="str">
        <f t="shared" si="89"/>
        <v>Same Day</v>
      </c>
      <c r="AP428" t="str">
        <f t="shared" si="90"/>
        <v>Paid</v>
      </c>
      <c r="AQ428" t="str">
        <f t="shared" si="90"/>
        <v>Completed</v>
      </c>
    </row>
    <row r="429" spans="1:43">
      <c r="A429" t="s">
        <v>1604</v>
      </c>
      <c r="B429" s="3">
        <v>45769</v>
      </c>
      <c r="C429" s="3" t="s">
        <v>1605</v>
      </c>
      <c r="D429" t="s">
        <v>1606</v>
      </c>
      <c r="E429" t="s">
        <v>132</v>
      </c>
      <c r="F429" t="s">
        <v>177</v>
      </c>
      <c r="H429" t="s">
        <v>335</v>
      </c>
      <c r="I429" t="s">
        <v>336</v>
      </c>
      <c r="J429" t="s">
        <v>160</v>
      </c>
      <c r="K429" t="s">
        <v>161</v>
      </c>
      <c r="L429" t="s">
        <v>1607</v>
      </c>
      <c r="M429" t="s">
        <v>318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117</v>
      </c>
      <c r="U429" t="s">
        <v>118</v>
      </c>
      <c r="V429" s="2">
        <f t="shared" si="80"/>
        <v>0</v>
      </c>
      <c r="W429" s="2">
        <f t="shared" si="81"/>
        <v>26454.959999999999</v>
      </c>
      <c r="X429" s="2">
        <f>W429-R429</f>
        <v>8824.7099999999991</v>
      </c>
      <c r="Y429" s="2">
        <f t="shared" si="82"/>
        <v>0.33357487594008833</v>
      </c>
      <c r="Z429" s="2" t="str">
        <f t="shared" si="83"/>
        <v/>
      </c>
      <c r="AA429" s="2">
        <f t="shared" si="84"/>
        <v>4</v>
      </c>
      <c r="AB429" s="2">
        <f t="shared" si="85"/>
        <v>2025</v>
      </c>
      <c r="AC429" s="2" t="str">
        <f t="shared" si="86"/>
        <v>Missing region</v>
      </c>
      <c r="AD429" s="2">
        <f t="shared" si="87"/>
        <v>0</v>
      </c>
      <c r="AE429" s="2">
        <f t="shared" si="88"/>
        <v>0</v>
      </c>
      <c r="AH429" t="str">
        <f t="shared" si="92"/>
        <v>Isha Nair</v>
      </c>
      <c r="AI429" t="str">
        <f t="shared" si="92"/>
        <v>Corporate</v>
      </c>
      <c r="AJ429" t="s">
        <v>306</v>
      </c>
      <c r="AK429" t="str">
        <f t="shared" si="91"/>
        <v>Jharkhand</v>
      </c>
      <c r="AL429" t="str">
        <f t="shared" si="91"/>
        <v>Ranchi</v>
      </c>
      <c r="AM429" t="str">
        <f t="shared" si="91"/>
        <v>Technology</v>
      </c>
      <c r="AN429" t="str">
        <f t="shared" si="91"/>
        <v>Accessories</v>
      </c>
      <c r="AO429" t="str">
        <f t="shared" si="89"/>
        <v>Standard Class</v>
      </c>
      <c r="AP429" t="str">
        <f t="shared" si="90"/>
        <v>Paid</v>
      </c>
      <c r="AQ429" t="str">
        <f t="shared" si="90"/>
        <v>Completed</v>
      </c>
    </row>
    <row r="430" spans="1:43">
      <c r="A430" t="s">
        <v>1608</v>
      </c>
      <c r="B430" s="3">
        <v>45731</v>
      </c>
      <c r="C430" s="3">
        <v>45738</v>
      </c>
      <c r="D430" t="s">
        <v>1609</v>
      </c>
      <c r="E430" t="s">
        <v>108</v>
      </c>
      <c r="F430" t="s">
        <v>122</v>
      </c>
      <c r="G430" t="s">
        <v>123</v>
      </c>
      <c r="H430" t="s">
        <v>186</v>
      </c>
      <c r="I430" t="s">
        <v>187</v>
      </c>
      <c r="J430" t="s">
        <v>160</v>
      </c>
      <c r="K430" t="s">
        <v>266</v>
      </c>
      <c r="L430" t="s">
        <v>1610</v>
      </c>
      <c r="M430" t="s">
        <v>129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199</v>
      </c>
      <c r="U430" t="s">
        <v>44</v>
      </c>
      <c r="V430" s="2">
        <f t="shared" si="80"/>
        <v>0.25</v>
      </c>
      <c r="W430" s="2">
        <f t="shared" si="81"/>
        <v>1853.895</v>
      </c>
      <c r="X430" s="2">
        <f>W430-R430</f>
        <v>752.66499999999996</v>
      </c>
      <c r="Y430" s="2">
        <f t="shared" si="82"/>
        <v>0.40599116994220275</v>
      </c>
      <c r="Z430" s="2">
        <f t="shared" si="83"/>
        <v>7</v>
      </c>
      <c r="AA430" s="2">
        <f t="shared" si="84"/>
        <v>3</v>
      </c>
      <c r="AB430" s="2">
        <f t="shared" si="85"/>
        <v>2025</v>
      </c>
      <c r="AC430" s="2" t="str">
        <f t="shared" si="86"/>
        <v>Valid</v>
      </c>
      <c r="AD430" s="2">
        <f t="shared" si="87"/>
        <v>0</v>
      </c>
      <c r="AE430" s="2">
        <f t="shared" si="88"/>
        <v>0</v>
      </c>
      <c r="AH430" t="str">
        <f t="shared" si="92"/>
        <v>Karan Malhotra</v>
      </c>
      <c r="AI430" t="str">
        <f t="shared" si="92"/>
        <v>Small Business</v>
      </c>
      <c r="AJ430" t="str">
        <f t="shared" si="92"/>
        <v>East</v>
      </c>
      <c r="AK430" t="str">
        <f t="shared" si="91"/>
        <v>West Bengal</v>
      </c>
      <c r="AL430" t="str">
        <f t="shared" si="91"/>
        <v>Kolkata</v>
      </c>
      <c r="AM430" t="str">
        <f t="shared" si="91"/>
        <v>Technology</v>
      </c>
      <c r="AN430" t="str">
        <f t="shared" si="91"/>
        <v>Phones</v>
      </c>
      <c r="AO430" t="str">
        <f t="shared" si="89"/>
        <v>Same Day</v>
      </c>
      <c r="AP430" t="str">
        <f t="shared" si="90"/>
        <v>Pending</v>
      </c>
      <c r="AQ430" t="str">
        <f t="shared" si="90"/>
        <v>Cancelled</v>
      </c>
    </row>
    <row r="431" spans="1:43">
      <c r="A431" t="s">
        <v>1611</v>
      </c>
      <c r="B431" s="3">
        <v>45717</v>
      </c>
      <c r="C431" s="3">
        <v>45872</v>
      </c>
      <c r="D431" t="s">
        <v>1612</v>
      </c>
      <c r="E431" t="s">
        <v>165</v>
      </c>
      <c r="F431" t="s">
        <v>182</v>
      </c>
      <c r="G431" t="s">
        <v>110</v>
      </c>
      <c r="H431" t="s">
        <v>111</v>
      </c>
      <c r="I431" t="s">
        <v>112</v>
      </c>
      <c r="J431" t="s">
        <v>160</v>
      </c>
      <c r="K431" t="s">
        <v>166</v>
      </c>
      <c r="L431" t="s">
        <v>1613</v>
      </c>
      <c r="M431" t="s">
        <v>129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117</v>
      </c>
      <c r="U431" t="s">
        <v>118</v>
      </c>
      <c r="V431" s="2">
        <f t="shared" si="80"/>
        <v>0.25</v>
      </c>
      <c r="W431" s="2">
        <f t="shared" si="81"/>
        <v>17658.599999999999</v>
      </c>
      <c r="X431" s="2">
        <f>W431-R431</f>
        <v>3816.119999999999</v>
      </c>
      <c r="Y431" s="2">
        <f t="shared" si="82"/>
        <v>0.2161054670245659</v>
      </c>
      <c r="Z431" s="2">
        <f t="shared" si="83"/>
        <v>155</v>
      </c>
      <c r="AA431" s="2">
        <f t="shared" si="84"/>
        <v>3</v>
      </c>
      <c r="AB431" s="2">
        <f t="shared" si="85"/>
        <v>2025</v>
      </c>
      <c r="AC431" s="2" t="str">
        <f t="shared" si="86"/>
        <v>Valid</v>
      </c>
      <c r="AD431" s="2">
        <f t="shared" si="87"/>
        <v>0</v>
      </c>
      <c r="AE431" s="2">
        <f t="shared" si="88"/>
        <v>0</v>
      </c>
      <c r="AH431" t="str">
        <f t="shared" si="92"/>
        <v>Neha Gupta</v>
      </c>
      <c r="AI431" t="str">
        <f t="shared" si="92"/>
        <v>Home Office</v>
      </c>
      <c r="AJ431" t="str">
        <f t="shared" si="92"/>
        <v>North</v>
      </c>
      <c r="AK431" t="str">
        <f t="shared" si="91"/>
        <v>Rajasthan</v>
      </c>
      <c r="AL431" t="str">
        <f t="shared" si="91"/>
        <v>Jaipur</v>
      </c>
      <c r="AM431" t="str">
        <f t="shared" si="91"/>
        <v>Technology</v>
      </c>
      <c r="AN431" t="str">
        <f t="shared" si="91"/>
        <v>Copiers</v>
      </c>
      <c r="AO431" t="str">
        <f t="shared" si="89"/>
        <v>Same Day</v>
      </c>
      <c r="AP431" t="str">
        <f t="shared" si="90"/>
        <v>Paid</v>
      </c>
      <c r="AQ431" t="str">
        <f t="shared" si="90"/>
        <v>Completed</v>
      </c>
    </row>
    <row r="432" spans="1:43">
      <c r="A432" t="s">
        <v>1614</v>
      </c>
      <c r="B432" s="3">
        <v>45534</v>
      </c>
      <c r="C432" s="3">
        <v>45331</v>
      </c>
      <c r="D432" t="s">
        <v>1615</v>
      </c>
      <c r="E432" t="s">
        <v>165</v>
      </c>
      <c r="F432" t="s">
        <v>122</v>
      </c>
      <c r="G432" t="s">
        <v>110</v>
      </c>
      <c r="H432" t="s">
        <v>344</v>
      </c>
      <c r="I432" t="s">
        <v>345</v>
      </c>
      <c r="J432" t="s">
        <v>113</v>
      </c>
      <c r="K432" t="s">
        <v>114</v>
      </c>
      <c r="L432" t="s">
        <v>1616</v>
      </c>
      <c r="M432" t="s">
        <v>116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117</v>
      </c>
      <c r="U432" t="s">
        <v>118</v>
      </c>
      <c r="V432" s="2">
        <f t="shared" si="80"/>
        <v>0.15</v>
      </c>
      <c r="W432" s="2">
        <f t="shared" si="81"/>
        <v>3672.7139999999999</v>
      </c>
      <c r="X432" s="2">
        <f>W432-R432</f>
        <v>958.48399999999992</v>
      </c>
      <c r="Y432" s="2">
        <f t="shared" si="82"/>
        <v>0.26097430946161337</v>
      </c>
      <c r="Z432" s="2">
        <f t="shared" si="83"/>
        <v>-203</v>
      </c>
      <c r="AA432" s="2">
        <f t="shared" si="84"/>
        <v>8</v>
      </c>
      <c r="AB432" s="2">
        <f t="shared" si="85"/>
        <v>2024</v>
      </c>
      <c r="AC432" s="2" t="str">
        <f t="shared" si="86"/>
        <v>Invalid shipping record</v>
      </c>
      <c r="AD432" s="2">
        <f t="shared" si="87"/>
        <v>0</v>
      </c>
      <c r="AE432" s="2">
        <f t="shared" si="88"/>
        <v>1</v>
      </c>
      <c r="AH432" t="str">
        <f t="shared" si="92"/>
        <v>Neha Gupta</v>
      </c>
      <c r="AI432" t="str">
        <f t="shared" si="92"/>
        <v>Small Business</v>
      </c>
      <c r="AJ432" t="str">
        <f t="shared" si="92"/>
        <v>North</v>
      </c>
      <c r="AK432" t="str">
        <f t="shared" si="91"/>
        <v>Haryana</v>
      </c>
      <c r="AL432" t="str">
        <f t="shared" si="91"/>
        <v>Gurugram</v>
      </c>
      <c r="AM432" t="str">
        <f t="shared" si="91"/>
        <v>Office Supplies</v>
      </c>
      <c r="AN432" t="str">
        <f t="shared" si="91"/>
        <v>Paper</v>
      </c>
      <c r="AO432" t="str">
        <f t="shared" si="89"/>
        <v>Second Class</v>
      </c>
      <c r="AP432" t="str">
        <f t="shared" si="90"/>
        <v>Paid</v>
      </c>
      <c r="AQ432" t="str">
        <f t="shared" si="90"/>
        <v>Completed</v>
      </c>
    </row>
    <row r="433" spans="1:43">
      <c r="A433" t="s">
        <v>1617</v>
      </c>
      <c r="B433" s="3">
        <v>45332</v>
      </c>
      <c r="C433" s="3">
        <v>45335</v>
      </c>
      <c r="D433" t="s">
        <v>1618</v>
      </c>
      <c r="E433" t="s">
        <v>108</v>
      </c>
      <c r="F433" t="s">
        <v>182</v>
      </c>
      <c r="G433" t="s">
        <v>149</v>
      </c>
      <c r="H433" t="s">
        <v>287</v>
      </c>
      <c r="I433" t="s">
        <v>288</v>
      </c>
      <c r="J433" t="s">
        <v>160</v>
      </c>
      <c r="K433" t="s">
        <v>385</v>
      </c>
      <c r="L433" t="s">
        <v>1619</v>
      </c>
      <c r="M433" t="s">
        <v>129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117</v>
      </c>
      <c r="U433" t="s">
        <v>118</v>
      </c>
      <c r="V433" s="2">
        <f t="shared" si="80"/>
        <v>0.25</v>
      </c>
      <c r="W433" s="2">
        <f t="shared" si="81"/>
        <v>6177.6749999999993</v>
      </c>
      <c r="X433" s="2">
        <f>W433-R433</f>
        <v>1656.9249999999993</v>
      </c>
      <c r="Y433" s="2">
        <f t="shared" si="82"/>
        <v>0.26821174632851347</v>
      </c>
      <c r="Z433" s="2">
        <f t="shared" si="83"/>
        <v>3</v>
      </c>
      <c r="AA433" s="2">
        <f t="shared" si="84"/>
        <v>2</v>
      </c>
      <c r="AB433" s="2">
        <f t="shared" si="85"/>
        <v>2024</v>
      </c>
      <c r="AC433" s="2" t="str">
        <f t="shared" si="86"/>
        <v>Valid</v>
      </c>
      <c r="AD433" s="2">
        <f t="shared" si="87"/>
        <v>0</v>
      </c>
      <c r="AE433" s="2">
        <f t="shared" si="88"/>
        <v>0</v>
      </c>
      <c r="AH433" t="str">
        <f t="shared" si="92"/>
        <v>Karan Malhotra</v>
      </c>
      <c r="AI433" t="str">
        <f t="shared" si="92"/>
        <v>Home Office</v>
      </c>
      <c r="AJ433" t="str">
        <f t="shared" si="92"/>
        <v>West</v>
      </c>
      <c r="AK433" t="str">
        <f t="shared" si="91"/>
        <v>Goa</v>
      </c>
      <c r="AL433" t="str">
        <f t="shared" si="91"/>
        <v>Panaji</v>
      </c>
      <c r="AM433" t="str">
        <f t="shared" si="91"/>
        <v>Technology</v>
      </c>
      <c r="AN433" t="str">
        <f t="shared" si="91"/>
        <v>Machines</v>
      </c>
      <c r="AO433" t="str">
        <f t="shared" si="89"/>
        <v>Same Day</v>
      </c>
      <c r="AP433" t="str">
        <f t="shared" si="90"/>
        <v>Paid</v>
      </c>
      <c r="AQ433" t="str">
        <f t="shared" si="90"/>
        <v>Completed</v>
      </c>
    </row>
    <row r="434" spans="1:43">
      <c r="A434" t="s">
        <v>1620</v>
      </c>
      <c r="B434" s="3">
        <v>45533</v>
      </c>
      <c r="C434" s="3">
        <v>45331</v>
      </c>
      <c r="D434" t="s">
        <v>1621</v>
      </c>
      <c r="E434" t="s">
        <v>203</v>
      </c>
      <c r="F434" t="s">
        <v>122</v>
      </c>
      <c r="G434" t="s">
        <v>149</v>
      </c>
      <c r="H434" t="s">
        <v>150</v>
      </c>
      <c r="I434" t="s">
        <v>151</v>
      </c>
      <c r="J434" t="s">
        <v>126</v>
      </c>
      <c r="K434" t="s">
        <v>252</v>
      </c>
      <c r="L434" t="s">
        <v>1622</v>
      </c>
      <c r="M434" t="s">
        <v>145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117</v>
      </c>
      <c r="U434" t="s">
        <v>118</v>
      </c>
      <c r="V434" s="2">
        <f t="shared" si="80"/>
        <v>0.05</v>
      </c>
      <c r="W434" s="2">
        <f t="shared" si="81"/>
        <v>985.07400000000007</v>
      </c>
      <c r="X434" s="2">
        <f>W434-R434</f>
        <v>140.59400000000005</v>
      </c>
      <c r="Y434" s="2">
        <f t="shared" si="82"/>
        <v>0.14272430294576857</v>
      </c>
      <c r="Z434" s="2">
        <f t="shared" si="83"/>
        <v>-202</v>
      </c>
      <c r="AA434" s="2">
        <f t="shared" si="84"/>
        <v>8</v>
      </c>
      <c r="AB434" s="2">
        <f t="shared" si="85"/>
        <v>2024</v>
      </c>
      <c r="AC434" s="2" t="str">
        <f t="shared" si="86"/>
        <v>Invalid shipping record</v>
      </c>
      <c r="AD434" s="2">
        <f t="shared" si="87"/>
        <v>0</v>
      </c>
      <c r="AE434" s="2">
        <f t="shared" si="88"/>
        <v>0</v>
      </c>
      <c r="AH434" t="str">
        <f t="shared" si="92"/>
        <v>Priya Menon</v>
      </c>
      <c r="AI434" t="str">
        <f t="shared" si="92"/>
        <v>Small Business</v>
      </c>
      <c r="AJ434" t="str">
        <f t="shared" si="92"/>
        <v>West</v>
      </c>
      <c r="AK434" t="str">
        <f t="shared" si="91"/>
        <v>Maharashtra</v>
      </c>
      <c r="AL434" t="str">
        <f t="shared" si="91"/>
        <v>Mumbai</v>
      </c>
      <c r="AM434" t="str">
        <f t="shared" si="91"/>
        <v>Furniture</v>
      </c>
      <c r="AN434" t="str">
        <f t="shared" si="91"/>
        <v>Bookcases</v>
      </c>
      <c r="AO434" t="str">
        <f t="shared" si="89"/>
        <v>Standard Class</v>
      </c>
      <c r="AP434" t="str">
        <f t="shared" si="90"/>
        <v>Paid</v>
      </c>
      <c r="AQ434" t="str">
        <f t="shared" si="90"/>
        <v>Completed</v>
      </c>
    </row>
    <row r="435" spans="1:43">
      <c r="A435" t="s">
        <v>1623</v>
      </c>
      <c r="B435" s="3">
        <v>45401</v>
      </c>
      <c r="C435" s="3" t="s">
        <v>1624</v>
      </c>
      <c r="D435" t="s">
        <v>1625</v>
      </c>
      <c r="E435" t="s">
        <v>203</v>
      </c>
      <c r="F435" t="s">
        <v>177</v>
      </c>
      <c r="G435" t="s">
        <v>140</v>
      </c>
      <c r="H435" t="s">
        <v>282</v>
      </c>
      <c r="I435" t="s">
        <v>283</v>
      </c>
      <c r="J435" t="s">
        <v>113</v>
      </c>
      <c r="K435" t="s">
        <v>133</v>
      </c>
      <c r="L435" t="s">
        <v>1626</v>
      </c>
      <c r="M435" t="s">
        <v>116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189</v>
      </c>
      <c r="U435" t="s">
        <v>190</v>
      </c>
      <c r="V435" s="2">
        <f t="shared" si="80"/>
        <v>0</v>
      </c>
      <c r="W435" s="2">
        <f t="shared" si="81"/>
        <v>6160.88</v>
      </c>
      <c r="X435" s="2">
        <f>W435-R435</f>
        <v>1222.1800000000003</v>
      </c>
      <c r="Y435" s="2">
        <f t="shared" si="82"/>
        <v>0.19837750451234243</v>
      </c>
      <c r="Z435" s="2" t="str">
        <f t="shared" si="83"/>
        <v/>
      </c>
      <c r="AA435" s="2">
        <f t="shared" si="84"/>
        <v>4</v>
      </c>
      <c r="AB435" s="2">
        <f t="shared" si="85"/>
        <v>2024</v>
      </c>
      <c r="AC435" s="2" t="str">
        <f t="shared" si="86"/>
        <v>Text Value Not Recognized as Date</v>
      </c>
      <c r="AD435" s="2">
        <f t="shared" si="87"/>
        <v>0</v>
      </c>
      <c r="AE435" s="2">
        <f t="shared" si="88"/>
        <v>0</v>
      </c>
      <c r="AH435" t="str">
        <f t="shared" si="92"/>
        <v>Priya Menon</v>
      </c>
      <c r="AI435" t="str">
        <f t="shared" si="92"/>
        <v>Corporate</v>
      </c>
      <c r="AJ435" t="str">
        <f t="shared" si="92"/>
        <v>South</v>
      </c>
      <c r="AK435" t="str">
        <f t="shared" si="91"/>
        <v>Kerala</v>
      </c>
      <c r="AL435" t="str">
        <f t="shared" si="91"/>
        <v>Kochi</v>
      </c>
      <c r="AM435" t="str">
        <f t="shared" si="91"/>
        <v>Office Supplies</v>
      </c>
      <c r="AN435" t="str">
        <f t="shared" si="91"/>
        <v>Art</v>
      </c>
      <c r="AO435" t="str">
        <f t="shared" si="89"/>
        <v>Second Class</v>
      </c>
      <c r="AP435" t="str">
        <f t="shared" si="90"/>
        <v>Refunded</v>
      </c>
      <c r="AQ435" t="str">
        <f t="shared" si="90"/>
        <v>Returned</v>
      </c>
    </row>
    <row r="436" spans="1:43">
      <c r="A436" t="s">
        <v>1627</v>
      </c>
      <c r="B436" s="3">
        <v>45758</v>
      </c>
      <c r="C436" s="3">
        <v>45762</v>
      </c>
      <c r="D436" t="s">
        <v>1628</v>
      </c>
      <c r="E436" t="s">
        <v>121</v>
      </c>
      <c r="F436" t="s">
        <v>182</v>
      </c>
      <c r="G436" t="s">
        <v>110</v>
      </c>
      <c r="H436" t="s">
        <v>227</v>
      </c>
      <c r="I436" t="s">
        <v>228</v>
      </c>
      <c r="J436" t="s">
        <v>160</v>
      </c>
      <c r="K436" t="s">
        <v>161</v>
      </c>
      <c r="L436" t="s">
        <v>1629</v>
      </c>
      <c r="M436" t="s">
        <v>116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117</v>
      </c>
      <c r="U436" t="s">
        <v>118</v>
      </c>
      <c r="V436" s="2">
        <f t="shared" si="80"/>
        <v>0</v>
      </c>
      <c r="W436" s="2">
        <f t="shared" si="81"/>
        <v>3263.8999999999996</v>
      </c>
      <c r="X436" s="2">
        <f>W436-R436</f>
        <v>1195.4599999999996</v>
      </c>
      <c r="Y436" s="2">
        <f t="shared" si="82"/>
        <v>0.3662673488771101</v>
      </c>
      <c r="Z436" s="2">
        <f t="shared" si="83"/>
        <v>4</v>
      </c>
      <c r="AA436" s="2">
        <f t="shared" si="84"/>
        <v>4</v>
      </c>
      <c r="AB436" s="2">
        <f t="shared" si="85"/>
        <v>2025</v>
      </c>
      <c r="AC436" s="2" t="str">
        <f t="shared" si="86"/>
        <v>Valid</v>
      </c>
      <c r="AD436" s="2">
        <f t="shared" si="87"/>
        <v>0</v>
      </c>
      <c r="AE436" s="2">
        <f t="shared" si="88"/>
        <v>0</v>
      </c>
      <c r="AH436" t="str">
        <f t="shared" si="92"/>
        <v>Mira Das</v>
      </c>
      <c r="AI436" t="str">
        <f t="shared" si="92"/>
        <v>Home Office</v>
      </c>
      <c r="AJ436" t="str">
        <f t="shared" si="92"/>
        <v>North</v>
      </c>
      <c r="AK436" t="str">
        <f t="shared" si="91"/>
        <v>Uttar Pradesh</v>
      </c>
      <c r="AL436" t="str">
        <f t="shared" si="91"/>
        <v>Noida</v>
      </c>
      <c r="AM436" t="str">
        <f t="shared" si="91"/>
        <v>Technology</v>
      </c>
      <c r="AN436" t="str">
        <f t="shared" si="91"/>
        <v>Accessories</v>
      </c>
      <c r="AO436" t="str">
        <f t="shared" si="89"/>
        <v>Second Class</v>
      </c>
      <c r="AP436" t="str">
        <f t="shared" si="90"/>
        <v>Paid</v>
      </c>
      <c r="AQ436" t="str">
        <f t="shared" si="90"/>
        <v>Completed</v>
      </c>
    </row>
    <row r="437" spans="1:43">
      <c r="A437" t="s">
        <v>1630</v>
      </c>
      <c r="B437" s="3">
        <v>45759</v>
      </c>
      <c r="C437" s="3" t="s">
        <v>830</v>
      </c>
      <c r="D437" t="s">
        <v>1631</v>
      </c>
      <c r="E437" t="s">
        <v>375</v>
      </c>
      <c r="F437" t="s">
        <v>182</v>
      </c>
      <c r="G437" t="s">
        <v>110</v>
      </c>
      <c r="H437" t="s">
        <v>465</v>
      </c>
      <c r="I437" t="s">
        <v>466</v>
      </c>
      <c r="J437" t="s">
        <v>160</v>
      </c>
      <c r="K437" t="s">
        <v>385</v>
      </c>
      <c r="L437" t="s">
        <v>1632</v>
      </c>
      <c r="M437" t="s">
        <v>145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117</v>
      </c>
      <c r="U437" t="s">
        <v>44</v>
      </c>
      <c r="V437" s="2">
        <f t="shared" si="80"/>
        <v>0.15</v>
      </c>
      <c r="W437" s="2">
        <f t="shared" si="81"/>
        <v>2327.0535</v>
      </c>
      <c r="X437" s="2">
        <f>W437-R437</f>
        <v>407.63349999999991</v>
      </c>
      <c r="Y437" s="2">
        <f t="shared" si="82"/>
        <v>0.17517152055163318</v>
      </c>
      <c r="Z437" s="2" t="str">
        <f t="shared" si="83"/>
        <v/>
      </c>
      <c r="AA437" s="2">
        <f t="shared" si="84"/>
        <v>4</v>
      </c>
      <c r="AB437" s="2">
        <f t="shared" si="85"/>
        <v>2025</v>
      </c>
      <c r="AC437" s="2" t="str">
        <f t="shared" si="86"/>
        <v>Text Value Not Recognized as Date</v>
      </c>
      <c r="AD437" s="2">
        <f t="shared" si="87"/>
        <v>0</v>
      </c>
      <c r="AE437" s="2">
        <f t="shared" si="88"/>
        <v>0</v>
      </c>
      <c r="AH437" t="str">
        <f t="shared" si="92"/>
        <v>Kabir Singh</v>
      </c>
      <c r="AI437" t="str">
        <f t="shared" si="92"/>
        <v>Home Office</v>
      </c>
      <c r="AJ437" t="str">
        <f t="shared" si="92"/>
        <v>North</v>
      </c>
      <c r="AK437" t="str">
        <f t="shared" si="91"/>
        <v>Delhi</v>
      </c>
      <c r="AL437" t="str">
        <f t="shared" si="91"/>
        <v>New Delhi</v>
      </c>
      <c r="AM437" t="str">
        <f t="shared" si="91"/>
        <v>Technology</v>
      </c>
      <c r="AN437" t="str">
        <f t="shared" si="91"/>
        <v>Machines</v>
      </c>
      <c r="AO437" t="str">
        <f t="shared" si="89"/>
        <v>Standard Class</v>
      </c>
      <c r="AP437" t="str">
        <f t="shared" si="90"/>
        <v>Paid</v>
      </c>
      <c r="AQ437" t="str">
        <f t="shared" si="90"/>
        <v>Cancelled</v>
      </c>
    </row>
    <row r="438" spans="1:43">
      <c r="A438" t="s">
        <v>1633</v>
      </c>
      <c r="B438" s="3">
        <v>45459</v>
      </c>
      <c r="C438" s="3">
        <v>45464</v>
      </c>
      <c r="D438" t="s">
        <v>1634</v>
      </c>
      <c r="E438" t="s">
        <v>165</v>
      </c>
      <c r="F438" t="s">
        <v>109</v>
      </c>
      <c r="G438" t="s">
        <v>140</v>
      </c>
      <c r="H438" t="s">
        <v>282</v>
      </c>
      <c r="I438" t="s">
        <v>283</v>
      </c>
      <c r="J438" t="s">
        <v>126</v>
      </c>
      <c r="K438" t="s">
        <v>143</v>
      </c>
      <c r="L438" t="s">
        <v>1635</v>
      </c>
      <c r="M438" t="s">
        <v>129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117</v>
      </c>
      <c r="U438" t="s">
        <v>190</v>
      </c>
      <c r="V438" s="2">
        <f t="shared" si="80"/>
        <v>0.05</v>
      </c>
      <c r="W438" s="2">
        <f t="shared" si="81"/>
        <v>6593.6459999999997</v>
      </c>
      <c r="X438" s="2">
        <f>W438-R438</f>
        <v>2234.2559999999994</v>
      </c>
      <c r="Y438" s="2">
        <f t="shared" si="82"/>
        <v>0.33884985636171544</v>
      </c>
      <c r="Z438" s="2">
        <f t="shared" si="83"/>
        <v>5</v>
      </c>
      <c r="AA438" s="2">
        <f t="shared" si="84"/>
        <v>6</v>
      </c>
      <c r="AB438" s="2">
        <f t="shared" si="85"/>
        <v>2024</v>
      </c>
      <c r="AC438" s="2" t="str">
        <f t="shared" si="86"/>
        <v>Valid</v>
      </c>
      <c r="AD438" s="2">
        <f t="shared" si="87"/>
        <v>0</v>
      </c>
      <c r="AE438" s="2">
        <f t="shared" si="88"/>
        <v>0</v>
      </c>
      <c r="AH438" t="str">
        <f t="shared" si="92"/>
        <v>Neha Gupta</v>
      </c>
      <c r="AI438" t="str">
        <f t="shared" si="92"/>
        <v>Consumer</v>
      </c>
      <c r="AJ438" t="str">
        <f t="shared" si="92"/>
        <v>South</v>
      </c>
      <c r="AK438" t="str">
        <f t="shared" si="91"/>
        <v>Kerala</v>
      </c>
      <c r="AL438" t="str">
        <f t="shared" si="91"/>
        <v>Kochi</v>
      </c>
      <c r="AM438" t="str">
        <f t="shared" si="91"/>
        <v>Furniture</v>
      </c>
      <c r="AN438" t="str">
        <f t="shared" si="91"/>
        <v>Furnishings</v>
      </c>
      <c r="AO438" t="str">
        <f t="shared" si="89"/>
        <v>Same Day</v>
      </c>
      <c r="AP438" t="str">
        <f t="shared" si="90"/>
        <v>Paid</v>
      </c>
      <c r="AQ438" t="str">
        <f t="shared" si="90"/>
        <v>Returned</v>
      </c>
    </row>
    <row r="439" spans="1:43">
      <c r="A439" t="s">
        <v>1636</v>
      </c>
      <c r="B439" s="3" t="s">
        <v>1637</v>
      </c>
      <c r="C439" s="3">
        <v>45340</v>
      </c>
      <c r="D439" t="s">
        <v>1638</v>
      </c>
      <c r="E439" t="s">
        <v>176</v>
      </c>
      <c r="F439" t="s">
        <v>122</v>
      </c>
      <c r="G439" t="s">
        <v>140</v>
      </c>
      <c r="H439" t="s">
        <v>282</v>
      </c>
      <c r="I439" t="s">
        <v>283</v>
      </c>
      <c r="J439" t="s">
        <v>160</v>
      </c>
      <c r="K439" t="s">
        <v>161</v>
      </c>
      <c r="L439" t="s">
        <v>1639</v>
      </c>
      <c r="M439" t="s">
        <v>129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248</v>
      </c>
      <c r="U439" t="s">
        <v>190</v>
      </c>
      <c r="V439" s="2">
        <f t="shared" si="80"/>
        <v>0.05</v>
      </c>
      <c r="W439" s="2">
        <f t="shared" si="81"/>
        <v>2886.6319999999996</v>
      </c>
      <c r="X439" s="2">
        <f>W439-R439</f>
        <v>1298.4019999999996</v>
      </c>
      <c r="Y439" s="2">
        <f t="shared" si="82"/>
        <v>0.44979824238073984</v>
      </c>
      <c r="Z439" s="2" t="str">
        <f t="shared" si="83"/>
        <v/>
      </c>
      <c r="AA439" s="2" t="e">
        <f t="shared" si="84"/>
        <v>#VALUE!</v>
      </c>
      <c r="AB439" s="2" t="e">
        <f t="shared" si="85"/>
        <v>#VALUE!</v>
      </c>
      <c r="AC439" s="2" t="str">
        <f t="shared" si="86"/>
        <v>Text Value Not Recognized as Date</v>
      </c>
      <c r="AD439" s="2">
        <f t="shared" si="87"/>
        <v>0</v>
      </c>
      <c r="AE439" s="2">
        <f t="shared" si="88"/>
        <v>0</v>
      </c>
      <c r="AH439" t="str">
        <f t="shared" si="92"/>
        <v>Aditi Sen</v>
      </c>
      <c r="AI439" t="str">
        <f t="shared" si="92"/>
        <v>Small Business</v>
      </c>
      <c r="AJ439" t="str">
        <f t="shared" si="92"/>
        <v>South</v>
      </c>
      <c r="AK439" t="str">
        <f t="shared" si="91"/>
        <v>Kerala</v>
      </c>
      <c r="AL439" t="str">
        <f t="shared" si="91"/>
        <v>Kochi</v>
      </c>
      <c r="AM439" t="str">
        <f t="shared" si="91"/>
        <v>Technology</v>
      </c>
      <c r="AN439" t="str">
        <f t="shared" si="91"/>
        <v>Accessories</v>
      </c>
      <c r="AO439" t="str">
        <f t="shared" si="89"/>
        <v>Same Day</v>
      </c>
      <c r="AP439" t="str">
        <f t="shared" si="90"/>
        <v>Failed</v>
      </c>
      <c r="AQ439" t="str">
        <f t="shared" si="90"/>
        <v>Returned</v>
      </c>
    </row>
    <row r="440" spans="1:43">
      <c r="A440" t="s">
        <v>1640</v>
      </c>
      <c r="B440" s="3">
        <v>45784</v>
      </c>
      <c r="C440" s="3">
        <v>45782</v>
      </c>
      <c r="D440" t="s">
        <v>1641</v>
      </c>
      <c r="E440" t="s">
        <v>165</v>
      </c>
      <c r="F440" t="s">
        <v>177</v>
      </c>
      <c r="G440" t="s">
        <v>123</v>
      </c>
      <c r="H440" t="s">
        <v>335</v>
      </c>
      <c r="I440" t="s">
        <v>336</v>
      </c>
      <c r="J440" t="s">
        <v>160</v>
      </c>
      <c r="K440" t="s">
        <v>266</v>
      </c>
      <c r="L440" t="s">
        <v>1642</v>
      </c>
      <c r="M440" t="s">
        <v>145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117</v>
      </c>
      <c r="U440" t="s">
        <v>118</v>
      </c>
      <c r="V440" s="2">
        <f t="shared" si="80"/>
        <v>0.2</v>
      </c>
      <c r="W440" s="2">
        <f t="shared" si="81"/>
        <v>1813.1759999999999</v>
      </c>
      <c r="X440" s="2">
        <f>W440-R440</f>
        <v>449.53599999999983</v>
      </c>
      <c r="Y440" s="2">
        <f t="shared" si="82"/>
        <v>0.24792739370033567</v>
      </c>
      <c r="Z440" s="2">
        <f t="shared" si="83"/>
        <v>-2</v>
      </c>
      <c r="AA440" s="2">
        <f t="shared" si="84"/>
        <v>5</v>
      </c>
      <c r="AB440" s="2">
        <f t="shared" si="85"/>
        <v>2025</v>
      </c>
      <c r="AC440" s="2" t="str">
        <f t="shared" si="86"/>
        <v>Invalid shipping record</v>
      </c>
      <c r="AD440" s="2">
        <f t="shared" si="87"/>
        <v>0</v>
      </c>
      <c r="AE440" s="2">
        <f t="shared" si="88"/>
        <v>0</v>
      </c>
      <c r="AH440" t="str">
        <f t="shared" si="92"/>
        <v>Neha Gupta</v>
      </c>
      <c r="AI440" t="str">
        <f t="shared" si="92"/>
        <v>Corporate</v>
      </c>
      <c r="AJ440" t="str">
        <f t="shared" si="92"/>
        <v>East</v>
      </c>
      <c r="AK440" t="str">
        <f t="shared" si="91"/>
        <v>Jharkhand</v>
      </c>
      <c r="AL440" t="str">
        <f t="shared" si="91"/>
        <v>Ranchi</v>
      </c>
      <c r="AM440" t="str">
        <f t="shared" si="91"/>
        <v>Technology</v>
      </c>
      <c r="AN440" t="str">
        <f t="shared" si="91"/>
        <v>Phones</v>
      </c>
      <c r="AO440" t="str">
        <f t="shared" si="89"/>
        <v>Standard Class</v>
      </c>
      <c r="AP440" t="str">
        <f t="shared" si="90"/>
        <v>Paid</v>
      </c>
      <c r="AQ440" t="str">
        <f t="shared" si="90"/>
        <v>Completed</v>
      </c>
    </row>
    <row r="441" spans="1:43">
      <c r="A441" t="s">
        <v>1643</v>
      </c>
      <c r="B441" s="3" t="s">
        <v>1644</v>
      </c>
      <c r="C441" s="3">
        <v>45841</v>
      </c>
      <c r="D441" t="s">
        <v>1645</v>
      </c>
      <c r="E441" t="s">
        <v>218</v>
      </c>
      <c r="F441" t="s">
        <v>182</v>
      </c>
      <c r="G441" t="s">
        <v>149</v>
      </c>
      <c r="H441" t="s">
        <v>287</v>
      </c>
      <c r="I441" t="s">
        <v>288</v>
      </c>
      <c r="J441" t="s">
        <v>113</v>
      </c>
      <c r="K441" t="s">
        <v>213</v>
      </c>
      <c r="L441" t="s">
        <v>1646</v>
      </c>
      <c r="M441" t="s">
        <v>129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189</v>
      </c>
      <c r="U441" t="s">
        <v>190</v>
      </c>
      <c r="V441" s="2">
        <f t="shared" si="80"/>
        <v>0</v>
      </c>
      <c r="W441" s="2">
        <f t="shared" si="81"/>
        <v>3326.25</v>
      </c>
      <c r="X441" s="2">
        <f>W441-R441</f>
        <v>636.88999999999987</v>
      </c>
      <c r="Y441" s="2">
        <f t="shared" si="82"/>
        <v>0.19147388199924836</v>
      </c>
      <c r="Z441" s="2" t="str">
        <f t="shared" si="83"/>
        <v/>
      </c>
      <c r="AA441" s="2" t="e">
        <f t="shared" si="84"/>
        <v>#VALUE!</v>
      </c>
      <c r="AB441" s="2" t="e">
        <f t="shared" si="85"/>
        <v>#VALUE!</v>
      </c>
      <c r="AC441" s="2" t="str">
        <f t="shared" si="86"/>
        <v>Text Value Not Recognized as Date</v>
      </c>
      <c r="AD441" s="2">
        <f t="shared" si="87"/>
        <v>0</v>
      </c>
      <c r="AE441" s="2">
        <f t="shared" si="88"/>
        <v>0</v>
      </c>
      <c r="AH441" t="str">
        <f t="shared" si="92"/>
        <v>Aarav Sharma</v>
      </c>
      <c r="AI441" t="str">
        <f t="shared" si="92"/>
        <v>Home Office</v>
      </c>
      <c r="AJ441" t="str">
        <f t="shared" si="92"/>
        <v>West</v>
      </c>
      <c r="AK441" t="str">
        <f t="shared" si="91"/>
        <v>Goa</v>
      </c>
      <c r="AL441" t="str">
        <f t="shared" si="91"/>
        <v>Panaji</v>
      </c>
      <c r="AM441" t="str">
        <f t="shared" si="91"/>
        <v>Office Supplies</v>
      </c>
      <c r="AN441" t="str">
        <f t="shared" si="91"/>
        <v>Storage</v>
      </c>
      <c r="AO441" t="str">
        <f t="shared" si="89"/>
        <v>Same Day</v>
      </c>
      <c r="AP441" t="str">
        <f t="shared" si="90"/>
        <v>Refunded</v>
      </c>
      <c r="AQ441" t="str">
        <f t="shared" si="90"/>
        <v>Returned</v>
      </c>
    </row>
    <row r="442" spans="1:43">
      <c r="A442" t="s">
        <v>1647</v>
      </c>
      <c r="B442" s="3">
        <v>45384</v>
      </c>
      <c r="C442" s="3">
        <v>45390</v>
      </c>
      <c r="D442" t="s">
        <v>381</v>
      </c>
      <c r="E442" t="s">
        <v>157</v>
      </c>
      <c r="F442" t="s">
        <v>177</v>
      </c>
      <c r="G442" t="s">
        <v>123</v>
      </c>
      <c r="H442" t="s">
        <v>124</v>
      </c>
      <c r="I442" t="s">
        <v>125</v>
      </c>
      <c r="J442" t="s">
        <v>160</v>
      </c>
      <c r="K442" t="s">
        <v>385</v>
      </c>
      <c r="L442" t="s">
        <v>1648</v>
      </c>
      <c r="M442" t="s">
        <v>116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117</v>
      </c>
      <c r="U442" t="s">
        <v>118</v>
      </c>
      <c r="V442" s="2">
        <f t="shared" si="80"/>
        <v>0.2</v>
      </c>
      <c r="W442" s="2">
        <f t="shared" si="81"/>
        <v>17869.632000000001</v>
      </c>
      <c r="X442" s="2">
        <f>W442-R442</f>
        <v>5705.8320000000022</v>
      </c>
      <c r="Y442" s="2">
        <f t="shared" si="82"/>
        <v>0.31930327384469931</v>
      </c>
      <c r="Z442" s="2">
        <f t="shared" si="83"/>
        <v>6</v>
      </c>
      <c r="AA442" s="2">
        <f t="shared" si="84"/>
        <v>4</v>
      </c>
      <c r="AB442" s="2">
        <f t="shared" si="85"/>
        <v>2024</v>
      </c>
      <c r="AC442" s="2" t="str">
        <f t="shared" si="86"/>
        <v>Valid</v>
      </c>
      <c r="AD442" s="2">
        <f t="shared" si="87"/>
        <v>0</v>
      </c>
      <c r="AE442" s="2">
        <f t="shared" si="88"/>
        <v>0</v>
      </c>
      <c r="AH442" t="str">
        <f t="shared" si="92"/>
        <v>Vikram Iyer</v>
      </c>
      <c r="AI442" t="str">
        <f t="shared" si="92"/>
        <v>Corporate</v>
      </c>
      <c r="AJ442" t="str">
        <f t="shared" si="92"/>
        <v>East</v>
      </c>
      <c r="AK442" t="str">
        <f t="shared" si="91"/>
        <v>Odisha</v>
      </c>
      <c r="AL442" t="str">
        <f t="shared" si="91"/>
        <v>Bhubaneswar</v>
      </c>
      <c r="AM442" t="str">
        <f t="shared" si="91"/>
        <v>Technology</v>
      </c>
      <c r="AN442" t="str">
        <f t="shared" si="91"/>
        <v>Machines</v>
      </c>
      <c r="AO442" t="str">
        <f t="shared" si="89"/>
        <v>Second Class</v>
      </c>
      <c r="AP442" t="str">
        <f t="shared" si="90"/>
        <v>Paid</v>
      </c>
      <c r="AQ442" t="str">
        <f t="shared" si="90"/>
        <v>Completed</v>
      </c>
    </row>
    <row r="443" spans="1:43">
      <c r="A443" t="s">
        <v>1649</v>
      </c>
      <c r="B443" s="3">
        <v>45361</v>
      </c>
      <c r="C443" s="3">
        <v>45568</v>
      </c>
      <c r="D443" t="s">
        <v>1650</v>
      </c>
      <c r="E443" t="s">
        <v>108</v>
      </c>
      <c r="F443" t="s">
        <v>109</v>
      </c>
      <c r="G443" t="s">
        <v>123</v>
      </c>
      <c r="H443" t="s">
        <v>237</v>
      </c>
      <c r="I443" t="s">
        <v>238</v>
      </c>
      <c r="J443" t="s">
        <v>126</v>
      </c>
      <c r="K443" t="s">
        <v>252</v>
      </c>
      <c r="L443" t="s">
        <v>1651</v>
      </c>
      <c r="M443" t="s">
        <v>145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117</v>
      </c>
      <c r="U443" t="s">
        <v>44</v>
      </c>
      <c r="V443" s="2">
        <f t="shared" si="80"/>
        <v>0</v>
      </c>
      <c r="W443" s="2">
        <f t="shared" si="81"/>
        <v>25304.94</v>
      </c>
      <c r="X443" s="2">
        <f>W443-R443</f>
        <v>4532.989999999998</v>
      </c>
      <c r="Y443" s="2">
        <f t="shared" si="82"/>
        <v>0.17913458795002077</v>
      </c>
      <c r="Z443" s="2">
        <f t="shared" si="83"/>
        <v>207</v>
      </c>
      <c r="AA443" s="2">
        <f t="shared" si="84"/>
        <v>3</v>
      </c>
      <c r="AB443" s="2">
        <f t="shared" si="85"/>
        <v>2024</v>
      </c>
      <c r="AC443" s="2" t="str">
        <f t="shared" si="86"/>
        <v>Valid</v>
      </c>
      <c r="AD443" s="2">
        <f t="shared" si="87"/>
        <v>0</v>
      </c>
      <c r="AE443" s="2">
        <f t="shared" si="88"/>
        <v>0</v>
      </c>
      <c r="AH443" t="str">
        <f t="shared" si="92"/>
        <v>Karan Malhotra</v>
      </c>
      <c r="AI443" t="str">
        <f t="shared" si="92"/>
        <v>Consumer</v>
      </c>
      <c r="AJ443" t="str">
        <f t="shared" si="92"/>
        <v>East</v>
      </c>
      <c r="AK443" t="str">
        <f t="shared" si="91"/>
        <v>Bihar</v>
      </c>
      <c r="AL443" t="str">
        <f t="shared" si="91"/>
        <v>Patna</v>
      </c>
      <c r="AM443" t="str">
        <f t="shared" si="91"/>
        <v>Furniture</v>
      </c>
      <c r="AN443" t="str">
        <f t="shared" si="91"/>
        <v>Bookcases</v>
      </c>
      <c r="AO443" t="str">
        <f t="shared" si="89"/>
        <v>Standard Class</v>
      </c>
      <c r="AP443" t="str">
        <f t="shared" si="90"/>
        <v>Paid</v>
      </c>
      <c r="AQ443" t="str">
        <f t="shared" si="90"/>
        <v>Cancelled</v>
      </c>
    </row>
    <row r="444" spans="1:43">
      <c r="A444" t="s">
        <v>1652</v>
      </c>
      <c r="B444" s="3">
        <v>45669</v>
      </c>
      <c r="C444" s="3">
        <v>45676</v>
      </c>
      <c r="D444" t="s">
        <v>1653</v>
      </c>
      <c r="E444" t="s">
        <v>218</v>
      </c>
      <c r="F444" t="s">
        <v>109</v>
      </c>
      <c r="G444" t="s">
        <v>123</v>
      </c>
      <c r="H444" t="s">
        <v>335</v>
      </c>
      <c r="I444" t="s">
        <v>336</v>
      </c>
      <c r="J444" t="s">
        <v>126</v>
      </c>
      <c r="K444" t="s">
        <v>127</v>
      </c>
      <c r="L444" t="s">
        <v>1654</v>
      </c>
      <c r="M444" t="s">
        <v>135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117</v>
      </c>
      <c r="U444" t="s">
        <v>118</v>
      </c>
      <c r="V444" s="2">
        <f t="shared" si="80"/>
        <v>0</v>
      </c>
      <c r="W444" s="2">
        <f t="shared" si="81"/>
        <v>1842.31</v>
      </c>
      <c r="X444" s="2">
        <f>W444-R444</f>
        <v>823.14</v>
      </c>
      <c r="Y444" s="2">
        <f t="shared" si="82"/>
        <v>0.44679777019068451</v>
      </c>
      <c r="Z444" s="2">
        <f t="shared" si="83"/>
        <v>7</v>
      </c>
      <c r="AA444" s="2">
        <f t="shared" si="84"/>
        <v>1</v>
      </c>
      <c r="AB444" s="2">
        <f t="shared" si="85"/>
        <v>2025</v>
      </c>
      <c r="AC444" s="2" t="str">
        <f t="shared" si="86"/>
        <v>Valid</v>
      </c>
      <c r="AD444" s="2">
        <f t="shared" si="87"/>
        <v>0</v>
      </c>
      <c r="AE444" s="2">
        <f t="shared" si="88"/>
        <v>0</v>
      </c>
      <c r="AH444" t="str">
        <f t="shared" si="92"/>
        <v>Aarav Sharma</v>
      </c>
      <c r="AI444" t="str">
        <f t="shared" si="92"/>
        <v>Consumer</v>
      </c>
      <c r="AJ444" t="str">
        <f t="shared" si="92"/>
        <v>East</v>
      </c>
      <c r="AK444" t="str">
        <f t="shared" si="91"/>
        <v>Jharkhand</v>
      </c>
      <c r="AL444" t="str">
        <f t="shared" si="91"/>
        <v>Ranchi</v>
      </c>
      <c r="AM444" t="str">
        <f t="shared" si="91"/>
        <v>Furniture</v>
      </c>
      <c r="AN444" t="str">
        <f t="shared" si="91"/>
        <v>Tables</v>
      </c>
      <c r="AO444" t="str">
        <f t="shared" si="89"/>
        <v>First Class</v>
      </c>
      <c r="AP444" t="str">
        <f t="shared" si="90"/>
        <v>Paid</v>
      </c>
      <c r="AQ444" t="str">
        <f t="shared" si="90"/>
        <v>Completed</v>
      </c>
    </row>
    <row r="445" spans="1:43">
      <c r="A445" t="s">
        <v>1655</v>
      </c>
      <c r="B445" s="3">
        <v>45386</v>
      </c>
      <c r="C445" s="3">
        <v>45389</v>
      </c>
      <c r="D445" t="s">
        <v>1656</v>
      </c>
      <c r="E445" t="s">
        <v>232</v>
      </c>
      <c r="F445" t="s">
        <v>182</v>
      </c>
      <c r="G445" t="s">
        <v>123</v>
      </c>
      <c r="H445" t="s">
        <v>124</v>
      </c>
      <c r="I445" t="s">
        <v>125</v>
      </c>
      <c r="J445" t="s">
        <v>126</v>
      </c>
      <c r="K445" t="s">
        <v>143</v>
      </c>
      <c r="L445" t="s">
        <v>1657</v>
      </c>
      <c r="M445" t="s">
        <v>135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117</v>
      </c>
      <c r="U445" t="s">
        <v>118</v>
      </c>
      <c r="V445" s="2">
        <f t="shared" si="80"/>
        <v>0.1</v>
      </c>
      <c r="W445" s="2">
        <f t="shared" si="81"/>
        <v>3315.375</v>
      </c>
      <c r="X445" s="2">
        <f>W445-R445</f>
        <v>967.69500000000016</v>
      </c>
      <c r="Y445" s="2">
        <f t="shared" si="82"/>
        <v>0.29188100893564084</v>
      </c>
      <c r="Z445" s="2">
        <f t="shared" si="83"/>
        <v>3</v>
      </c>
      <c r="AA445" s="2">
        <f t="shared" si="84"/>
        <v>4</v>
      </c>
      <c r="AB445" s="2">
        <f t="shared" si="85"/>
        <v>2024</v>
      </c>
      <c r="AC445" s="2" t="str">
        <f t="shared" si="86"/>
        <v>Valid</v>
      </c>
      <c r="AD445" s="2">
        <f t="shared" si="87"/>
        <v>0</v>
      </c>
      <c r="AE445" s="2">
        <f t="shared" si="88"/>
        <v>0</v>
      </c>
      <c r="AH445" t="str">
        <f t="shared" si="92"/>
        <v>Rohan Mehta</v>
      </c>
      <c r="AI445" t="str">
        <f t="shared" si="92"/>
        <v>Home Office</v>
      </c>
      <c r="AJ445" t="str">
        <f t="shared" si="92"/>
        <v>East</v>
      </c>
      <c r="AK445" t="str">
        <f t="shared" si="91"/>
        <v>Odisha</v>
      </c>
      <c r="AL445" t="str">
        <f t="shared" si="91"/>
        <v>Bhubaneswar</v>
      </c>
      <c r="AM445" t="str">
        <f t="shared" si="91"/>
        <v>Furniture</v>
      </c>
      <c r="AN445" t="str">
        <f t="shared" si="91"/>
        <v>Furnishings</v>
      </c>
      <c r="AO445" t="str">
        <f t="shared" si="89"/>
        <v>First Class</v>
      </c>
      <c r="AP445" t="str">
        <f t="shared" si="90"/>
        <v>Paid</v>
      </c>
      <c r="AQ445" t="str">
        <f t="shared" si="90"/>
        <v>Completed</v>
      </c>
    </row>
    <row r="446" spans="1:43">
      <c r="A446" t="s">
        <v>1658</v>
      </c>
      <c r="B446" s="3">
        <v>45881</v>
      </c>
      <c r="C446" s="3">
        <v>45885</v>
      </c>
      <c r="D446" t="s">
        <v>1659</v>
      </c>
      <c r="E446" t="s">
        <v>148</v>
      </c>
      <c r="F446" t="s">
        <v>109</v>
      </c>
      <c r="G446" t="s">
        <v>123</v>
      </c>
      <c r="H446" t="s">
        <v>260</v>
      </c>
      <c r="I446" t="s">
        <v>261</v>
      </c>
      <c r="J446" t="s">
        <v>160</v>
      </c>
      <c r="K446" t="s">
        <v>161</v>
      </c>
      <c r="L446" t="s">
        <v>1660</v>
      </c>
      <c r="M446" t="s">
        <v>129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117</v>
      </c>
      <c r="U446" t="s">
        <v>118</v>
      </c>
      <c r="V446" s="2">
        <f t="shared" si="80"/>
        <v>0.05</v>
      </c>
      <c r="W446" s="2">
        <f t="shared" si="81"/>
        <v>20342.501999999997</v>
      </c>
      <c r="X446" s="2">
        <f>W446-R446</f>
        <v>7934.9919999999966</v>
      </c>
      <c r="Y446" s="2">
        <f t="shared" si="82"/>
        <v>0.39006961877157481</v>
      </c>
      <c r="Z446" s="2">
        <f t="shared" si="83"/>
        <v>4</v>
      </c>
      <c r="AA446" s="2">
        <f t="shared" si="84"/>
        <v>8</v>
      </c>
      <c r="AB446" s="2">
        <f t="shared" si="85"/>
        <v>2025</v>
      </c>
      <c r="AC446" s="2" t="str">
        <f t="shared" si="86"/>
        <v>Valid</v>
      </c>
      <c r="AD446" s="2">
        <f t="shared" si="87"/>
        <v>0</v>
      </c>
      <c r="AE446" s="2">
        <f t="shared" si="88"/>
        <v>0</v>
      </c>
      <c r="AH446" t="str">
        <f t="shared" si="92"/>
        <v>Ananya Rao</v>
      </c>
      <c r="AI446" t="str">
        <f t="shared" si="92"/>
        <v>Consumer</v>
      </c>
      <c r="AJ446" t="str">
        <f t="shared" si="92"/>
        <v>East</v>
      </c>
      <c r="AK446" t="str">
        <f t="shared" si="91"/>
        <v>Assam</v>
      </c>
      <c r="AL446" t="str">
        <f t="shared" si="91"/>
        <v>Guwahati</v>
      </c>
      <c r="AM446" t="str">
        <f t="shared" si="91"/>
        <v>Technology</v>
      </c>
      <c r="AN446" t="str">
        <f t="shared" si="91"/>
        <v>Accessories</v>
      </c>
      <c r="AO446" t="str">
        <f t="shared" si="89"/>
        <v>Same Day</v>
      </c>
      <c r="AP446" t="str">
        <f t="shared" si="90"/>
        <v>Paid</v>
      </c>
      <c r="AQ446" t="str">
        <f t="shared" si="90"/>
        <v>Completed</v>
      </c>
    </row>
    <row r="447" spans="1:43">
      <c r="A447" t="s">
        <v>1661</v>
      </c>
      <c r="B447" s="3">
        <v>45421</v>
      </c>
      <c r="C447" s="3">
        <v>45417</v>
      </c>
      <c r="D447" t="s">
        <v>1662</v>
      </c>
      <c r="E447" t="s">
        <v>139</v>
      </c>
      <c r="F447" t="s">
        <v>109</v>
      </c>
      <c r="G447" t="s">
        <v>123</v>
      </c>
      <c r="H447" t="s">
        <v>260</v>
      </c>
      <c r="I447" t="s">
        <v>261</v>
      </c>
      <c r="J447" t="s">
        <v>126</v>
      </c>
      <c r="K447" t="s">
        <v>252</v>
      </c>
      <c r="L447" t="s">
        <v>1663</v>
      </c>
      <c r="M447" t="s">
        <v>129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117</v>
      </c>
      <c r="U447" t="s">
        <v>118</v>
      </c>
      <c r="V447" s="2">
        <f t="shared" si="80"/>
        <v>0.2</v>
      </c>
      <c r="W447" s="2">
        <f t="shared" si="81"/>
        <v>3377.9680000000003</v>
      </c>
      <c r="X447" s="2">
        <f>W447-R447</f>
        <v>881.67800000000034</v>
      </c>
      <c r="Y447" s="2">
        <f t="shared" si="82"/>
        <v>0.26100839321154029</v>
      </c>
      <c r="Z447" s="2">
        <f t="shared" si="83"/>
        <v>-4</v>
      </c>
      <c r="AA447" s="2">
        <f t="shared" si="84"/>
        <v>5</v>
      </c>
      <c r="AB447" s="2">
        <f t="shared" si="85"/>
        <v>2024</v>
      </c>
      <c r="AC447" s="2" t="str">
        <f t="shared" si="86"/>
        <v>Invalid shipping record</v>
      </c>
      <c r="AD447" s="2">
        <f t="shared" si="87"/>
        <v>0</v>
      </c>
      <c r="AE447" s="2">
        <f t="shared" si="88"/>
        <v>0</v>
      </c>
      <c r="AH447" t="str">
        <f t="shared" si="92"/>
        <v>Arjun Bose</v>
      </c>
      <c r="AI447" t="str">
        <f t="shared" si="92"/>
        <v>Consumer</v>
      </c>
      <c r="AJ447" t="str">
        <f t="shared" si="92"/>
        <v>East</v>
      </c>
      <c r="AK447" t="str">
        <f t="shared" si="91"/>
        <v>Assam</v>
      </c>
      <c r="AL447" t="str">
        <f t="shared" si="91"/>
        <v>Guwahati</v>
      </c>
      <c r="AM447" t="str">
        <f t="shared" si="91"/>
        <v>Furniture</v>
      </c>
      <c r="AN447" t="str">
        <f t="shared" si="91"/>
        <v>Bookcases</v>
      </c>
      <c r="AO447" t="str">
        <f t="shared" si="89"/>
        <v>Same Day</v>
      </c>
      <c r="AP447" t="str">
        <f t="shared" si="90"/>
        <v>Paid</v>
      </c>
      <c r="AQ447" t="str">
        <f t="shared" si="90"/>
        <v>Completed</v>
      </c>
    </row>
    <row r="448" spans="1:43">
      <c r="A448" t="s">
        <v>1664</v>
      </c>
      <c r="B448" s="3" t="s">
        <v>1665</v>
      </c>
      <c r="C448" s="3" t="s">
        <v>1666</v>
      </c>
      <c r="D448" t="s">
        <v>1667</v>
      </c>
      <c r="E448" t="s">
        <v>222</v>
      </c>
      <c r="F448" t="s">
        <v>182</v>
      </c>
      <c r="G448" t="s">
        <v>140</v>
      </c>
      <c r="H448" t="s">
        <v>171</v>
      </c>
      <c r="I448" t="s">
        <v>172</v>
      </c>
      <c r="J448" t="s">
        <v>113</v>
      </c>
      <c r="K448" t="s">
        <v>213</v>
      </c>
      <c r="L448" t="s">
        <v>1668</v>
      </c>
      <c r="M448" t="s">
        <v>129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117</v>
      </c>
      <c r="U448" t="s">
        <v>118</v>
      </c>
      <c r="V448" s="2">
        <f t="shared" si="80"/>
        <v>0</v>
      </c>
      <c r="W448" s="2">
        <f t="shared" si="81"/>
        <v>33940.080000000002</v>
      </c>
      <c r="X448" s="2">
        <f>W448-R448</f>
        <v>10185.890000000003</v>
      </c>
      <c r="Y448" s="2">
        <f t="shared" si="82"/>
        <v>0.30011390662603044</v>
      </c>
      <c r="Z448" s="2" t="str">
        <f t="shared" si="83"/>
        <v/>
      </c>
      <c r="AA448" s="2" t="e">
        <f t="shared" si="84"/>
        <v>#VALUE!</v>
      </c>
      <c r="AB448" s="2" t="e">
        <f t="shared" si="85"/>
        <v>#VALUE!</v>
      </c>
      <c r="AC448" s="2" t="str">
        <f t="shared" si="86"/>
        <v>Text Value Not Recognized as Date</v>
      </c>
      <c r="AD448" s="2">
        <f t="shared" si="87"/>
        <v>0</v>
      </c>
      <c r="AE448" s="2">
        <f t="shared" si="88"/>
        <v>0</v>
      </c>
      <c r="AH448" t="str">
        <f t="shared" si="92"/>
        <v>Sneha Kapoor</v>
      </c>
      <c r="AI448" t="str">
        <f t="shared" si="92"/>
        <v>Home Office</v>
      </c>
      <c r="AJ448" t="str">
        <f t="shared" si="92"/>
        <v>South</v>
      </c>
      <c r="AK448" t="str">
        <f t="shared" si="91"/>
        <v>Andhra Pradesh</v>
      </c>
      <c r="AL448" t="str">
        <f t="shared" si="91"/>
        <v>Vijayawada</v>
      </c>
      <c r="AM448" t="str">
        <f t="shared" si="91"/>
        <v>Office Supplies</v>
      </c>
      <c r="AN448" t="str">
        <f t="shared" si="91"/>
        <v>Storage</v>
      </c>
      <c r="AO448" t="str">
        <f t="shared" si="89"/>
        <v>Same Day</v>
      </c>
      <c r="AP448" t="str">
        <f t="shared" si="90"/>
        <v>Paid</v>
      </c>
      <c r="AQ448" t="str">
        <f t="shared" si="90"/>
        <v>Completed</v>
      </c>
    </row>
    <row r="449" spans="1:43">
      <c r="A449" t="s">
        <v>1669</v>
      </c>
      <c r="B449" s="3">
        <v>45938</v>
      </c>
      <c r="C449" s="3">
        <v>45879</v>
      </c>
      <c r="D449" t="s">
        <v>1670</v>
      </c>
      <c r="E449" t="s">
        <v>232</v>
      </c>
      <c r="F449" t="s">
        <v>182</v>
      </c>
      <c r="G449" t="s">
        <v>140</v>
      </c>
      <c r="H449" t="s">
        <v>141</v>
      </c>
      <c r="I449" t="s">
        <v>142</v>
      </c>
      <c r="J449" t="s">
        <v>126</v>
      </c>
      <c r="K449" t="s">
        <v>252</v>
      </c>
      <c r="L449" t="s">
        <v>1671</v>
      </c>
      <c r="M449" t="s">
        <v>145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199</v>
      </c>
      <c r="U449" t="s">
        <v>190</v>
      </c>
      <c r="V449" s="2">
        <f t="shared" si="80"/>
        <v>0.15</v>
      </c>
      <c r="W449" s="2">
        <f t="shared" si="81"/>
        <v>21872.369999999995</v>
      </c>
      <c r="X449" s="2">
        <f>W449-R449</f>
        <v>8042.8699999999953</v>
      </c>
      <c r="Y449" s="2">
        <f t="shared" si="82"/>
        <v>0.36771826738483288</v>
      </c>
      <c r="Z449" s="2">
        <f t="shared" si="83"/>
        <v>-59</v>
      </c>
      <c r="AA449" s="2">
        <f t="shared" si="84"/>
        <v>10</v>
      </c>
      <c r="AB449" s="2">
        <f t="shared" si="85"/>
        <v>2025</v>
      </c>
      <c r="AC449" s="2" t="str">
        <f t="shared" si="86"/>
        <v>Invalid shipping record</v>
      </c>
      <c r="AD449" s="2">
        <f t="shared" si="87"/>
        <v>0</v>
      </c>
      <c r="AE449" s="2">
        <f t="shared" si="88"/>
        <v>0</v>
      </c>
      <c r="AH449" t="str">
        <f t="shared" si="92"/>
        <v>Rohan Mehta</v>
      </c>
      <c r="AI449" t="str">
        <f t="shared" si="92"/>
        <v>Home Office</v>
      </c>
      <c r="AJ449" t="str">
        <f t="shared" si="92"/>
        <v>South</v>
      </c>
      <c r="AK449" t="str">
        <f t="shared" si="91"/>
        <v>Telangana</v>
      </c>
      <c r="AL449" t="str">
        <f t="shared" si="91"/>
        <v>Hyderabad</v>
      </c>
      <c r="AM449" t="str">
        <f t="shared" si="91"/>
        <v>Furniture</v>
      </c>
      <c r="AN449" t="str">
        <f t="shared" si="91"/>
        <v>Bookcases</v>
      </c>
      <c r="AO449" t="str">
        <f t="shared" si="89"/>
        <v>Standard Class</v>
      </c>
      <c r="AP449" t="str">
        <f t="shared" si="90"/>
        <v>Pending</v>
      </c>
      <c r="AQ449" t="str">
        <f t="shared" si="90"/>
        <v>Returned</v>
      </c>
    </row>
    <row r="450" spans="1:43">
      <c r="A450" t="s">
        <v>1672</v>
      </c>
      <c r="B450" s="3">
        <v>45306</v>
      </c>
      <c r="C450" s="3">
        <v>45309</v>
      </c>
      <c r="D450" t="s">
        <v>1673</v>
      </c>
      <c r="E450" t="s">
        <v>121</v>
      </c>
      <c r="F450" t="s">
        <v>122</v>
      </c>
      <c r="G450" t="s">
        <v>140</v>
      </c>
      <c r="H450" t="s">
        <v>171</v>
      </c>
      <c r="I450" t="s">
        <v>172</v>
      </c>
      <c r="J450" t="s">
        <v>126</v>
      </c>
      <c r="K450" t="s">
        <v>152</v>
      </c>
      <c r="L450" t="s">
        <v>1674</v>
      </c>
      <c r="M450" t="s">
        <v>135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117</v>
      </c>
      <c r="U450" t="s">
        <v>118</v>
      </c>
      <c r="V450" s="2">
        <f t="shared" si="80"/>
        <v>0.15</v>
      </c>
      <c r="W450" s="2">
        <f t="shared" si="81"/>
        <v>342.05700000000002</v>
      </c>
      <c r="X450" s="2">
        <f>W450-R450</f>
        <v>97.487000000000023</v>
      </c>
      <c r="Y450" s="2">
        <f t="shared" si="82"/>
        <v>0.28500220723446684</v>
      </c>
      <c r="Z450" s="2">
        <f t="shared" si="83"/>
        <v>3</v>
      </c>
      <c r="AA450" s="2">
        <f t="shared" si="84"/>
        <v>1</v>
      </c>
      <c r="AB450" s="2">
        <f t="shared" si="85"/>
        <v>2024</v>
      </c>
      <c r="AC450" s="2" t="str">
        <f t="shared" si="86"/>
        <v>Valid</v>
      </c>
      <c r="AD450" s="2">
        <f t="shared" si="87"/>
        <v>0</v>
      </c>
      <c r="AE450" s="2">
        <f t="shared" si="88"/>
        <v>0</v>
      </c>
      <c r="AH450" t="str">
        <f t="shared" si="92"/>
        <v>Mira Das</v>
      </c>
      <c r="AI450" t="str">
        <f t="shared" si="92"/>
        <v>Small Business</v>
      </c>
      <c r="AJ450" t="str">
        <f t="shared" si="92"/>
        <v>South</v>
      </c>
      <c r="AK450" t="str">
        <f t="shared" si="91"/>
        <v>Andhra Pradesh</v>
      </c>
      <c r="AL450" t="str">
        <f t="shared" si="91"/>
        <v>Vijayawada</v>
      </c>
      <c r="AM450" t="str">
        <f t="shared" si="91"/>
        <v>Furniture</v>
      </c>
      <c r="AN450" t="str">
        <f t="shared" si="91"/>
        <v>Chairs</v>
      </c>
      <c r="AO450" t="str">
        <f t="shared" si="89"/>
        <v>First Class</v>
      </c>
      <c r="AP450" t="str">
        <f t="shared" si="90"/>
        <v>Paid</v>
      </c>
      <c r="AQ450" t="str">
        <f t="shared" si="90"/>
        <v>Completed</v>
      </c>
    </row>
    <row r="451" spans="1:43">
      <c r="A451" t="s">
        <v>1675</v>
      </c>
      <c r="B451" s="3">
        <v>45449</v>
      </c>
      <c r="C451" s="3">
        <v>45456</v>
      </c>
      <c r="D451" t="s">
        <v>1557</v>
      </c>
      <c r="E451" t="s">
        <v>176</v>
      </c>
      <c r="F451" t="s">
        <v>177</v>
      </c>
      <c r="G451" t="s">
        <v>123</v>
      </c>
      <c r="H451" t="s">
        <v>260</v>
      </c>
      <c r="I451" t="s">
        <v>261</v>
      </c>
      <c r="J451" t="s">
        <v>160</v>
      </c>
      <c r="K451" t="s">
        <v>385</v>
      </c>
      <c r="L451" t="s">
        <v>1676</v>
      </c>
      <c r="M451" t="s">
        <v>116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117</v>
      </c>
      <c r="U451" t="s">
        <v>118</v>
      </c>
      <c r="V451" s="2">
        <f t="shared" ref="V451:V514" si="93">IF(ISBLANK(P451), 0, P451)</f>
        <v>0</v>
      </c>
      <c r="W451" s="2">
        <f t="shared" ref="W451:W514" si="94">N451 * O451 * (1 - P451)</f>
        <v>19622.16</v>
      </c>
      <c r="X451" s="2">
        <f>W451-R451</f>
        <v>5350.8899999999994</v>
      </c>
      <c r="Y451" s="2">
        <f t="shared" ref="Y451:Y514" si="95">IFERROR(X451 / W451, 0)</f>
        <v>0.27269627808559299</v>
      </c>
      <c r="Z451" s="2">
        <f t="shared" ref="Z451:Z514" si="96">IF(OR(ISBLANK(B451), ISBLANK(C451), ISTEXT(B451), ISTEXT(C451)), "", C451 - B451)</f>
        <v>7</v>
      </c>
      <c r="AA451" s="2">
        <f t="shared" ref="AA451:AA514" si="97">MONTH(B451)</f>
        <v>6</v>
      </c>
      <c r="AB451" s="2">
        <f t="shared" ref="AB451:AB514" si="98">YEAR(B451)</f>
        <v>2024</v>
      </c>
      <c r="AC451" s="2" t="str">
        <f t="shared" ref="AC451:AC514" si="99">IF(COUNTIF(A:A, A451) &gt; 1, "Conflicting Duplicate Order ID",
 IF(OR(G451="Unknown", ISBLANK(G451)), "Missing region",
 IF(OR(M451="Unknown", ISBLANK(M451)), "Missing ship_mode",
 IF(OR(ISBLANK(B451), ISBLANK(C451)), "Missing Date",
 IF(OR(ISTEXT(B451), ISTEXT(C451)), "Text Value Not Recognized as Date",
 IF(C451 &lt; B451, "Invalid shipping record",
 IF(P451 &lt; 0, "Invalid",
 IF(P451 &gt; 0.7, "Invalid",
 "Valid"))))))))</f>
        <v>Valid</v>
      </c>
      <c r="AD451" s="2">
        <f t="shared" ref="AD451:AD514" si="100">IF(ABS(Q451 - W451) &gt; 0.01, 1, 0)</f>
        <v>0</v>
      </c>
      <c r="AE451" s="2">
        <f t="shared" ref="AE451:AE514" si="101">IF(ABS(S451 - X451) &gt; 0.01, 1, 0)</f>
        <v>0</v>
      </c>
      <c r="AH451" t="str">
        <f t="shared" si="92"/>
        <v>Aditi Sen</v>
      </c>
      <c r="AI451" t="str">
        <f t="shared" si="92"/>
        <v>Corporate</v>
      </c>
      <c r="AJ451" t="str">
        <f t="shared" si="92"/>
        <v>East</v>
      </c>
      <c r="AK451" t="str">
        <f t="shared" si="91"/>
        <v>Assam</v>
      </c>
      <c r="AL451" t="str">
        <f t="shared" si="91"/>
        <v>Guwahati</v>
      </c>
      <c r="AM451" t="str">
        <f t="shared" si="91"/>
        <v>Technology</v>
      </c>
      <c r="AN451" t="str">
        <f t="shared" si="91"/>
        <v>Machines</v>
      </c>
      <c r="AO451" t="str">
        <f t="shared" ref="AO451:AO514" si="102">PROPER(TRIM(M451))</f>
        <v>Second Class</v>
      </c>
      <c r="AP451" t="str">
        <f t="shared" ref="AP451:AQ514" si="103">PROPER(TRIM(T451))</f>
        <v>Paid</v>
      </c>
      <c r="AQ451" t="str">
        <f t="shared" si="103"/>
        <v>Completed</v>
      </c>
    </row>
    <row r="452" spans="1:43">
      <c r="A452" t="s">
        <v>1677</v>
      </c>
      <c r="B452" s="3">
        <v>45820</v>
      </c>
      <c r="C452" s="3">
        <v>45827</v>
      </c>
      <c r="D452" t="s">
        <v>1678</v>
      </c>
      <c r="E452" t="s">
        <v>148</v>
      </c>
      <c r="F452" t="s">
        <v>177</v>
      </c>
      <c r="G452" t="s">
        <v>110</v>
      </c>
      <c r="H452" t="s">
        <v>465</v>
      </c>
      <c r="I452" t="s">
        <v>466</v>
      </c>
      <c r="J452" t="s">
        <v>126</v>
      </c>
      <c r="K452" t="s">
        <v>152</v>
      </c>
      <c r="L452" t="s">
        <v>1679</v>
      </c>
      <c r="M452" t="s">
        <v>145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117</v>
      </c>
      <c r="U452" t="s">
        <v>118</v>
      </c>
      <c r="V452" s="2">
        <f t="shared" si="93"/>
        <v>0.25</v>
      </c>
      <c r="W452" s="2">
        <f t="shared" si="94"/>
        <v>15380.3475</v>
      </c>
      <c r="X452" s="2">
        <f>W452-R452</f>
        <v>5472.9774999999991</v>
      </c>
      <c r="Y452" s="2">
        <f t="shared" si="95"/>
        <v>0.35584225258889624</v>
      </c>
      <c r="Z452" s="2">
        <f t="shared" si="96"/>
        <v>7</v>
      </c>
      <c r="AA452" s="2">
        <f t="shared" si="97"/>
        <v>6</v>
      </c>
      <c r="AB452" s="2">
        <f t="shared" si="98"/>
        <v>2025</v>
      </c>
      <c r="AC452" s="2" t="str">
        <f t="shared" si="99"/>
        <v>Valid</v>
      </c>
      <c r="AD452" s="2">
        <f t="shared" si="100"/>
        <v>0</v>
      </c>
      <c r="AE452" s="2">
        <f t="shared" si="101"/>
        <v>0</v>
      </c>
      <c r="AH452" t="str">
        <f t="shared" si="92"/>
        <v>Ananya Rao</v>
      </c>
      <c r="AI452" t="str">
        <f t="shared" si="92"/>
        <v>Corporate</v>
      </c>
      <c r="AJ452" t="str">
        <f t="shared" si="92"/>
        <v>North</v>
      </c>
      <c r="AK452" t="str">
        <f t="shared" si="91"/>
        <v>Delhi</v>
      </c>
      <c r="AL452" t="str">
        <f t="shared" si="91"/>
        <v>New Delhi</v>
      </c>
      <c r="AM452" t="str">
        <f t="shared" si="91"/>
        <v>Furniture</v>
      </c>
      <c r="AN452" t="str">
        <f t="shared" si="91"/>
        <v>Chairs</v>
      </c>
      <c r="AO452" t="str">
        <f t="shared" si="102"/>
        <v>Standard Class</v>
      </c>
      <c r="AP452" t="str">
        <f t="shared" si="103"/>
        <v>Paid</v>
      </c>
      <c r="AQ452" t="str">
        <f t="shared" si="103"/>
        <v>Completed</v>
      </c>
    </row>
    <row r="453" spans="1:43">
      <c r="A453" t="s">
        <v>1680</v>
      </c>
      <c r="B453" s="3" t="s">
        <v>1681</v>
      </c>
      <c r="C453" s="3" t="s">
        <v>1682</v>
      </c>
      <c r="D453" t="s">
        <v>1683</v>
      </c>
      <c r="E453" t="s">
        <v>232</v>
      </c>
      <c r="F453" t="s">
        <v>122</v>
      </c>
      <c r="G453" t="s">
        <v>110</v>
      </c>
      <c r="H453" t="s">
        <v>344</v>
      </c>
      <c r="I453" t="s">
        <v>345</v>
      </c>
      <c r="J453" t="s">
        <v>113</v>
      </c>
      <c r="K453" t="s">
        <v>114</v>
      </c>
      <c r="L453" t="s">
        <v>1684</v>
      </c>
      <c r="M453" t="s">
        <v>116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117</v>
      </c>
      <c r="U453" t="s">
        <v>44</v>
      </c>
      <c r="V453" s="2">
        <f t="shared" si="93"/>
        <v>0.15</v>
      </c>
      <c r="W453" s="2">
        <f t="shared" si="94"/>
        <v>13039.952000000001</v>
      </c>
      <c r="X453" s="2">
        <f>W453-R453</f>
        <v>1912.1320000000014</v>
      </c>
      <c r="Y453" s="2">
        <f t="shared" si="95"/>
        <v>0.1466364293365498</v>
      </c>
      <c r="Z453" s="2" t="str">
        <f t="shared" si="96"/>
        <v/>
      </c>
      <c r="AA453" s="2" t="e">
        <f t="shared" si="97"/>
        <v>#VALUE!</v>
      </c>
      <c r="AB453" s="2" t="e">
        <f t="shared" si="98"/>
        <v>#VALUE!</v>
      </c>
      <c r="AC453" s="2" t="str">
        <f t="shared" si="99"/>
        <v>Text Value Not Recognized as Date</v>
      </c>
      <c r="AD453" s="2">
        <f t="shared" si="100"/>
        <v>0</v>
      </c>
      <c r="AE453" s="2">
        <f t="shared" si="101"/>
        <v>0</v>
      </c>
      <c r="AH453" t="str">
        <f t="shared" si="92"/>
        <v>Rohan Mehta</v>
      </c>
      <c r="AI453" t="str">
        <f t="shared" si="92"/>
        <v>Small Business</v>
      </c>
      <c r="AJ453" t="str">
        <f t="shared" si="92"/>
        <v>North</v>
      </c>
      <c r="AK453" t="str">
        <f t="shared" si="91"/>
        <v>Haryana</v>
      </c>
      <c r="AL453" t="str">
        <f t="shared" si="91"/>
        <v>Gurugram</v>
      </c>
      <c r="AM453" t="str">
        <f t="shared" si="91"/>
        <v>Office Supplies</v>
      </c>
      <c r="AN453" t="str">
        <f t="shared" si="91"/>
        <v>Paper</v>
      </c>
      <c r="AO453" t="str">
        <f t="shared" si="102"/>
        <v>Second Class</v>
      </c>
      <c r="AP453" t="str">
        <f t="shared" si="103"/>
        <v>Paid</v>
      </c>
      <c r="AQ453" t="str">
        <f t="shared" si="103"/>
        <v>Cancelled</v>
      </c>
    </row>
    <row r="454" spans="1:43">
      <c r="A454" t="s">
        <v>1685</v>
      </c>
      <c r="B454" s="3">
        <v>45570</v>
      </c>
      <c r="C454" s="3" t="s">
        <v>1072</v>
      </c>
      <c r="D454" t="s">
        <v>1686</v>
      </c>
      <c r="E454" t="s">
        <v>256</v>
      </c>
      <c r="F454" t="s">
        <v>182</v>
      </c>
      <c r="G454" t="s">
        <v>123</v>
      </c>
      <c r="H454" t="s">
        <v>335</v>
      </c>
      <c r="I454" t="s">
        <v>336</v>
      </c>
      <c r="J454" t="s">
        <v>160</v>
      </c>
      <c r="K454" t="s">
        <v>161</v>
      </c>
      <c r="L454" t="s">
        <v>1687</v>
      </c>
      <c r="M454" t="s">
        <v>116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117</v>
      </c>
      <c r="U454" t="s">
        <v>118</v>
      </c>
      <c r="V454" s="2">
        <f t="shared" si="93"/>
        <v>0.2</v>
      </c>
      <c r="W454" s="2">
        <f t="shared" si="94"/>
        <v>9663.9840000000004</v>
      </c>
      <c r="X454" s="2">
        <f>W454-R454</f>
        <v>4035.0540000000001</v>
      </c>
      <c r="Y454" s="2">
        <f t="shared" si="95"/>
        <v>0.41753525254180884</v>
      </c>
      <c r="Z454" s="2" t="str">
        <f t="shared" si="96"/>
        <v/>
      </c>
      <c r="AA454" s="2">
        <f t="shared" si="97"/>
        <v>10</v>
      </c>
      <c r="AB454" s="2">
        <f t="shared" si="98"/>
        <v>2024</v>
      </c>
      <c r="AC454" s="2" t="str">
        <f t="shared" si="99"/>
        <v>Text Value Not Recognized as Date</v>
      </c>
      <c r="AD454" s="2">
        <f t="shared" si="100"/>
        <v>0</v>
      </c>
      <c r="AE454" s="2">
        <f t="shared" si="101"/>
        <v>0</v>
      </c>
      <c r="AH454" t="str">
        <f t="shared" si="92"/>
        <v>Diya Patel</v>
      </c>
      <c r="AI454" t="str">
        <f t="shared" si="92"/>
        <v>Home Office</v>
      </c>
      <c r="AJ454" t="str">
        <f t="shared" si="92"/>
        <v>East</v>
      </c>
      <c r="AK454" t="str">
        <f t="shared" si="91"/>
        <v>Jharkhand</v>
      </c>
      <c r="AL454" t="str">
        <f t="shared" si="91"/>
        <v>Ranchi</v>
      </c>
      <c r="AM454" t="str">
        <f t="shared" si="91"/>
        <v>Technology</v>
      </c>
      <c r="AN454" t="str">
        <f t="shared" si="91"/>
        <v>Accessories</v>
      </c>
      <c r="AO454" t="str">
        <f t="shared" si="102"/>
        <v>Second Class</v>
      </c>
      <c r="AP454" t="str">
        <f t="shared" si="103"/>
        <v>Paid</v>
      </c>
      <c r="AQ454" t="str">
        <f t="shared" si="103"/>
        <v>Completed</v>
      </c>
    </row>
    <row r="455" spans="1:43">
      <c r="A455" t="s">
        <v>1688</v>
      </c>
      <c r="B455" s="3">
        <v>45780</v>
      </c>
      <c r="C455" s="3">
        <v>45788</v>
      </c>
      <c r="D455" t="s">
        <v>1689</v>
      </c>
      <c r="E455" t="s">
        <v>232</v>
      </c>
      <c r="F455" t="s">
        <v>122</v>
      </c>
      <c r="G455" t="s">
        <v>149</v>
      </c>
      <c r="H455" t="s">
        <v>158</v>
      </c>
      <c r="I455" t="s">
        <v>159</v>
      </c>
      <c r="J455" t="s">
        <v>113</v>
      </c>
      <c r="K455" t="s">
        <v>178</v>
      </c>
      <c r="L455" t="s">
        <v>1690</v>
      </c>
      <c r="M455" t="s">
        <v>129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117</v>
      </c>
      <c r="U455" t="s">
        <v>118</v>
      </c>
      <c r="V455" s="2">
        <f t="shared" si="93"/>
        <v>0</v>
      </c>
      <c r="W455" s="2">
        <f t="shared" si="94"/>
        <v>7417.6</v>
      </c>
      <c r="X455" s="2">
        <f>W455-R455</f>
        <v>2461.7400000000007</v>
      </c>
      <c r="Y455" s="2">
        <f t="shared" si="95"/>
        <v>0.3318782355478862</v>
      </c>
      <c r="Z455" s="2">
        <f t="shared" si="96"/>
        <v>8</v>
      </c>
      <c r="AA455" s="2">
        <f t="shared" si="97"/>
        <v>5</v>
      </c>
      <c r="AB455" s="2">
        <f t="shared" si="98"/>
        <v>2025</v>
      </c>
      <c r="AC455" s="2" t="str">
        <f t="shared" si="99"/>
        <v>Valid</v>
      </c>
      <c r="AD455" s="2">
        <f t="shared" si="100"/>
        <v>0</v>
      </c>
      <c r="AE455" s="2">
        <f t="shared" si="101"/>
        <v>0</v>
      </c>
      <c r="AH455" t="str">
        <f t="shared" si="92"/>
        <v>Rohan Mehta</v>
      </c>
      <c r="AI455" t="str">
        <f t="shared" si="92"/>
        <v>Small Business</v>
      </c>
      <c r="AJ455" t="str">
        <f t="shared" si="92"/>
        <v>West</v>
      </c>
      <c r="AK455" t="str">
        <f t="shared" si="91"/>
        <v>Madhya Pradesh</v>
      </c>
      <c r="AL455" t="str">
        <f t="shared" si="91"/>
        <v>Indore</v>
      </c>
      <c r="AM455" t="str">
        <f t="shared" si="91"/>
        <v>Office Supplies</v>
      </c>
      <c r="AN455" t="str">
        <f t="shared" si="91"/>
        <v>Labels</v>
      </c>
      <c r="AO455" t="str">
        <f t="shared" si="102"/>
        <v>Same Day</v>
      </c>
      <c r="AP455" t="str">
        <f t="shared" si="103"/>
        <v>Paid</v>
      </c>
      <c r="AQ455" t="str">
        <f t="shared" si="103"/>
        <v>Completed</v>
      </c>
    </row>
    <row r="456" spans="1:43">
      <c r="A456" t="s">
        <v>1691</v>
      </c>
      <c r="B456" s="3">
        <v>45739</v>
      </c>
      <c r="C456" s="3" t="s">
        <v>1692</v>
      </c>
      <c r="D456" t="s">
        <v>1693</v>
      </c>
      <c r="E456" t="s">
        <v>157</v>
      </c>
      <c r="F456" t="s">
        <v>122</v>
      </c>
      <c r="G456" t="s">
        <v>110</v>
      </c>
      <c r="H456" t="s">
        <v>111</v>
      </c>
      <c r="I456" t="s">
        <v>112</v>
      </c>
      <c r="J456" t="s">
        <v>126</v>
      </c>
      <c r="K456" t="s">
        <v>143</v>
      </c>
      <c r="L456" t="s">
        <v>1694</v>
      </c>
      <c r="M456" t="s">
        <v>145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117</v>
      </c>
      <c r="U456" t="s">
        <v>118</v>
      </c>
      <c r="V456" s="2">
        <f t="shared" si="93"/>
        <v>0.15</v>
      </c>
      <c r="W456" s="2">
        <f t="shared" si="94"/>
        <v>25229.7</v>
      </c>
      <c r="X456" s="2">
        <f>W456-R456</f>
        <v>5059.2700000000004</v>
      </c>
      <c r="Y456" s="2">
        <f t="shared" si="95"/>
        <v>0.20052834556098567</v>
      </c>
      <c r="Z456" s="2" t="str">
        <f t="shared" si="96"/>
        <v/>
      </c>
      <c r="AA456" s="2">
        <f t="shared" si="97"/>
        <v>3</v>
      </c>
      <c r="AB456" s="2">
        <f t="shared" si="98"/>
        <v>2025</v>
      </c>
      <c r="AC456" s="2" t="str">
        <f t="shared" si="99"/>
        <v>Text Value Not Recognized as Date</v>
      </c>
      <c r="AD456" s="2">
        <f t="shared" si="100"/>
        <v>0</v>
      </c>
      <c r="AE456" s="2">
        <f t="shared" si="101"/>
        <v>0</v>
      </c>
      <c r="AH456" t="str">
        <f t="shared" si="92"/>
        <v>Vikram Iyer</v>
      </c>
      <c r="AI456" t="str">
        <f t="shared" si="92"/>
        <v>Small Business</v>
      </c>
      <c r="AJ456" t="str">
        <f t="shared" si="92"/>
        <v>North</v>
      </c>
      <c r="AK456" t="str">
        <f t="shared" si="91"/>
        <v>Rajasthan</v>
      </c>
      <c r="AL456" t="str">
        <f t="shared" si="91"/>
        <v>Jaipur</v>
      </c>
      <c r="AM456" t="str">
        <f t="shared" si="91"/>
        <v>Furniture</v>
      </c>
      <c r="AN456" t="str">
        <f t="shared" si="91"/>
        <v>Furnishings</v>
      </c>
      <c r="AO456" t="str">
        <f t="shared" si="102"/>
        <v>Standard Class</v>
      </c>
      <c r="AP456" t="str">
        <f t="shared" si="103"/>
        <v>Paid</v>
      </c>
      <c r="AQ456" t="str">
        <f t="shared" si="103"/>
        <v>Completed</v>
      </c>
    </row>
    <row r="457" spans="1:43">
      <c r="A457" t="s">
        <v>1695</v>
      </c>
      <c r="B457" s="3">
        <v>45491</v>
      </c>
      <c r="C457" s="3" t="s">
        <v>1696</v>
      </c>
      <c r="D457" t="s">
        <v>1697</v>
      </c>
      <c r="E457" t="s">
        <v>165</v>
      </c>
      <c r="F457" t="s">
        <v>122</v>
      </c>
      <c r="G457" t="s">
        <v>140</v>
      </c>
      <c r="H457" t="s">
        <v>141</v>
      </c>
      <c r="I457" t="s">
        <v>142</v>
      </c>
      <c r="J457" t="s">
        <v>113</v>
      </c>
      <c r="K457" t="s">
        <v>133</v>
      </c>
      <c r="L457" t="s">
        <v>1698</v>
      </c>
      <c r="M457" t="s">
        <v>145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117</v>
      </c>
      <c r="U457" t="s">
        <v>118</v>
      </c>
      <c r="V457" s="2">
        <f t="shared" si="93"/>
        <v>0</v>
      </c>
      <c r="W457" s="2">
        <f t="shared" si="94"/>
        <v>3235.08</v>
      </c>
      <c r="X457" s="2">
        <f>W457-R457</f>
        <v>1386.48</v>
      </c>
      <c r="Y457" s="2">
        <f t="shared" si="95"/>
        <v>0.42857672762342819</v>
      </c>
      <c r="Z457" s="2" t="str">
        <f t="shared" si="96"/>
        <v/>
      </c>
      <c r="AA457" s="2">
        <f t="shared" si="97"/>
        <v>7</v>
      </c>
      <c r="AB457" s="2">
        <f t="shared" si="98"/>
        <v>2024</v>
      </c>
      <c r="AC457" s="2" t="str">
        <f t="shared" si="99"/>
        <v>Text Value Not Recognized as Date</v>
      </c>
      <c r="AD457" s="2">
        <f t="shared" si="100"/>
        <v>0</v>
      </c>
      <c r="AE457" s="2">
        <f t="shared" si="101"/>
        <v>0</v>
      </c>
      <c r="AH457" t="str">
        <f t="shared" si="92"/>
        <v>Neha Gupta</v>
      </c>
      <c r="AI457" t="str">
        <f t="shared" si="92"/>
        <v>Small Business</v>
      </c>
      <c r="AJ457" t="str">
        <f t="shared" si="92"/>
        <v>South</v>
      </c>
      <c r="AK457" t="str">
        <f t="shared" si="91"/>
        <v>Telangana</v>
      </c>
      <c r="AL457" t="str">
        <f t="shared" si="91"/>
        <v>Hyderabad</v>
      </c>
      <c r="AM457" t="str">
        <f t="shared" si="91"/>
        <v>Office Supplies</v>
      </c>
      <c r="AN457" t="str">
        <f t="shared" si="91"/>
        <v>Art</v>
      </c>
      <c r="AO457" t="str">
        <f t="shared" si="102"/>
        <v>Standard Class</v>
      </c>
      <c r="AP457" t="str">
        <f t="shared" si="103"/>
        <v>Paid</v>
      </c>
      <c r="AQ457" t="str">
        <f t="shared" si="103"/>
        <v>Completed</v>
      </c>
    </row>
    <row r="458" spans="1:43">
      <c r="A458" t="s">
        <v>1699</v>
      </c>
      <c r="B458" s="3">
        <v>45342</v>
      </c>
      <c r="C458" s="3">
        <v>45342</v>
      </c>
      <c r="D458" t="s">
        <v>1700</v>
      </c>
      <c r="E458" t="s">
        <v>165</v>
      </c>
      <c r="F458" t="s">
        <v>177</v>
      </c>
      <c r="G458" t="s">
        <v>110</v>
      </c>
      <c r="H458" t="s">
        <v>227</v>
      </c>
      <c r="I458" t="s">
        <v>228</v>
      </c>
      <c r="J458" t="s">
        <v>160</v>
      </c>
      <c r="K458" t="s">
        <v>161</v>
      </c>
      <c r="L458" t="s">
        <v>1701</v>
      </c>
      <c r="M458" t="s">
        <v>129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117</v>
      </c>
      <c r="U458" t="s">
        <v>190</v>
      </c>
      <c r="V458" s="2">
        <f t="shared" si="93"/>
        <v>0.15</v>
      </c>
      <c r="W458" s="2">
        <f t="shared" si="94"/>
        <v>11070.867499999998</v>
      </c>
      <c r="X458" s="2">
        <f>W458-R458</f>
        <v>4447.2574999999988</v>
      </c>
      <c r="Y458" s="2">
        <f t="shared" si="95"/>
        <v>0.40170813172499803</v>
      </c>
      <c r="Z458" s="2">
        <f t="shared" si="96"/>
        <v>0</v>
      </c>
      <c r="AA458" s="2">
        <f t="shared" si="97"/>
        <v>2</v>
      </c>
      <c r="AB458" s="2">
        <f t="shared" si="98"/>
        <v>2024</v>
      </c>
      <c r="AC458" s="2" t="str">
        <f t="shared" si="99"/>
        <v>Valid</v>
      </c>
      <c r="AD458" s="2">
        <f t="shared" si="100"/>
        <v>0</v>
      </c>
      <c r="AE458" s="2">
        <f t="shared" si="101"/>
        <v>0</v>
      </c>
      <c r="AH458" t="str">
        <f t="shared" si="92"/>
        <v>Neha Gupta</v>
      </c>
      <c r="AI458" t="str">
        <f t="shared" si="92"/>
        <v>Corporate</v>
      </c>
      <c r="AJ458" t="str">
        <f t="shared" si="92"/>
        <v>North</v>
      </c>
      <c r="AK458" t="str">
        <f t="shared" si="91"/>
        <v>Uttar Pradesh</v>
      </c>
      <c r="AL458" t="str">
        <f t="shared" si="91"/>
        <v>Noida</v>
      </c>
      <c r="AM458" t="str">
        <f t="shared" si="91"/>
        <v>Technology</v>
      </c>
      <c r="AN458" t="str">
        <f t="shared" si="91"/>
        <v>Accessories</v>
      </c>
      <c r="AO458" t="str">
        <f t="shared" si="102"/>
        <v>Same Day</v>
      </c>
      <c r="AP458" t="str">
        <f t="shared" si="103"/>
        <v>Paid</v>
      </c>
      <c r="AQ458" t="str">
        <f t="shared" si="103"/>
        <v>Returned</v>
      </c>
    </row>
    <row r="459" spans="1:43">
      <c r="A459" t="s">
        <v>1702</v>
      </c>
      <c r="B459" s="3">
        <v>45416</v>
      </c>
      <c r="C459" s="3">
        <v>45416</v>
      </c>
      <c r="D459" t="s">
        <v>1703</v>
      </c>
      <c r="E459" t="s">
        <v>121</v>
      </c>
      <c r="F459" t="s">
        <v>122</v>
      </c>
      <c r="G459" t="s">
        <v>149</v>
      </c>
      <c r="H459" t="s">
        <v>287</v>
      </c>
      <c r="I459" t="s">
        <v>288</v>
      </c>
      <c r="J459" t="s">
        <v>126</v>
      </c>
      <c r="K459" t="s">
        <v>127</v>
      </c>
      <c r="L459" t="s">
        <v>1704</v>
      </c>
      <c r="M459" t="s">
        <v>145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117</v>
      </c>
      <c r="U459" t="s">
        <v>118</v>
      </c>
      <c r="V459" s="2">
        <f t="shared" si="93"/>
        <v>0</v>
      </c>
      <c r="W459" s="2">
        <f t="shared" si="94"/>
        <v>19960.57</v>
      </c>
      <c r="X459" s="2">
        <f>W459-R459</f>
        <v>3356.9700000000012</v>
      </c>
      <c r="Y459" s="2">
        <f t="shared" si="95"/>
        <v>0.1681800670020947</v>
      </c>
      <c r="Z459" s="2">
        <f t="shared" si="96"/>
        <v>0</v>
      </c>
      <c r="AA459" s="2">
        <f t="shared" si="97"/>
        <v>5</v>
      </c>
      <c r="AB459" s="2">
        <f t="shared" si="98"/>
        <v>2024</v>
      </c>
      <c r="AC459" s="2" t="str">
        <f t="shared" si="99"/>
        <v>Valid</v>
      </c>
      <c r="AD459" s="2">
        <f t="shared" si="100"/>
        <v>0</v>
      </c>
      <c r="AE459" s="2">
        <f t="shared" si="101"/>
        <v>0</v>
      </c>
      <c r="AH459" t="str">
        <f t="shared" si="92"/>
        <v>Mira Das</v>
      </c>
      <c r="AI459" t="str">
        <f t="shared" si="92"/>
        <v>Small Business</v>
      </c>
      <c r="AJ459" t="str">
        <f t="shared" si="92"/>
        <v>West</v>
      </c>
      <c r="AK459" t="str">
        <f t="shared" si="91"/>
        <v>Goa</v>
      </c>
      <c r="AL459" t="str">
        <f t="shared" si="91"/>
        <v>Panaji</v>
      </c>
      <c r="AM459" t="str">
        <f t="shared" si="91"/>
        <v>Furniture</v>
      </c>
      <c r="AN459" t="str">
        <f t="shared" si="91"/>
        <v>Tables</v>
      </c>
      <c r="AO459" t="str">
        <f t="shared" si="102"/>
        <v>Standard Class</v>
      </c>
      <c r="AP459" t="str">
        <f t="shared" si="103"/>
        <v>Paid</v>
      </c>
      <c r="AQ459" t="str">
        <f t="shared" si="103"/>
        <v>Completed</v>
      </c>
    </row>
    <row r="460" spans="1:43">
      <c r="A460" t="s">
        <v>1705</v>
      </c>
      <c r="B460" s="3">
        <v>45332</v>
      </c>
      <c r="C460" s="3">
        <v>45333</v>
      </c>
      <c r="D460" t="s">
        <v>1706</v>
      </c>
      <c r="E460" t="s">
        <v>108</v>
      </c>
      <c r="F460" t="s">
        <v>177</v>
      </c>
      <c r="G460" t="s">
        <v>110</v>
      </c>
      <c r="H460" t="s">
        <v>111</v>
      </c>
      <c r="I460" t="s">
        <v>112</v>
      </c>
      <c r="J460" t="s">
        <v>160</v>
      </c>
      <c r="K460" t="s">
        <v>266</v>
      </c>
      <c r="L460" t="s">
        <v>1707</v>
      </c>
      <c r="M460" t="s">
        <v>116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117</v>
      </c>
      <c r="U460" t="s">
        <v>118</v>
      </c>
      <c r="V460" s="2">
        <f t="shared" si="93"/>
        <v>0.1</v>
      </c>
      <c r="W460" s="2">
        <f t="shared" si="94"/>
        <v>8596.0439999999999</v>
      </c>
      <c r="X460" s="2">
        <f>W460-R460</f>
        <v>3217.884</v>
      </c>
      <c r="Y460" s="2">
        <f t="shared" si="95"/>
        <v>0.37434475672762962</v>
      </c>
      <c r="Z460" s="2">
        <f t="shared" si="96"/>
        <v>1</v>
      </c>
      <c r="AA460" s="2">
        <f t="shared" si="97"/>
        <v>2</v>
      </c>
      <c r="AB460" s="2">
        <f t="shared" si="98"/>
        <v>2024</v>
      </c>
      <c r="AC460" s="2" t="str">
        <f t="shared" si="99"/>
        <v>Valid</v>
      </c>
      <c r="AD460" s="2">
        <f t="shared" si="100"/>
        <v>0</v>
      </c>
      <c r="AE460" s="2">
        <f t="shared" si="101"/>
        <v>0</v>
      </c>
      <c r="AH460" t="str">
        <f t="shared" si="92"/>
        <v>Karan Malhotra</v>
      </c>
      <c r="AI460" t="str">
        <f t="shared" si="92"/>
        <v>Corporate</v>
      </c>
      <c r="AJ460" t="str">
        <f t="shared" si="92"/>
        <v>North</v>
      </c>
      <c r="AK460" t="str">
        <f t="shared" si="91"/>
        <v>Rajasthan</v>
      </c>
      <c r="AL460" t="str">
        <f t="shared" si="91"/>
        <v>Jaipur</v>
      </c>
      <c r="AM460" t="str">
        <f t="shared" si="91"/>
        <v>Technology</v>
      </c>
      <c r="AN460" t="str">
        <f t="shared" si="91"/>
        <v>Phones</v>
      </c>
      <c r="AO460" t="str">
        <f t="shared" si="102"/>
        <v>Second Class</v>
      </c>
      <c r="AP460" t="str">
        <f t="shared" si="103"/>
        <v>Paid</v>
      </c>
      <c r="AQ460" t="str">
        <f t="shared" si="103"/>
        <v>Completed</v>
      </c>
    </row>
    <row r="461" spans="1:43">
      <c r="A461" t="s">
        <v>1708</v>
      </c>
      <c r="B461" s="3">
        <v>45379</v>
      </c>
      <c r="C461" s="3">
        <v>45386</v>
      </c>
      <c r="D461" t="s">
        <v>1709</v>
      </c>
      <c r="E461" t="s">
        <v>148</v>
      </c>
      <c r="F461" t="s">
        <v>182</v>
      </c>
      <c r="G461" t="s">
        <v>149</v>
      </c>
      <c r="H461" t="s">
        <v>287</v>
      </c>
      <c r="I461" t="s">
        <v>288</v>
      </c>
      <c r="J461" t="s">
        <v>113</v>
      </c>
      <c r="K461" t="s">
        <v>114</v>
      </c>
      <c r="L461" t="s">
        <v>1710</v>
      </c>
      <c r="M461" t="s">
        <v>135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117</v>
      </c>
      <c r="U461" t="s">
        <v>118</v>
      </c>
      <c r="V461" s="2">
        <f t="shared" si="93"/>
        <v>0</v>
      </c>
      <c r="W461" s="2">
        <f t="shared" si="94"/>
        <v>3452.76</v>
      </c>
      <c r="X461" s="2">
        <f>W461-R461</f>
        <v>1374.8000000000002</v>
      </c>
      <c r="Y461" s="2">
        <f t="shared" si="95"/>
        <v>0.39817421425178701</v>
      </c>
      <c r="Z461" s="2">
        <f t="shared" si="96"/>
        <v>7</v>
      </c>
      <c r="AA461" s="2">
        <f t="shared" si="97"/>
        <v>3</v>
      </c>
      <c r="AB461" s="2">
        <f t="shared" si="98"/>
        <v>2024</v>
      </c>
      <c r="AC461" s="2" t="str">
        <f t="shared" si="99"/>
        <v>Valid</v>
      </c>
      <c r="AD461" s="2">
        <f t="shared" si="100"/>
        <v>0</v>
      </c>
      <c r="AE461" s="2">
        <f t="shared" si="101"/>
        <v>0</v>
      </c>
      <c r="AH461" t="str">
        <f t="shared" si="92"/>
        <v>Ananya Rao</v>
      </c>
      <c r="AI461" t="str">
        <f t="shared" si="92"/>
        <v>Home Office</v>
      </c>
      <c r="AJ461" t="str">
        <f t="shared" si="92"/>
        <v>West</v>
      </c>
      <c r="AK461" t="str">
        <f t="shared" si="91"/>
        <v>Goa</v>
      </c>
      <c r="AL461" t="str">
        <f t="shared" si="91"/>
        <v>Panaji</v>
      </c>
      <c r="AM461" t="str">
        <f t="shared" si="91"/>
        <v>Office Supplies</v>
      </c>
      <c r="AN461" t="str">
        <f t="shared" si="91"/>
        <v>Paper</v>
      </c>
      <c r="AO461" t="str">
        <f t="shared" si="102"/>
        <v>First Class</v>
      </c>
      <c r="AP461" t="str">
        <f t="shared" si="103"/>
        <v>Paid</v>
      </c>
      <c r="AQ461" t="str">
        <f t="shared" si="103"/>
        <v>Completed</v>
      </c>
    </row>
    <row r="462" spans="1:43">
      <c r="A462" t="s">
        <v>1711</v>
      </c>
      <c r="B462" s="3">
        <v>45930</v>
      </c>
      <c r="C462" s="3">
        <v>45936</v>
      </c>
      <c r="D462" t="s">
        <v>1712</v>
      </c>
      <c r="E462" t="s">
        <v>218</v>
      </c>
      <c r="F462" t="s">
        <v>177</v>
      </c>
      <c r="H462" t="s">
        <v>111</v>
      </c>
      <c r="I462" t="s">
        <v>112</v>
      </c>
      <c r="J462" t="s">
        <v>160</v>
      </c>
      <c r="K462" t="s">
        <v>166</v>
      </c>
      <c r="L462" t="s">
        <v>1713</v>
      </c>
      <c r="M462" t="s">
        <v>116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117</v>
      </c>
      <c r="U462" t="s">
        <v>118</v>
      </c>
      <c r="V462" s="2">
        <f t="shared" si="93"/>
        <v>0.05</v>
      </c>
      <c r="W462" s="2">
        <f t="shared" si="94"/>
        <v>11626.974000000002</v>
      </c>
      <c r="X462" s="2">
        <f>W462-R462</f>
        <v>4232.9040000000023</v>
      </c>
      <c r="Y462" s="2">
        <f t="shared" si="95"/>
        <v>0.36405895463428417</v>
      </c>
      <c r="Z462" s="2">
        <f t="shared" si="96"/>
        <v>6</v>
      </c>
      <c r="AA462" s="2">
        <f t="shared" si="97"/>
        <v>9</v>
      </c>
      <c r="AB462" s="2">
        <f t="shared" si="98"/>
        <v>2025</v>
      </c>
      <c r="AC462" s="2" t="str">
        <f t="shared" si="99"/>
        <v>Missing region</v>
      </c>
      <c r="AD462" s="2">
        <f t="shared" si="100"/>
        <v>0</v>
      </c>
      <c r="AE462" s="2">
        <f t="shared" si="101"/>
        <v>0</v>
      </c>
      <c r="AH462" t="str">
        <f t="shared" si="92"/>
        <v>Aarav Sharma</v>
      </c>
      <c r="AI462" t="str">
        <f t="shared" si="92"/>
        <v>Corporate</v>
      </c>
      <c r="AJ462" t="s">
        <v>306</v>
      </c>
      <c r="AK462" t="str">
        <f t="shared" si="91"/>
        <v>Rajasthan</v>
      </c>
      <c r="AL462" t="str">
        <f t="shared" si="91"/>
        <v>Jaipur</v>
      </c>
      <c r="AM462" t="str">
        <f t="shared" si="91"/>
        <v>Technology</v>
      </c>
      <c r="AN462" t="str">
        <f t="shared" si="91"/>
        <v>Copiers</v>
      </c>
      <c r="AO462" t="str">
        <f t="shared" si="102"/>
        <v>Second Class</v>
      </c>
      <c r="AP462" t="str">
        <f t="shared" si="103"/>
        <v>Paid</v>
      </c>
      <c r="AQ462" t="str">
        <f t="shared" si="103"/>
        <v>Completed</v>
      </c>
    </row>
    <row r="463" spans="1:43">
      <c r="A463" t="s">
        <v>1714</v>
      </c>
      <c r="B463" s="3">
        <v>45802</v>
      </c>
      <c r="C463" s="3">
        <v>45803</v>
      </c>
      <c r="D463" t="s">
        <v>1715</v>
      </c>
      <c r="E463" t="s">
        <v>165</v>
      </c>
      <c r="F463" t="s">
        <v>177</v>
      </c>
      <c r="G463" t="s">
        <v>140</v>
      </c>
      <c r="H463" t="s">
        <v>171</v>
      </c>
      <c r="I463" t="s">
        <v>172</v>
      </c>
      <c r="J463" t="s">
        <v>113</v>
      </c>
      <c r="K463" t="s">
        <v>114</v>
      </c>
      <c r="L463" t="s">
        <v>1716</v>
      </c>
      <c r="M463" t="s">
        <v>145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117</v>
      </c>
      <c r="U463" t="s">
        <v>118</v>
      </c>
      <c r="V463" s="2">
        <f t="shared" si="93"/>
        <v>0.15</v>
      </c>
      <c r="W463" s="2">
        <f t="shared" si="94"/>
        <v>8614.2825000000012</v>
      </c>
      <c r="X463" s="2">
        <f>W463-R463</f>
        <v>1562.2025000000012</v>
      </c>
      <c r="Y463" s="2">
        <f t="shared" si="95"/>
        <v>0.18135027496486225</v>
      </c>
      <c r="Z463" s="2">
        <f t="shared" si="96"/>
        <v>1</v>
      </c>
      <c r="AA463" s="2">
        <f t="shared" si="97"/>
        <v>5</v>
      </c>
      <c r="AB463" s="2">
        <f t="shared" si="98"/>
        <v>2025</v>
      </c>
      <c r="AC463" s="2" t="str">
        <f t="shared" si="99"/>
        <v>Valid</v>
      </c>
      <c r="AD463" s="2">
        <f t="shared" si="100"/>
        <v>0</v>
      </c>
      <c r="AE463" s="2">
        <f t="shared" si="101"/>
        <v>0</v>
      </c>
      <c r="AH463" t="str">
        <f t="shared" si="92"/>
        <v>Neha Gupta</v>
      </c>
      <c r="AI463" t="str">
        <f t="shared" si="92"/>
        <v>Corporate</v>
      </c>
      <c r="AJ463" t="str">
        <f t="shared" si="92"/>
        <v>South</v>
      </c>
      <c r="AK463" t="str">
        <f t="shared" si="91"/>
        <v>Andhra Pradesh</v>
      </c>
      <c r="AL463" t="str">
        <f t="shared" si="91"/>
        <v>Vijayawada</v>
      </c>
      <c r="AM463" t="str">
        <f t="shared" si="91"/>
        <v>Office Supplies</v>
      </c>
      <c r="AN463" t="str">
        <f t="shared" si="91"/>
        <v>Paper</v>
      </c>
      <c r="AO463" t="str">
        <f t="shared" si="102"/>
        <v>Standard Class</v>
      </c>
      <c r="AP463" t="str">
        <f t="shared" si="103"/>
        <v>Paid</v>
      </c>
      <c r="AQ463" t="str">
        <f t="shared" si="103"/>
        <v>Completed</v>
      </c>
    </row>
    <row r="464" spans="1:43">
      <c r="A464" t="s">
        <v>1717</v>
      </c>
      <c r="B464" s="3">
        <v>45558</v>
      </c>
      <c r="C464" s="3" t="s">
        <v>1718</v>
      </c>
      <c r="D464" t="s">
        <v>1719</v>
      </c>
      <c r="E464" t="s">
        <v>218</v>
      </c>
      <c r="F464" t="s">
        <v>182</v>
      </c>
      <c r="G464" t="s">
        <v>110</v>
      </c>
      <c r="H464" t="s">
        <v>465</v>
      </c>
      <c r="I464" t="s">
        <v>466</v>
      </c>
      <c r="J464" t="s">
        <v>113</v>
      </c>
      <c r="K464" t="s">
        <v>246</v>
      </c>
      <c r="L464" t="s">
        <v>1720</v>
      </c>
      <c r="M464" t="s">
        <v>135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117</v>
      </c>
      <c r="U464" t="s">
        <v>118</v>
      </c>
      <c r="V464" s="2">
        <f t="shared" si="93"/>
        <v>0.2</v>
      </c>
      <c r="W464" s="2">
        <f t="shared" si="94"/>
        <v>2040.2240000000002</v>
      </c>
      <c r="X464" s="2">
        <f>W464-R464</f>
        <v>644.51400000000012</v>
      </c>
      <c r="Y464" s="2">
        <f t="shared" si="95"/>
        <v>0.31590354784572677</v>
      </c>
      <c r="Z464" s="2" t="str">
        <f t="shared" si="96"/>
        <v/>
      </c>
      <c r="AA464" s="2">
        <f t="shared" si="97"/>
        <v>9</v>
      </c>
      <c r="AB464" s="2">
        <f t="shared" si="98"/>
        <v>2024</v>
      </c>
      <c r="AC464" s="2" t="str">
        <f t="shared" si="99"/>
        <v>Text Value Not Recognized as Date</v>
      </c>
      <c r="AD464" s="2">
        <f t="shared" si="100"/>
        <v>0</v>
      </c>
      <c r="AE464" s="2">
        <f t="shared" si="101"/>
        <v>0</v>
      </c>
      <c r="AH464" t="str">
        <f t="shared" si="92"/>
        <v>Aarav Sharma</v>
      </c>
      <c r="AI464" t="str">
        <f t="shared" si="92"/>
        <v>Home Office</v>
      </c>
      <c r="AJ464" t="str">
        <f t="shared" si="92"/>
        <v>North</v>
      </c>
      <c r="AK464" t="str">
        <f t="shared" si="91"/>
        <v>Delhi</v>
      </c>
      <c r="AL464" t="str">
        <f t="shared" si="91"/>
        <v>New Delhi</v>
      </c>
      <c r="AM464" t="str">
        <f t="shared" si="91"/>
        <v>Office Supplies</v>
      </c>
      <c r="AN464" t="str">
        <f t="shared" si="91"/>
        <v>Binders</v>
      </c>
      <c r="AO464" t="str">
        <f t="shared" si="102"/>
        <v>First Class</v>
      </c>
      <c r="AP464" t="str">
        <f t="shared" si="103"/>
        <v>Paid</v>
      </c>
      <c r="AQ464" t="str">
        <f t="shared" si="103"/>
        <v>Completed</v>
      </c>
    </row>
    <row r="465" spans="1:43">
      <c r="A465" t="s">
        <v>1721</v>
      </c>
      <c r="B465" s="3">
        <v>45840</v>
      </c>
      <c r="C465" s="3">
        <v>45696</v>
      </c>
      <c r="D465" t="s">
        <v>1722</v>
      </c>
      <c r="E465" t="s">
        <v>139</v>
      </c>
      <c r="F465" t="s">
        <v>177</v>
      </c>
      <c r="G465" t="s">
        <v>149</v>
      </c>
      <c r="H465" t="s">
        <v>158</v>
      </c>
      <c r="I465" t="s">
        <v>159</v>
      </c>
      <c r="J465" t="s">
        <v>160</v>
      </c>
      <c r="K465" t="s">
        <v>266</v>
      </c>
      <c r="L465" t="s">
        <v>1723</v>
      </c>
      <c r="M465" t="s">
        <v>145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117</v>
      </c>
      <c r="U465" t="s">
        <v>118</v>
      </c>
      <c r="V465" s="2">
        <f t="shared" si="93"/>
        <v>0.2</v>
      </c>
      <c r="W465" s="2">
        <f t="shared" si="94"/>
        <v>2846.4</v>
      </c>
      <c r="X465" s="2">
        <f>W465-R465</f>
        <v>714.0300000000002</v>
      </c>
      <c r="Y465" s="2">
        <f t="shared" si="95"/>
        <v>0.25085370994940986</v>
      </c>
      <c r="Z465" s="2">
        <f t="shared" si="96"/>
        <v>-144</v>
      </c>
      <c r="AA465" s="2">
        <f t="shared" si="97"/>
        <v>7</v>
      </c>
      <c r="AB465" s="2">
        <f t="shared" si="98"/>
        <v>2025</v>
      </c>
      <c r="AC465" s="2" t="str">
        <f t="shared" si="99"/>
        <v>Invalid shipping record</v>
      </c>
      <c r="AD465" s="2">
        <f t="shared" si="100"/>
        <v>0</v>
      </c>
      <c r="AE465" s="2">
        <f t="shared" si="101"/>
        <v>0</v>
      </c>
      <c r="AH465" t="str">
        <f t="shared" si="92"/>
        <v>Arjun Bose</v>
      </c>
      <c r="AI465" t="str">
        <f t="shared" si="92"/>
        <v>Corporate</v>
      </c>
      <c r="AJ465" t="str">
        <f t="shared" si="92"/>
        <v>West</v>
      </c>
      <c r="AK465" t="str">
        <f t="shared" si="91"/>
        <v>Madhya Pradesh</v>
      </c>
      <c r="AL465" t="str">
        <f t="shared" si="91"/>
        <v>Indore</v>
      </c>
      <c r="AM465" t="str">
        <f t="shared" si="91"/>
        <v>Technology</v>
      </c>
      <c r="AN465" t="str">
        <f t="shared" si="91"/>
        <v>Phones</v>
      </c>
      <c r="AO465" t="str">
        <f t="shared" si="102"/>
        <v>Standard Class</v>
      </c>
      <c r="AP465" t="str">
        <f t="shared" si="103"/>
        <v>Paid</v>
      </c>
      <c r="AQ465" t="str">
        <f t="shared" si="103"/>
        <v>Completed</v>
      </c>
    </row>
    <row r="466" spans="1:43">
      <c r="A466" t="s">
        <v>1724</v>
      </c>
      <c r="B466" s="3">
        <v>45964</v>
      </c>
      <c r="C466" s="3">
        <v>45731</v>
      </c>
      <c r="D466" t="s">
        <v>1725</v>
      </c>
      <c r="E466" t="s">
        <v>139</v>
      </c>
      <c r="F466" t="s">
        <v>177</v>
      </c>
      <c r="G466" t="s">
        <v>123</v>
      </c>
      <c r="H466" t="s">
        <v>237</v>
      </c>
      <c r="I466" t="s">
        <v>238</v>
      </c>
      <c r="J466" t="s">
        <v>113</v>
      </c>
      <c r="K466" t="s">
        <v>114</v>
      </c>
      <c r="L466" t="s">
        <v>1726</v>
      </c>
      <c r="M466" t="s">
        <v>129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199</v>
      </c>
      <c r="U466" t="s">
        <v>44</v>
      </c>
      <c r="V466" s="2">
        <f t="shared" si="93"/>
        <v>0.05</v>
      </c>
      <c r="W466" s="2">
        <f t="shared" si="94"/>
        <v>10331.477999999999</v>
      </c>
      <c r="X466" s="2">
        <f>W466-R466</f>
        <v>3199.5679999999993</v>
      </c>
      <c r="Y466" s="2">
        <f t="shared" si="95"/>
        <v>0.30969121746181905</v>
      </c>
      <c r="Z466" s="2">
        <f t="shared" si="96"/>
        <v>-233</v>
      </c>
      <c r="AA466" s="2">
        <f t="shared" si="97"/>
        <v>11</v>
      </c>
      <c r="AB466" s="2">
        <f t="shared" si="98"/>
        <v>2025</v>
      </c>
      <c r="AC466" s="2" t="str">
        <f t="shared" si="99"/>
        <v>Invalid shipping record</v>
      </c>
      <c r="AD466" s="2">
        <f t="shared" si="100"/>
        <v>0</v>
      </c>
      <c r="AE466" s="2">
        <f t="shared" si="101"/>
        <v>0</v>
      </c>
      <c r="AH466" t="str">
        <f t="shared" si="92"/>
        <v>Arjun Bose</v>
      </c>
      <c r="AI466" t="str">
        <f t="shared" si="92"/>
        <v>Corporate</v>
      </c>
      <c r="AJ466" t="str">
        <f t="shared" si="92"/>
        <v>East</v>
      </c>
      <c r="AK466" t="str">
        <f t="shared" si="91"/>
        <v>Bihar</v>
      </c>
      <c r="AL466" t="str">
        <f t="shared" si="91"/>
        <v>Patna</v>
      </c>
      <c r="AM466" t="str">
        <f t="shared" si="91"/>
        <v>Office Supplies</v>
      </c>
      <c r="AN466" t="str">
        <f t="shared" si="91"/>
        <v>Paper</v>
      </c>
      <c r="AO466" t="str">
        <f t="shared" si="102"/>
        <v>Same Day</v>
      </c>
      <c r="AP466" t="str">
        <f t="shared" si="103"/>
        <v>Pending</v>
      </c>
      <c r="AQ466" t="str">
        <f t="shared" si="103"/>
        <v>Cancelled</v>
      </c>
    </row>
    <row r="467" spans="1:43">
      <c r="A467" t="s">
        <v>1727</v>
      </c>
      <c r="B467" s="3" t="s">
        <v>1728</v>
      </c>
      <c r="C467" s="3">
        <v>45328</v>
      </c>
      <c r="D467" t="s">
        <v>1729</v>
      </c>
      <c r="E467" t="s">
        <v>218</v>
      </c>
      <c r="F467" t="s">
        <v>122</v>
      </c>
      <c r="G467" t="s">
        <v>149</v>
      </c>
      <c r="H467" t="s">
        <v>158</v>
      </c>
      <c r="I467" t="s">
        <v>159</v>
      </c>
      <c r="J467" t="s">
        <v>113</v>
      </c>
      <c r="K467" t="s">
        <v>178</v>
      </c>
      <c r="L467" t="s">
        <v>1730</v>
      </c>
      <c r="M467" t="s">
        <v>145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117</v>
      </c>
      <c r="U467" t="s">
        <v>118</v>
      </c>
      <c r="V467" s="2">
        <f t="shared" si="93"/>
        <v>0</v>
      </c>
      <c r="W467" s="2">
        <f t="shared" si="94"/>
        <v>2517.8000000000002</v>
      </c>
      <c r="X467" s="2">
        <f>W467-R467</f>
        <v>1039.2600000000002</v>
      </c>
      <c r="Y467" s="2">
        <f t="shared" si="95"/>
        <v>0.41276511239971408</v>
      </c>
      <c r="Z467" s="2" t="str">
        <f t="shared" si="96"/>
        <v/>
      </c>
      <c r="AA467" s="2" t="e">
        <f t="shared" si="97"/>
        <v>#VALUE!</v>
      </c>
      <c r="AB467" s="2" t="e">
        <f t="shared" si="98"/>
        <v>#VALUE!</v>
      </c>
      <c r="AC467" s="2" t="str">
        <f t="shared" si="99"/>
        <v>Text Value Not Recognized as Date</v>
      </c>
      <c r="AD467" s="2">
        <f t="shared" si="100"/>
        <v>0</v>
      </c>
      <c r="AE467" s="2">
        <f t="shared" si="101"/>
        <v>0</v>
      </c>
      <c r="AH467" t="str">
        <f t="shared" si="92"/>
        <v>Aarav Sharma</v>
      </c>
      <c r="AI467" t="str">
        <f t="shared" si="92"/>
        <v>Small Business</v>
      </c>
      <c r="AJ467" t="str">
        <f t="shared" si="92"/>
        <v>West</v>
      </c>
      <c r="AK467" t="str">
        <f t="shared" si="91"/>
        <v>Madhya Pradesh</v>
      </c>
      <c r="AL467" t="str">
        <f t="shared" si="91"/>
        <v>Indore</v>
      </c>
      <c r="AM467" t="str">
        <f t="shared" si="91"/>
        <v>Office Supplies</v>
      </c>
      <c r="AN467" t="str">
        <f t="shared" si="91"/>
        <v>Labels</v>
      </c>
      <c r="AO467" t="str">
        <f t="shared" si="102"/>
        <v>Standard Class</v>
      </c>
      <c r="AP467" t="str">
        <f t="shared" si="103"/>
        <v>Paid</v>
      </c>
      <c r="AQ467" t="str">
        <f t="shared" si="103"/>
        <v>Completed</v>
      </c>
    </row>
    <row r="468" spans="1:43">
      <c r="A468" t="s">
        <v>1731</v>
      </c>
      <c r="B468" s="3">
        <v>45383</v>
      </c>
      <c r="C468" s="3">
        <v>45299</v>
      </c>
      <c r="D468" t="s">
        <v>1732</v>
      </c>
      <c r="E468" t="s">
        <v>121</v>
      </c>
      <c r="F468" t="s">
        <v>122</v>
      </c>
      <c r="G468" t="s">
        <v>123</v>
      </c>
      <c r="H468" t="s">
        <v>237</v>
      </c>
      <c r="I468" t="s">
        <v>238</v>
      </c>
      <c r="J468" t="s">
        <v>160</v>
      </c>
      <c r="K468" t="s">
        <v>161</v>
      </c>
      <c r="L468" t="s">
        <v>1733</v>
      </c>
      <c r="M468" t="s">
        <v>129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117</v>
      </c>
      <c r="U468" t="s">
        <v>118</v>
      </c>
      <c r="V468" s="2">
        <f t="shared" si="93"/>
        <v>0.2</v>
      </c>
      <c r="W468" s="2">
        <f t="shared" si="94"/>
        <v>11462.112000000001</v>
      </c>
      <c r="X468" s="2">
        <f>W468-R468</f>
        <v>4356.6320000000014</v>
      </c>
      <c r="Y468" s="2">
        <f t="shared" si="95"/>
        <v>0.38008981241851425</v>
      </c>
      <c r="Z468" s="2">
        <f t="shared" si="96"/>
        <v>-84</v>
      </c>
      <c r="AA468" s="2">
        <f t="shared" si="97"/>
        <v>4</v>
      </c>
      <c r="AB468" s="2">
        <f t="shared" si="98"/>
        <v>2024</v>
      </c>
      <c r="AC468" s="2" t="str">
        <f t="shared" si="99"/>
        <v>Invalid shipping record</v>
      </c>
      <c r="AD468" s="2">
        <f t="shared" si="100"/>
        <v>0</v>
      </c>
      <c r="AE468" s="2">
        <f t="shared" si="101"/>
        <v>0</v>
      </c>
      <c r="AH468" t="str">
        <f t="shared" si="92"/>
        <v>Mira Das</v>
      </c>
      <c r="AI468" t="str">
        <f t="shared" si="92"/>
        <v>Small Business</v>
      </c>
      <c r="AJ468" t="str">
        <f t="shared" si="92"/>
        <v>East</v>
      </c>
      <c r="AK468" t="str">
        <f t="shared" si="91"/>
        <v>Bihar</v>
      </c>
      <c r="AL468" t="str">
        <f t="shared" si="91"/>
        <v>Patna</v>
      </c>
      <c r="AM468" t="str">
        <f t="shared" si="91"/>
        <v>Technology</v>
      </c>
      <c r="AN468" t="str">
        <f t="shared" si="91"/>
        <v>Accessories</v>
      </c>
      <c r="AO468" t="str">
        <f t="shared" si="102"/>
        <v>Same Day</v>
      </c>
      <c r="AP468" t="str">
        <f t="shared" si="103"/>
        <v>Paid</v>
      </c>
      <c r="AQ468" t="str">
        <f t="shared" si="103"/>
        <v>Completed</v>
      </c>
    </row>
    <row r="469" spans="1:43">
      <c r="A469" t="s">
        <v>1734</v>
      </c>
      <c r="B469" s="3" t="s">
        <v>1735</v>
      </c>
      <c r="C469" s="3">
        <v>45525</v>
      </c>
      <c r="D469" t="s">
        <v>1736</v>
      </c>
      <c r="E469" t="s">
        <v>176</v>
      </c>
      <c r="F469" t="s">
        <v>177</v>
      </c>
      <c r="G469" t="s">
        <v>123</v>
      </c>
      <c r="H469" t="s">
        <v>124</v>
      </c>
      <c r="I469" t="s">
        <v>125</v>
      </c>
      <c r="J469" t="s">
        <v>160</v>
      </c>
      <c r="K469" t="s">
        <v>166</v>
      </c>
      <c r="L469" t="s">
        <v>1737</v>
      </c>
      <c r="M469" t="s">
        <v>135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189</v>
      </c>
      <c r="U469" t="s">
        <v>44</v>
      </c>
      <c r="V469" s="2">
        <f t="shared" si="93"/>
        <v>0.1</v>
      </c>
      <c r="W469" s="2">
        <f t="shared" si="94"/>
        <v>19297.485000000001</v>
      </c>
      <c r="X469" s="2">
        <f>W469-R469</f>
        <v>3845.8250000000007</v>
      </c>
      <c r="Y469" s="2">
        <f t="shared" si="95"/>
        <v>0.1992915138941681</v>
      </c>
      <c r="Z469" s="2" t="str">
        <f t="shared" si="96"/>
        <v/>
      </c>
      <c r="AA469" s="2" t="e">
        <f t="shared" si="97"/>
        <v>#VALUE!</v>
      </c>
      <c r="AB469" s="2" t="e">
        <f t="shared" si="98"/>
        <v>#VALUE!</v>
      </c>
      <c r="AC469" s="2" t="str">
        <f t="shared" si="99"/>
        <v>Text Value Not Recognized as Date</v>
      </c>
      <c r="AD469" s="2">
        <f t="shared" si="100"/>
        <v>0</v>
      </c>
      <c r="AE469" s="2">
        <f t="shared" si="101"/>
        <v>0</v>
      </c>
      <c r="AH469" t="str">
        <f t="shared" si="92"/>
        <v>Aditi Sen</v>
      </c>
      <c r="AI469" t="str">
        <f t="shared" si="92"/>
        <v>Corporate</v>
      </c>
      <c r="AJ469" t="str">
        <f t="shared" si="92"/>
        <v>East</v>
      </c>
      <c r="AK469" t="str">
        <f t="shared" si="91"/>
        <v>Odisha</v>
      </c>
      <c r="AL469" t="str">
        <f t="shared" si="91"/>
        <v>Bhubaneswar</v>
      </c>
      <c r="AM469" t="str">
        <f t="shared" si="91"/>
        <v>Technology</v>
      </c>
      <c r="AN469" t="str">
        <f t="shared" si="91"/>
        <v>Copiers</v>
      </c>
      <c r="AO469" t="str">
        <f t="shared" si="102"/>
        <v>First Class</v>
      </c>
      <c r="AP469" t="str">
        <f t="shared" si="103"/>
        <v>Refunded</v>
      </c>
      <c r="AQ469" t="str">
        <f t="shared" si="103"/>
        <v>Cancelled</v>
      </c>
    </row>
    <row r="470" spans="1:43">
      <c r="A470" t="s">
        <v>1738</v>
      </c>
      <c r="B470" s="3">
        <v>45666</v>
      </c>
      <c r="C470" s="3">
        <v>45664</v>
      </c>
      <c r="D470" t="s">
        <v>1739</v>
      </c>
      <c r="E470" t="s">
        <v>218</v>
      </c>
      <c r="F470" t="s">
        <v>182</v>
      </c>
      <c r="G470" t="s">
        <v>123</v>
      </c>
      <c r="H470" t="s">
        <v>186</v>
      </c>
      <c r="I470" t="s">
        <v>187</v>
      </c>
      <c r="J470" t="s">
        <v>113</v>
      </c>
      <c r="K470" t="s">
        <v>246</v>
      </c>
      <c r="L470" t="s">
        <v>1740</v>
      </c>
      <c r="M470" t="s">
        <v>116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117</v>
      </c>
      <c r="U470" t="s">
        <v>118</v>
      </c>
      <c r="V470" s="2">
        <f t="shared" si="93"/>
        <v>0</v>
      </c>
      <c r="W470" s="2">
        <f t="shared" si="94"/>
        <v>6564.99</v>
      </c>
      <c r="X470" s="2">
        <f>W470-R470</f>
        <v>1157.75</v>
      </c>
      <c r="Y470" s="2">
        <f t="shared" si="95"/>
        <v>0.17635213458055535</v>
      </c>
      <c r="Z470" s="2">
        <f t="shared" si="96"/>
        <v>-2</v>
      </c>
      <c r="AA470" s="2">
        <f t="shared" si="97"/>
        <v>1</v>
      </c>
      <c r="AB470" s="2">
        <f t="shared" si="98"/>
        <v>2025</v>
      </c>
      <c r="AC470" s="2" t="str">
        <f t="shared" si="99"/>
        <v>Invalid shipping record</v>
      </c>
      <c r="AD470" s="2">
        <f t="shared" si="100"/>
        <v>0</v>
      </c>
      <c r="AE470" s="2">
        <f t="shared" si="101"/>
        <v>0</v>
      </c>
      <c r="AH470" t="str">
        <f t="shared" si="92"/>
        <v>Aarav Sharma</v>
      </c>
      <c r="AI470" t="str">
        <f t="shared" si="92"/>
        <v>Home Office</v>
      </c>
      <c r="AJ470" t="str">
        <f t="shared" si="92"/>
        <v>East</v>
      </c>
      <c r="AK470" t="str">
        <f t="shared" si="91"/>
        <v>West Bengal</v>
      </c>
      <c r="AL470" t="str">
        <f t="shared" si="91"/>
        <v>Kolkata</v>
      </c>
      <c r="AM470" t="str">
        <f t="shared" si="91"/>
        <v>Office Supplies</v>
      </c>
      <c r="AN470" t="str">
        <f t="shared" si="91"/>
        <v>Binders</v>
      </c>
      <c r="AO470" t="str">
        <f t="shared" si="102"/>
        <v>Second Class</v>
      </c>
      <c r="AP470" t="str">
        <f t="shared" si="103"/>
        <v>Paid</v>
      </c>
      <c r="AQ470" t="str">
        <f t="shared" si="103"/>
        <v>Completed</v>
      </c>
    </row>
    <row r="471" spans="1:43">
      <c r="A471" t="s">
        <v>1741</v>
      </c>
      <c r="B471" s="3">
        <v>45310</v>
      </c>
      <c r="C471" s="3">
        <v>45316</v>
      </c>
      <c r="D471" t="s">
        <v>1742</v>
      </c>
      <c r="E471" t="s">
        <v>176</v>
      </c>
      <c r="F471" t="s">
        <v>177</v>
      </c>
      <c r="G471" t="s">
        <v>149</v>
      </c>
      <c r="H471" t="s">
        <v>287</v>
      </c>
      <c r="I471" t="s">
        <v>288</v>
      </c>
      <c r="J471" t="s">
        <v>160</v>
      </c>
      <c r="K471" t="s">
        <v>166</v>
      </c>
      <c r="L471" t="s">
        <v>1743</v>
      </c>
      <c r="M471" t="s">
        <v>135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117</v>
      </c>
      <c r="U471" t="s">
        <v>118</v>
      </c>
      <c r="V471" s="2">
        <f t="shared" si="93"/>
        <v>0.1</v>
      </c>
      <c r="W471" s="2">
        <f t="shared" si="94"/>
        <v>2812.4820000000004</v>
      </c>
      <c r="X471" s="2">
        <f>W471-R471</f>
        <v>530.36200000000053</v>
      </c>
      <c r="Y471" s="2">
        <f t="shared" si="95"/>
        <v>0.18857436243147527</v>
      </c>
      <c r="Z471" s="2">
        <f t="shared" si="96"/>
        <v>6</v>
      </c>
      <c r="AA471" s="2">
        <f t="shared" si="97"/>
        <v>1</v>
      </c>
      <c r="AB471" s="2">
        <f t="shared" si="98"/>
        <v>2024</v>
      </c>
      <c r="AC471" s="2" t="str">
        <f t="shared" si="99"/>
        <v>Valid</v>
      </c>
      <c r="AD471" s="2">
        <f t="shared" si="100"/>
        <v>0</v>
      </c>
      <c r="AE471" s="2">
        <f t="shared" si="101"/>
        <v>0</v>
      </c>
      <c r="AH471" t="str">
        <f t="shared" si="92"/>
        <v>Aditi Sen</v>
      </c>
      <c r="AI471" t="str">
        <f t="shared" si="92"/>
        <v>Corporate</v>
      </c>
      <c r="AJ471" t="str">
        <f t="shared" si="92"/>
        <v>West</v>
      </c>
      <c r="AK471" t="str">
        <f t="shared" si="91"/>
        <v>Goa</v>
      </c>
      <c r="AL471" t="str">
        <f t="shared" si="91"/>
        <v>Panaji</v>
      </c>
      <c r="AM471" t="str">
        <f t="shared" si="91"/>
        <v>Technology</v>
      </c>
      <c r="AN471" t="str">
        <f t="shared" si="91"/>
        <v>Copiers</v>
      </c>
      <c r="AO471" t="str">
        <f t="shared" si="102"/>
        <v>First Class</v>
      </c>
      <c r="AP471" t="str">
        <f t="shared" si="103"/>
        <v>Paid</v>
      </c>
      <c r="AQ471" t="str">
        <f t="shared" si="103"/>
        <v>Completed</v>
      </c>
    </row>
    <row r="472" spans="1:43">
      <c r="A472" t="s">
        <v>1744</v>
      </c>
      <c r="B472" s="3" t="s">
        <v>1745</v>
      </c>
      <c r="C472" s="3">
        <v>45504</v>
      </c>
      <c r="D472" t="s">
        <v>1746</v>
      </c>
      <c r="E472" t="s">
        <v>176</v>
      </c>
      <c r="F472" t="s">
        <v>109</v>
      </c>
      <c r="G472" t="s">
        <v>110</v>
      </c>
      <c r="H472" t="s">
        <v>111</v>
      </c>
      <c r="I472" t="s">
        <v>112</v>
      </c>
      <c r="J472" t="s">
        <v>126</v>
      </c>
      <c r="K472" t="s">
        <v>127</v>
      </c>
      <c r="L472" t="s">
        <v>1747</v>
      </c>
      <c r="M472" t="s">
        <v>129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117</v>
      </c>
      <c r="U472" t="s">
        <v>118</v>
      </c>
      <c r="V472" s="2">
        <f t="shared" si="93"/>
        <v>0.2</v>
      </c>
      <c r="W472" s="2">
        <f t="shared" si="94"/>
        <v>7079.6480000000001</v>
      </c>
      <c r="X472" s="2">
        <f>W472-R472</f>
        <v>2613.7380000000003</v>
      </c>
      <c r="Y472" s="2">
        <f t="shared" si="95"/>
        <v>0.36919038912669105</v>
      </c>
      <c r="Z472" s="2" t="str">
        <f t="shared" si="96"/>
        <v/>
      </c>
      <c r="AA472" s="2" t="e">
        <f t="shared" si="97"/>
        <v>#VALUE!</v>
      </c>
      <c r="AB472" s="2" t="e">
        <f t="shared" si="98"/>
        <v>#VALUE!</v>
      </c>
      <c r="AC472" s="2" t="str">
        <f t="shared" si="99"/>
        <v>Text Value Not Recognized as Date</v>
      </c>
      <c r="AD472" s="2">
        <f t="shared" si="100"/>
        <v>0</v>
      </c>
      <c r="AE472" s="2">
        <f t="shared" si="101"/>
        <v>0</v>
      </c>
      <c r="AH472" t="str">
        <f t="shared" si="92"/>
        <v>Aditi Sen</v>
      </c>
      <c r="AI472" t="str">
        <f t="shared" si="92"/>
        <v>Consumer</v>
      </c>
      <c r="AJ472" t="str">
        <f t="shared" si="92"/>
        <v>North</v>
      </c>
      <c r="AK472" t="str">
        <f t="shared" si="91"/>
        <v>Rajasthan</v>
      </c>
      <c r="AL472" t="str">
        <f t="shared" si="91"/>
        <v>Jaipur</v>
      </c>
      <c r="AM472" t="str">
        <f t="shared" si="91"/>
        <v>Furniture</v>
      </c>
      <c r="AN472" t="str">
        <f t="shared" si="91"/>
        <v>Tables</v>
      </c>
      <c r="AO472" t="str">
        <f t="shared" si="102"/>
        <v>Same Day</v>
      </c>
      <c r="AP472" t="str">
        <f t="shared" si="103"/>
        <v>Paid</v>
      </c>
      <c r="AQ472" t="str">
        <f t="shared" si="103"/>
        <v>Completed</v>
      </c>
    </row>
    <row r="473" spans="1:43">
      <c r="A473" t="s">
        <v>1748</v>
      </c>
      <c r="B473" s="3">
        <v>45598</v>
      </c>
      <c r="C473" s="3">
        <v>45337</v>
      </c>
      <c r="D473" t="s">
        <v>1749</v>
      </c>
      <c r="E473" t="s">
        <v>375</v>
      </c>
      <c r="F473" t="s">
        <v>109</v>
      </c>
      <c r="G473" t="s">
        <v>140</v>
      </c>
      <c r="H473" t="s">
        <v>141</v>
      </c>
      <c r="I473" t="s">
        <v>142</v>
      </c>
      <c r="J473" t="s">
        <v>113</v>
      </c>
      <c r="K473" t="s">
        <v>246</v>
      </c>
      <c r="L473" t="s">
        <v>1750</v>
      </c>
      <c r="M473" t="s">
        <v>145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117</v>
      </c>
      <c r="U473" t="s">
        <v>118</v>
      </c>
      <c r="V473" s="2">
        <f t="shared" si="93"/>
        <v>0.25</v>
      </c>
      <c r="W473" s="2">
        <f t="shared" si="94"/>
        <v>6793.0650000000005</v>
      </c>
      <c r="X473" s="2">
        <f>W473-R473</f>
        <v>1807.8450000000003</v>
      </c>
      <c r="Y473" s="2">
        <f t="shared" si="95"/>
        <v>0.26613097327936652</v>
      </c>
      <c r="Z473" s="2">
        <f t="shared" si="96"/>
        <v>-261</v>
      </c>
      <c r="AA473" s="2">
        <f t="shared" si="97"/>
        <v>11</v>
      </c>
      <c r="AB473" s="2">
        <f t="shared" si="98"/>
        <v>2024</v>
      </c>
      <c r="AC473" s="2" t="str">
        <f t="shared" si="99"/>
        <v>Invalid shipping record</v>
      </c>
      <c r="AD473" s="2">
        <f t="shared" si="100"/>
        <v>0</v>
      </c>
      <c r="AE473" s="2">
        <f t="shared" si="101"/>
        <v>0</v>
      </c>
      <c r="AH473" t="str">
        <f t="shared" si="92"/>
        <v>Kabir Singh</v>
      </c>
      <c r="AI473" t="str">
        <f t="shared" si="92"/>
        <v>Consumer</v>
      </c>
      <c r="AJ473" t="str">
        <f t="shared" si="92"/>
        <v>South</v>
      </c>
      <c r="AK473" t="str">
        <f t="shared" si="91"/>
        <v>Telangana</v>
      </c>
      <c r="AL473" t="str">
        <f t="shared" si="91"/>
        <v>Hyderabad</v>
      </c>
      <c r="AM473" t="str">
        <f t="shared" si="91"/>
        <v>Office Supplies</v>
      </c>
      <c r="AN473" t="str">
        <f t="shared" si="91"/>
        <v>Binders</v>
      </c>
      <c r="AO473" t="str">
        <f t="shared" si="102"/>
        <v>Standard Class</v>
      </c>
      <c r="AP473" t="str">
        <f t="shared" si="103"/>
        <v>Paid</v>
      </c>
      <c r="AQ473" t="str">
        <f t="shared" si="103"/>
        <v>Completed</v>
      </c>
    </row>
    <row r="474" spans="1:43">
      <c r="A474" t="s">
        <v>1751</v>
      </c>
      <c r="B474" s="3">
        <v>45325</v>
      </c>
      <c r="C474" s="3">
        <v>45358</v>
      </c>
      <c r="D474" t="s">
        <v>1752</v>
      </c>
      <c r="E474" t="s">
        <v>232</v>
      </c>
      <c r="F474" t="s">
        <v>177</v>
      </c>
      <c r="G474" t="s">
        <v>123</v>
      </c>
      <c r="H474" t="s">
        <v>124</v>
      </c>
      <c r="I474" t="s">
        <v>125</v>
      </c>
      <c r="J474" t="s">
        <v>113</v>
      </c>
      <c r="K474" t="s">
        <v>213</v>
      </c>
      <c r="L474" t="s">
        <v>1753</v>
      </c>
      <c r="M474" t="s">
        <v>145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117</v>
      </c>
      <c r="U474" t="s">
        <v>118</v>
      </c>
      <c r="V474" s="2">
        <f t="shared" si="93"/>
        <v>0</v>
      </c>
      <c r="W474" s="2">
        <f t="shared" si="94"/>
        <v>1844.2199999999998</v>
      </c>
      <c r="X474" s="2">
        <f>W474-R474</f>
        <v>750.00999999999976</v>
      </c>
      <c r="Y474" s="2">
        <f t="shared" si="95"/>
        <v>0.40668141544934977</v>
      </c>
      <c r="Z474" s="2">
        <f t="shared" si="96"/>
        <v>33</v>
      </c>
      <c r="AA474" s="2">
        <f t="shared" si="97"/>
        <v>2</v>
      </c>
      <c r="AB474" s="2">
        <f t="shared" si="98"/>
        <v>2024</v>
      </c>
      <c r="AC474" s="2" t="str">
        <f t="shared" si="99"/>
        <v>Valid</v>
      </c>
      <c r="AD474" s="2">
        <f t="shared" si="100"/>
        <v>0</v>
      </c>
      <c r="AE474" s="2">
        <f t="shared" si="101"/>
        <v>0</v>
      </c>
      <c r="AH474" t="str">
        <f t="shared" si="92"/>
        <v>Rohan Mehta</v>
      </c>
      <c r="AI474" t="str">
        <f t="shared" si="92"/>
        <v>Corporate</v>
      </c>
      <c r="AJ474" t="str">
        <f t="shared" si="92"/>
        <v>East</v>
      </c>
      <c r="AK474" t="str">
        <f t="shared" si="91"/>
        <v>Odisha</v>
      </c>
      <c r="AL474" t="str">
        <f t="shared" si="91"/>
        <v>Bhubaneswar</v>
      </c>
      <c r="AM474" t="str">
        <f t="shared" si="91"/>
        <v>Office Supplies</v>
      </c>
      <c r="AN474" t="str">
        <f t="shared" si="91"/>
        <v>Storage</v>
      </c>
      <c r="AO474" t="str">
        <f t="shared" si="102"/>
        <v>Standard Class</v>
      </c>
      <c r="AP474" t="str">
        <f t="shared" si="103"/>
        <v>Paid</v>
      </c>
      <c r="AQ474" t="str">
        <f t="shared" si="103"/>
        <v>Completed</v>
      </c>
    </row>
    <row r="475" spans="1:43">
      <c r="A475" t="s">
        <v>1754</v>
      </c>
      <c r="B475" s="3" t="s">
        <v>1755</v>
      </c>
      <c r="C475" s="3">
        <v>45609</v>
      </c>
      <c r="D475" t="s">
        <v>1756</v>
      </c>
      <c r="E475" t="s">
        <v>203</v>
      </c>
      <c r="F475" t="s">
        <v>109</v>
      </c>
      <c r="G475" t="s">
        <v>149</v>
      </c>
      <c r="H475" t="s">
        <v>287</v>
      </c>
      <c r="I475" t="s">
        <v>288</v>
      </c>
      <c r="J475" t="s">
        <v>160</v>
      </c>
      <c r="K475" t="s">
        <v>166</v>
      </c>
      <c r="L475" t="s">
        <v>1757</v>
      </c>
      <c r="M475" t="s">
        <v>145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117</v>
      </c>
      <c r="U475" t="s">
        <v>118</v>
      </c>
      <c r="V475" s="2">
        <f t="shared" si="93"/>
        <v>0.2</v>
      </c>
      <c r="W475" s="2">
        <f t="shared" si="94"/>
        <v>918.95999999999992</v>
      </c>
      <c r="X475" s="2">
        <f>W475-R475</f>
        <v>364.78</v>
      </c>
      <c r="Y475" s="2">
        <f t="shared" si="95"/>
        <v>0.39694872464525116</v>
      </c>
      <c r="Z475" s="2" t="str">
        <f t="shared" si="96"/>
        <v/>
      </c>
      <c r="AA475" s="2" t="e">
        <f t="shared" si="97"/>
        <v>#VALUE!</v>
      </c>
      <c r="AB475" s="2" t="e">
        <f t="shared" si="98"/>
        <v>#VALUE!</v>
      </c>
      <c r="AC475" s="2" t="str">
        <f t="shared" si="99"/>
        <v>Text Value Not Recognized as Date</v>
      </c>
      <c r="AD475" s="2">
        <f t="shared" si="100"/>
        <v>0</v>
      </c>
      <c r="AE475" s="2">
        <f t="shared" si="101"/>
        <v>0</v>
      </c>
      <c r="AH475" t="str">
        <f t="shared" si="92"/>
        <v>Priya Menon</v>
      </c>
      <c r="AI475" t="str">
        <f t="shared" si="92"/>
        <v>Consumer</v>
      </c>
      <c r="AJ475" t="str">
        <f t="shared" si="92"/>
        <v>West</v>
      </c>
      <c r="AK475" t="str">
        <f t="shared" si="91"/>
        <v>Goa</v>
      </c>
      <c r="AL475" t="str">
        <f t="shared" si="91"/>
        <v>Panaji</v>
      </c>
      <c r="AM475" t="str">
        <f t="shared" si="91"/>
        <v>Technology</v>
      </c>
      <c r="AN475" t="str">
        <f t="shared" si="91"/>
        <v>Copiers</v>
      </c>
      <c r="AO475" t="str">
        <f t="shared" si="102"/>
        <v>Standard Class</v>
      </c>
      <c r="AP475" t="str">
        <f t="shared" si="103"/>
        <v>Paid</v>
      </c>
      <c r="AQ475" t="str">
        <f t="shared" si="103"/>
        <v>Completed</v>
      </c>
    </row>
    <row r="476" spans="1:43">
      <c r="A476" t="s">
        <v>1758</v>
      </c>
      <c r="B476" s="3">
        <v>45357</v>
      </c>
      <c r="C476" s="3">
        <v>45453</v>
      </c>
      <c r="D476" t="s">
        <v>1759</v>
      </c>
      <c r="E476" t="s">
        <v>256</v>
      </c>
      <c r="F476" t="s">
        <v>177</v>
      </c>
      <c r="G476" t="s">
        <v>110</v>
      </c>
      <c r="H476" t="s">
        <v>211</v>
      </c>
      <c r="I476" t="s">
        <v>212</v>
      </c>
      <c r="J476" t="s">
        <v>126</v>
      </c>
      <c r="K476" t="s">
        <v>143</v>
      </c>
      <c r="L476" t="s">
        <v>1760</v>
      </c>
      <c r="M476" t="s">
        <v>145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117</v>
      </c>
      <c r="U476" t="s">
        <v>118</v>
      </c>
      <c r="V476" s="2">
        <f t="shared" si="93"/>
        <v>0</v>
      </c>
      <c r="W476" s="2">
        <f t="shared" si="94"/>
        <v>4900.71</v>
      </c>
      <c r="X476" s="2">
        <f>W476-R476</f>
        <v>2186.81</v>
      </c>
      <c r="Y476" s="2">
        <f t="shared" si="95"/>
        <v>0.44622309828575857</v>
      </c>
      <c r="Z476" s="2">
        <f t="shared" si="96"/>
        <v>96</v>
      </c>
      <c r="AA476" s="2">
        <f t="shared" si="97"/>
        <v>3</v>
      </c>
      <c r="AB476" s="2">
        <f t="shared" si="98"/>
        <v>2024</v>
      </c>
      <c r="AC476" s="2" t="str">
        <f t="shared" si="99"/>
        <v>Valid</v>
      </c>
      <c r="AD476" s="2">
        <f t="shared" si="100"/>
        <v>0</v>
      </c>
      <c r="AE476" s="2">
        <f t="shared" si="101"/>
        <v>0</v>
      </c>
      <c r="AH476" t="str">
        <f t="shared" si="92"/>
        <v>Diya Patel</v>
      </c>
      <c r="AI476" t="str">
        <f t="shared" si="92"/>
        <v>Corporate</v>
      </c>
      <c r="AJ476" t="str">
        <f t="shared" si="92"/>
        <v>North</v>
      </c>
      <c r="AK476" t="str">
        <f t="shared" si="91"/>
        <v>Punjab</v>
      </c>
      <c r="AL476" t="str">
        <f t="shared" si="91"/>
        <v>Ludhiana</v>
      </c>
      <c r="AM476" t="str">
        <f t="shared" si="91"/>
        <v>Furniture</v>
      </c>
      <c r="AN476" t="str">
        <f t="shared" si="91"/>
        <v>Furnishings</v>
      </c>
      <c r="AO476" t="str">
        <f t="shared" si="102"/>
        <v>Standard Class</v>
      </c>
      <c r="AP476" t="str">
        <f t="shared" si="103"/>
        <v>Paid</v>
      </c>
      <c r="AQ476" t="str">
        <f t="shared" si="103"/>
        <v>Completed</v>
      </c>
    </row>
    <row r="477" spans="1:43">
      <c r="A477" t="s">
        <v>1761</v>
      </c>
      <c r="B477" s="3">
        <v>45717</v>
      </c>
      <c r="C477" s="3">
        <v>45724</v>
      </c>
      <c r="D477" t="s">
        <v>1762</v>
      </c>
      <c r="E477" t="s">
        <v>157</v>
      </c>
      <c r="F477" t="s">
        <v>109</v>
      </c>
      <c r="G477" t="s">
        <v>123</v>
      </c>
      <c r="H477" t="s">
        <v>186</v>
      </c>
      <c r="I477" t="s">
        <v>187</v>
      </c>
      <c r="J477" t="s">
        <v>126</v>
      </c>
      <c r="K477" t="s">
        <v>152</v>
      </c>
      <c r="L477" t="s">
        <v>1763</v>
      </c>
      <c r="M477" t="s">
        <v>129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199</v>
      </c>
      <c r="U477" t="s">
        <v>190</v>
      </c>
      <c r="V477" s="2">
        <f t="shared" si="93"/>
        <v>0.25</v>
      </c>
      <c r="W477" s="2">
        <f t="shared" si="94"/>
        <v>20272.920000000002</v>
      </c>
      <c r="X477" s="2">
        <f>W477-R477</f>
        <v>4399.5400000000027</v>
      </c>
      <c r="Y477" s="2">
        <f t="shared" si="95"/>
        <v>0.21701560505344086</v>
      </c>
      <c r="Z477" s="2">
        <f t="shared" si="96"/>
        <v>7</v>
      </c>
      <c r="AA477" s="2">
        <f t="shared" si="97"/>
        <v>3</v>
      </c>
      <c r="AB477" s="2">
        <f t="shared" si="98"/>
        <v>2025</v>
      </c>
      <c r="AC477" s="2" t="str">
        <f t="shared" si="99"/>
        <v>Valid</v>
      </c>
      <c r="AD477" s="2">
        <f t="shared" si="100"/>
        <v>0</v>
      </c>
      <c r="AE477" s="2">
        <f t="shared" si="101"/>
        <v>0</v>
      </c>
      <c r="AH477" t="str">
        <f t="shared" si="92"/>
        <v>Vikram Iyer</v>
      </c>
      <c r="AI477" t="str">
        <f t="shared" si="92"/>
        <v>Consumer</v>
      </c>
      <c r="AJ477" t="str">
        <f t="shared" si="92"/>
        <v>East</v>
      </c>
      <c r="AK477" t="str">
        <f t="shared" si="91"/>
        <v>West Bengal</v>
      </c>
      <c r="AL477" t="str">
        <f t="shared" si="91"/>
        <v>Kolkata</v>
      </c>
      <c r="AM477" t="str">
        <f t="shared" si="91"/>
        <v>Furniture</v>
      </c>
      <c r="AN477" t="str">
        <f t="shared" si="91"/>
        <v>Chairs</v>
      </c>
      <c r="AO477" t="str">
        <f t="shared" si="102"/>
        <v>Same Day</v>
      </c>
      <c r="AP477" t="str">
        <f t="shared" si="103"/>
        <v>Pending</v>
      </c>
      <c r="AQ477" t="str">
        <f t="shared" si="103"/>
        <v>Returned</v>
      </c>
    </row>
    <row r="478" spans="1:43">
      <c r="A478" t="s">
        <v>1764</v>
      </c>
      <c r="B478" s="3">
        <v>45419</v>
      </c>
      <c r="C478" s="3">
        <v>45426</v>
      </c>
      <c r="D478" t="s">
        <v>1765</v>
      </c>
      <c r="E478" t="s">
        <v>222</v>
      </c>
      <c r="F478" t="s">
        <v>122</v>
      </c>
      <c r="G478" t="s">
        <v>110</v>
      </c>
      <c r="H478" t="s">
        <v>111</v>
      </c>
      <c r="I478" t="s">
        <v>112</v>
      </c>
      <c r="J478" t="s">
        <v>113</v>
      </c>
      <c r="K478" t="s">
        <v>213</v>
      </c>
      <c r="L478" t="s">
        <v>1766</v>
      </c>
      <c r="M478" t="s">
        <v>135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117</v>
      </c>
      <c r="U478" t="s">
        <v>118</v>
      </c>
      <c r="V478" s="2">
        <f t="shared" si="93"/>
        <v>0.1</v>
      </c>
      <c r="W478" s="2">
        <f t="shared" si="94"/>
        <v>1035.6659999999999</v>
      </c>
      <c r="X478" s="2">
        <f>W478-R478</f>
        <v>440.24599999999998</v>
      </c>
      <c r="Y478" s="2">
        <f t="shared" si="95"/>
        <v>0.42508492120046426</v>
      </c>
      <c r="Z478" s="2">
        <f t="shared" si="96"/>
        <v>7</v>
      </c>
      <c r="AA478" s="2">
        <f t="shared" si="97"/>
        <v>5</v>
      </c>
      <c r="AB478" s="2">
        <f t="shared" si="98"/>
        <v>2024</v>
      </c>
      <c r="AC478" s="2" t="str">
        <f t="shared" si="99"/>
        <v>Valid</v>
      </c>
      <c r="AD478" s="2">
        <f t="shared" si="100"/>
        <v>0</v>
      </c>
      <c r="AE478" s="2">
        <f t="shared" si="101"/>
        <v>0</v>
      </c>
      <c r="AH478" t="str">
        <f t="shared" si="92"/>
        <v>Sneha Kapoor</v>
      </c>
      <c r="AI478" t="str">
        <f t="shared" si="92"/>
        <v>Small Business</v>
      </c>
      <c r="AJ478" t="str">
        <f t="shared" si="92"/>
        <v>North</v>
      </c>
      <c r="AK478" t="str">
        <f t="shared" si="91"/>
        <v>Rajasthan</v>
      </c>
      <c r="AL478" t="str">
        <f t="shared" si="91"/>
        <v>Jaipur</v>
      </c>
      <c r="AM478" t="str">
        <f t="shared" si="91"/>
        <v>Office Supplies</v>
      </c>
      <c r="AN478" t="str">
        <f t="shared" si="91"/>
        <v>Storage</v>
      </c>
      <c r="AO478" t="str">
        <f t="shared" si="102"/>
        <v>First Class</v>
      </c>
      <c r="AP478" t="str">
        <f t="shared" si="103"/>
        <v>Paid</v>
      </c>
      <c r="AQ478" t="str">
        <f t="shared" si="103"/>
        <v>Completed</v>
      </c>
    </row>
    <row r="479" spans="1:43">
      <c r="A479" t="s">
        <v>1767</v>
      </c>
      <c r="B479" s="3">
        <v>45892</v>
      </c>
      <c r="C479" s="3" t="s">
        <v>1768</v>
      </c>
      <c r="D479" t="s">
        <v>1769</v>
      </c>
      <c r="E479" t="s">
        <v>157</v>
      </c>
      <c r="F479" t="s">
        <v>177</v>
      </c>
      <c r="G479" t="s">
        <v>149</v>
      </c>
      <c r="H479" t="s">
        <v>276</v>
      </c>
      <c r="I479" t="s">
        <v>277</v>
      </c>
      <c r="J479" t="s">
        <v>126</v>
      </c>
      <c r="K479" t="s">
        <v>152</v>
      </c>
      <c r="L479" t="s">
        <v>1770</v>
      </c>
      <c r="M479" t="s">
        <v>145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117</v>
      </c>
      <c r="U479" t="s">
        <v>44</v>
      </c>
      <c r="V479" s="2">
        <f t="shared" si="93"/>
        <v>0.1</v>
      </c>
      <c r="W479" s="2">
        <f t="shared" si="94"/>
        <v>11843.442000000001</v>
      </c>
      <c r="X479" s="2">
        <f>W479-R479</f>
        <v>2486.5620000000017</v>
      </c>
      <c r="Y479" s="2">
        <f t="shared" si="95"/>
        <v>0.20995264721184953</v>
      </c>
      <c r="Z479" s="2" t="str">
        <f t="shared" si="96"/>
        <v/>
      </c>
      <c r="AA479" s="2">
        <f t="shared" si="97"/>
        <v>8</v>
      </c>
      <c r="AB479" s="2">
        <f t="shared" si="98"/>
        <v>2025</v>
      </c>
      <c r="AC479" s="2" t="str">
        <f t="shared" si="99"/>
        <v>Text Value Not Recognized as Date</v>
      </c>
      <c r="AD479" s="2">
        <f t="shared" si="100"/>
        <v>0</v>
      </c>
      <c r="AE479" s="2">
        <f t="shared" si="101"/>
        <v>0</v>
      </c>
      <c r="AH479" t="str">
        <f t="shared" si="92"/>
        <v>Vikram Iyer</v>
      </c>
      <c r="AI479" t="str">
        <f t="shared" si="92"/>
        <v>Corporate</v>
      </c>
      <c r="AJ479" t="str">
        <f t="shared" si="92"/>
        <v>West</v>
      </c>
      <c r="AK479" t="str">
        <f t="shared" si="91"/>
        <v>Gujarat</v>
      </c>
      <c r="AL479" t="str">
        <f t="shared" si="91"/>
        <v>Ahmedabad</v>
      </c>
      <c r="AM479" t="str">
        <f t="shared" si="91"/>
        <v>Furniture</v>
      </c>
      <c r="AN479" t="str">
        <f t="shared" si="91"/>
        <v>Chairs</v>
      </c>
      <c r="AO479" t="str">
        <f t="shared" si="102"/>
        <v>Standard Class</v>
      </c>
      <c r="AP479" t="str">
        <f t="shared" si="103"/>
        <v>Paid</v>
      </c>
      <c r="AQ479" t="str">
        <f t="shared" si="103"/>
        <v>Cancelled</v>
      </c>
    </row>
    <row r="480" spans="1:43">
      <c r="A480" t="s">
        <v>1771</v>
      </c>
      <c r="B480" s="3">
        <v>45452</v>
      </c>
      <c r="C480" s="3">
        <v>45456</v>
      </c>
      <c r="D480" t="s">
        <v>1772</v>
      </c>
      <c r="E480" t="s">
        <v>121</v>
      </c>
      <c r="F480" t="s">
        <v>182</v>
      </c>
      <c r="H480" t="s">
        <v>227</v>
      </c>
      <c r="I480" t="s">
        <v>228</v>
      </c>
      <c r="J480" t="s">
        <v>160</v>
      </c>
      <c r="K480" t="s">
        <v>385</v>
      </c>
      <c r="L480" t="s">
        <v>1773</v>
      </c>
      <c r="M480" t="s">
        <v>129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189</v>
      </c>
      <c r="U480" t="s">
        <v>190</v>
      </c>
      <c r="V480" s="2">
        <f t="shared" si="93"/>
        <v>0.1</v>
      </c>
      <c r="W480" s="2">
        <f t="shared" si="94"/>
        <v>25702.173000000003</v>
      </c>
      <c r="X480" s="2">
        <f>W480-R480</f>
        <v>11130.693000000003</v>
      </c>
      <c r="Y480" s="2">
        <f t="shared" si="95"/>
        <v>0.43306427826160854</v>
      </c>
      <c r="Z480" s="2">
        <f t="shared" si="96"/>
        <v>4</v>
      </c>
      <c r="AA480" s="2">
        <f t="shared" si="97"/>
        <v>6</v>
      </c>
      <c r="AB480" s="2">
        <f t="shared" si="98"/>
        <v>2024</v>
      </c>
      <c r="AC480" s="2" t="str">
        <f t="shared" si="99"/>
        <v>Missing region</v>
      </c>
      <c r="AD480" s="2">
        <f t="shared" si="100"/>
        <v>0</v>
      </c>
      <c r="AE480" s="2">
        <f t="shared" si="101"/>
        <v>0</v>
      </c>
      <c r="AH480" t="str">
        <f t="shared" si="92"/>
        <v>Mira Das</v>
      </c>
      <c r="AI480" t="str">
        <f t="shared" si="92"/>
        <v>Home Office</v>
      </c>
      <c r="AJ480" t="s">
        <v>306</v>
      </c>
      <c r="AK480" t="str">
        <f t="shared" si="91"/>
        <v>Uttar Pradesh</v>
      </c>
      <c r="AL480" t="str">
        <f t="shared" si="91"/>
        <v>Noida</v>
      </c>
      <c r="AM480" t="str">
        <f t="shared" si="91"/>
        <v>Technology</v>
      </c>
      <c r="AN480" t="str">
        <f t="shared" si="91"/>
        <v>Machines</v>
      </c>
      <c r="AO480" t="str">
        <f t="shared" si="102"/>
        <v>Same Day</v>
      </c>
      <c r="AP480" t="str">
        <f t="shared" si="103"/>
        <v>Refunded</v>
      </c>
      <c r="AQ480" t="str">
        <f t="shared" si="103"/>
        <v>Returned</v>
      </c>
    </row>
    <row r="481" spans="1:43">
      <c r="A481" t="s">
        <v>1774</v>
      </c>
      <c r="B481" s="3">
        <v>45345</v>
      </c>
      <c r="C481" s="3">
        <v>45342</v>
      </c>
      <c r="D481" t="s">
        <v>1775</v>
      </c>
      <c r="E481" t="s">
        <v>139</v>
      </c>
      <c r="F481" t="s">
        <v>177</v>
      </c>
      <c r="G481" t="s">
        <v>123</v>
      </c>
      <c r="H481" t="s">
        <v>124</v>
      </c>
      <c r="I481" t="s">
        <v>125</v>
      </c>
      <c r="J481" t="s">
        <v>126</v>
      </c>
      <c r="K481" t="s">
        <v>152</v>
      </c>
      <c r="L481" t="s">
        <v>1776</v>
      </c>
      <c r="M481" t="s">
        <v>116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117</v>
      </c>
      <c r="U481" t="s">
        <v>118</v>
      </c>
      <c r="V481" s="2">
        <f t="shared" si="93"/>
        <v>0</v>
      </c>
      <c r="W481" s="2">
        <f t="shared" si="94"/>
        <v>2202.5500000000002</v>
      </c>
      <c r="X481" s="2">
        <f>W481-R481</f>
        <v>1167.9800000000002</v>
      </c>
      <c r="Y481" s="2">
        <f t="shared" si="95"/>
        <v>0.53028535107035035</v>
      </c>
      <c r="Z481" s="2">
        <f t="shared" si="96"/>
        <v>-3</v>
      </c>
      <c r="AA481" s="2">
        <f t="shared" si="97"/>
        <v>2</v>
      </c>
      <c r="AB481" s="2">
        <f t="shared" si="98"/>
        <v>2024</v>
      </c>
      <c r="AC481" s="2" t="str">
        <f t="shared" si="99"/>
        <v>Invalid shipping record</v>
      </c>
      <c r="AD481" s="2">
        <f t="shared" si="100"/>
        <v>1</v>
      </c>
      <c r="AE481" s="2">
        <f t="shared" si="101"/>
        <v>1</v>
      </c>
      <c r="AH481" t="str">
        <f t="shared" si="92"/>
        <v>Arjun Bose</v>
      </c>
      <c r="AI481" t="str">
        <f t="shared" si="92"/>
        <v>Corporate</v>
      </c>
      <c r="AJ481" t="str">
        <f t="shared" si="92"/>
        <v>East</v>
      </c>
      <c r="AK481" t="str">
        <f t="shared" si="91"/>
        <v>Odisha</v>
      </c>
      <c r="AL481" t="str">
        <f t="shared" si="91"/>
        <v>Bhubaneswar</v>
      </c>
      <c r="AM481" t="str">
        <f t="shared" si="91"/>
        <v>Furniture</v>
      </c>
      <c r="AN481" t="str">
        <f t="shared" si="91"/>
        <v>Chairs</v>
      </c>
      <c r="AO481" t="str">
        <f t="shared" si="102"/>
        <v>Second Class</v>
      </c>
      <c r="AP481" t="str">
        <f t="shared" si="103"/>
        <v>Paid</v>
      </c>
      <c r="AQ481" t="str">
        <f t="shared" si="103"/>
        <v>Completed</v>
      </c>
    </row>
    <row r="482" spans="1:43">
      <c r="A482" t="s">
        <v>1777</v>
      </c>
      <c r="B482" s="3">
        <v>45662</v>
      </c>
      <c r="C482" s="3">
        <v>45666</v>
      </c>
      <c r="D482" t="s">
        <v>1778</v>
      </c>
      <c r="E482" t="s">
        <v>165</v>
      </c>
      <c r="F482" t="s">
        <v>122</v>
      </c>
      <c r="G482" t="s">
        <v>140</v>
      </c>
      <c r="H482" t="s">
        <v>357</v>
      </c>
      <c r="I482" t="s">
        <v>358</v>
      </c>
      <c r="J482" t="s">
        <v>113</v>
      </c>
      <c r="K482" t="s">
        <v>213</v>
      </c>
      <c r="L482" t="s">
        <v>1779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117</v>
      </c>
      <c r="U482" t="s">
        <v>118</v>
      </c>
      <c r="V482" s="2">
        <f t="shared" si="93"/>
        <v>0</v>
      </c>
      <c r="W482" s="2">
        <f t="shared" si="94"/>
        <v>4525.8</v>
      </c>
      <c r="X482" s="2">
        <f>W482-R482</f>
        <v>1811.29</v>
      </c>
      <c r="Y482" s="2">
        <f t="shared" si="95"/>
        <v>0.40021432674886204</v>
      </c>
      <c r="Z482" s="2">
        <f t="shared" si="96"/>
        <v>4</v>
      </c>
      <c r="AA482" s="2">
        <f t="shared" si="97"/>
        <v>1</v>
      </c>
      <c r="AB482" s="2">
        <f t="shared" si="98"/>
        <v>2025</v>
      </c>
      <c r="AC482" s="2" t="str">
        <f t="shared" si="99"/>
        <v>Missing ship_mode</v>
      </c>
      <c r="AD482" s="2">
        <f t="shared" si="100"/>
        <v>0</v>
      </c>
      <c r="AE482" s="2">
        <f t="shared" si="101"/>
        <v>0</v>
      </c>
      <c r="AH482" t="str">
        <f t="shared" si="92"/>
        <v>Neha Gupta</v>
      </c>
      <c r="AI482" t="str">
        <f t="shared" si="92"/>
        <v>Small Business</v>
      </c>
      <c r="AJ482" t="str">
        <f t="shared" si="92"/>
        <v>South</v>
      </c>
      <c r="AK482" t="str">
        <f t="shared" si="91"/>
        <v>Tamil Nadu</v>
      </c>
      <c r="AL482" t="str">
        <f t="shared" si="91"/>
        <v>Chennai</v>
      </c>
      <c r="AM482" t="str">
        <f t="shared" si="91"/>
        <v>Office Supplies</v>
      </c>
      <c r="AN482" t="str">
        <f t="shared" si="91"/>
        <v>Storage</v>
      </c>
      <c r="AO482" t="s">
        <v>306</v>
      </c>
      <c r="AP482" t="str">
        <f t="shared" si="103"/>
        <v>Paid</v>
      </c>
      <c r="AQ482" t="str">
        <f t="shared" si="103"/>
        <v>Completed</v>
      </c>
    </row>
    <row r="483" spans="1:43">
      <c r="A483" t="s">
        <v>1780</v>
      </c>
      <c r="B483" s="3">
        <v>45813</v>
      </c>
      <c r="C483" s="3">
        <v>45821</v>
      </c>
      <c r="D483" t="s">
        <v>1781</v>
      </c>
      <c r="E483" t="s">
        <v>132</v>
      </c>
      <c r="F483" t="s">
        <v>109</v>
      </c>
      <c r="G483" t="s">
        <v>110</v>
      </c>
      <c r="H483" t="s">
        <v>227</v>
      </c>
      <c r="I483" t="s">
        <v>228</v>
      </c>
      <c r="J483" t="s">
        <v>160</v>
      </c>
      <c r="K483" t="s">
        <v>385</v>
      </c>
      <c r="L483" t="s">
        <v>1782</v>
      </c>
      <c r="M483" t="s">
        <v>129</v>
      </c>
      <c r="N483">
        <v>4</v>
      </c>
      <c r="O483">
        <v>2793.88</v>
      </c>
      <c r="P483" t="s">
        <v>931</v>
      </c>
      <c r="Q483">
        <v>10616.74</v>
      </c>
      <c r="R483">
        <v>6353.59</v>
      </c>
      <c r="S483">
        <v>4263.1499999999996</v>
      </c>
      <c r="T483" t="s">
        <v>117</v>
      </c>
      <c r="U483" t="s">
        <v>118</v>
      </c>
      <c r="V483" s="2" t="str">
        <f t="shared" si="93"/>
        <v>85%</v>
      </c>
      <c r="W483" s="2">
        <f t="shared" si="94"/>
        <v>1676.3280000000002</v>
      </c>
      <c r="X483" s="2">
        <f>W483-R483</f>
        <v>-4677.2619999999997</v>
      </c>
      <c r="Y483" s="2">
        <f t="shared" si="95"/>
        <v>-2.7901830667983827</v>
      </c>
      <c r="Z483" s="2">
        <f t="shared" si="96"/>
        <v>8</v>
      </c>
      <c r="AA483" s="2">
        <f t="shared" si="97"/>
        <v>6</v>
      </c>
      <c r="AB483" s="2">
        <f t="shared" si="98"/>
        <v>2025</v>
      </c>
      <c r="AC483" s="2" t="str">
        <f t="shared" si="99"/>
        <v>Invalid</v>
      </c>
      <c r="AD483" s="2">
        <f t="shared" si="100"/>
        <v>1</v>
      </c>
      <c r="AE483" s="2">
        <f t="shared" si="101"/>
        <v>1</v>
      </c>
      <c r="AH483" t="str">
        <f t="shared" si="92"/>
        <v>Isha Nair</v>
      </c>
      <c r="AI483" t="str">
        <f t="shared" si="92"/>
        <v>Consumer</v>
      </c>
      <c r="AJ483" t="str">
        <f t="shared" si="92"/>
        <v>North</v>
      </c>
      <c r="AK483" t="str">
        <f t="shared" si="91"/>
        <v>Uttar Pradesh</v>
      </c>
      <c r="AL483" t="str">
        <f t="shared" si="91"/>
        <v>Noida</v>
      </c>
      <c r="AM483" t="str">
        <f t="shared" si="91"/>
        <v>Technology</v>
      </c>
      <c r="AN483" t="str">
        <f t="shared" si="91"/>
        <v>Machines</v>
      </c>
      <c r="AO483" t="str">
        <f t="shared" si="102"/>
        <v>Same Day</v>
      </c>
      <c r="AP483" t="str">
        <f t="shared" si="103"/>
        <v>Paid</v>
      </c>
      <c r="AQ483" t="str">
        <f t="shared" si="103"/>
        <v>Completed</v>
      </c>
    </row>
    <row r="484" spans="1:43">
      <c r="A484" t="s">
        <v>1783</v>
      </c>
      <c r="B484" s="3">
        <v>45495</v>
      </c>
      <c r="C484" s="3">
        <v>45495</v>
      </c>
      <c r="D484" t="s">
        <v>1784</v>
      </c>
      <c r="E484" t="s">
        <v>203</v>
      </c>
      <c r="F484" t="s">
        <v>109</v>
      </c>
      <c r="G484" t="s">
        <v>140</v>
      </c>
      <c r="H484" t="s">
        <v>270</v>
      </c>
      <c r="I484" t="s">
        <v>271</v>
      </c>
      <c r="J484" t="s">
        <v>160</v>
      </c>
      <c r="K484" t="s">
        <v>161</v>
      </c>
      <c r="L484" t="s">
        <v>1785</v>
      </c>
      <c r="M484" t="s">
        <v>116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117</v>
      </c>
      <c r="U484" t="s">
        <v>118</v>
      </c>
      <c r="V484" s="2">
        <f t="shared" si="93"/>
        <v>0.25</v>
      </c>
      <c r="W484" s="2">
        <f t="shared" si="94"/>
        <v>2893.9949999999999</v>
      </c>
      <c r="X484" s="2">
        <f>W484-R484</f>
        <v>1037.9649999999999</v>
      </c>
      <c r="Y484" s="2">
        <f t="shared" si="95"/>
        <v>0.35866164247001114</v>
      </c>
      <c r="Z484" s="2">
        <f t="shared" si="96"/>
        <v>0</v>
      </c>
      <c r="AA484" s="2">
        <f t="shared" si="97"/>
        <v>7</v>
      </c>
      <c r="AB484" s="2">
        <f t="shared" si="98"/>
        <v>2024</v>
      </c>
      <c r="AC484" s="2" t="str">
        <f t="shared" si="99"/>
        <v>Valid</v>
      </c>
      <c r="AD484" s="2">
        <f t="shared" si="100"/>
        <v>0</v>
      </c>
      <c r="AE484" s="2">
        <f t="shared" si="101"/>
        <v>0</v>
      </c>
      <c r="AH484" t="str">
        <f t="shared" si="92"/>
        <v>Priya Menon</v>
      </c>
      <c r="AI484" t="str">
        <f t="shared" si="92"/>
        <v>Consumer</v>
      </c>
      <c r="AJ484" t="str">
        <f t="shared" si="92"/>
        <v>South</v>
      </c>
      <c r="AK484" t="str">
        <f t="shared" si="91"/>
        <v>Karnataka</v>
      </c>
      <c r="AL484" t="str">
        <f t="shared" si="91"/>
        <v>Bengaluru</v>
      </c>
      <c r="AM484" t="str">
        <f t="shared" si="91"/>
        <v>Technology</v>
      </c>
      <c r="AN484" t="str">
        <f t="shared" si="91"/>
        <v>Accessories</v>
      </c>
      <c r="AO484" t="str">
        <f t="shared" si="102"/>
        <v>Second Class</v>
      </c>
      <c r="AP484" t="str">
        <f t="shared" si="103"/>
        <v>Paid</v>
      </c>
      <c r="AQ484" t="str">
        <f t="shared" si="103"/>
        <v>Completed</v>
      </c>
    </row>
    <row r="485" spans="1:43">
      <c r="A485" t="s">
        <v>1786</v>
      </c>
      <c r="B485" s="3">
        <v>45651</v>
      </c>
      <c r="C485" s="3" t="s">
        <v>1787</v>
      </c>
      <c r="D485" t="s">
        <v>1788</v>
      </c>
      <c r="E485" t="s">
        <v>121</v>
      </c>
      <c r="F485" t="s">
        <v>177</v>
      </c>
      <c r="G485" t="s">
        <v>123</v>
      </c>
      <c r="H485" t="s">
        <v>237</v>
      </c>
      <c r="I485" t="s">
        <v>238</v>
      </c>
      <c r="J485" t="s">
        <v>160</v>
      </c>
      <c r="K485" t="s">
        <v>166</v>
      </c>
      <c r="L485" t="s">
        <v>1789</v>
      </c>
      <c r="M485" t="s">
        <v>145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117</v>
      </c>
      <c r="U485" t="s">
        <v>118</v>
      </c>
      <c r="V485" s="2">
        <f t="shared" si="93"/>
        <v>0.15</v>
      </c>
      <c r="W485" s="2">
        <f t="shared" si="94"/>
        <v>705.2109999999999</v>
      </c>
      <c r="X485" s="2">
        <f>W485-R485</f>
        <v>266.89099999999991</v>
      </c>
      <c r="Y485" s="2">
        <f t="shared" si="95"/>
        <v>0.37845552607659261</v>
      </c>
      <c r="Z485" s="2" t="str">
        <f t="shared" si="96"/>
        <v/>
      </c>
      <c r="AA485" s="2">
        <f t="shared" si="97"/>
        <v>12</v>
      </c>
      <c r="AB485" s="2">
        <f t="shared" si="98"/>
        <v>2024</v>
      </c>
      <c r="AC485" s="2" t="str">
        <f t="shared" si="99"/>
        <v>Text Value Not Recognized as Date</v>
      </c>
      <c r="AD485" s="2">
        <f t="shared" si="100"/>
        <v>0</v>
      </c>
      <c r="AE485" s="2">
        <f t="shared" si="101"/>
        <v>0</v>
      </c>
      <c r="AH485" t="str">
        <f t="shared" si="92"/>
        <v>Mira Das</v>
      </c>
      <c r="AI485" t="str">
        <f t="shared" si="92"/>
        <v>Corporate</v>
      </c>
      <c r="AJ485" t="str">
        <f t="shared" si="92"/>
        <v>East</v>
      </c>
      <c r="AK485" t="str">
        <f t="shared" si="91"/>
        <v>Bihar</v>
      </c>
      <c r="AL485" t="str">
        <f t="shared" si="91"/>
        <v>Patna</v>
      </c>
      <c r="AM485" t="str">
        <f t="shared" si="91"/>
        <v>Technology</v>
      </c>
      <c r="AN485" t="str">
        <f t="shared" si="91"/>
        <v>Copiers</v>
      </c>
      <c r="AO485" t="str">
        <f t="shared" si="102"/>
        <v>Standard Class</v>
      </c>
      <c r="AP485" t="str">
        <f t="shared" si="103"/>
        <v>Paid</v>
      </c>
      <c r="AQ485" t="str">
        <f t="shared" si="103"/>
        <v>Completed</v>
      </c>
    </row>
    <row r="486" spans="1:43">
      <c r="A486" t="s">
        <v>1790</v>
      </c>
      <c r="B486" s="3">
        <v>45654</v>
      </c>
      <c r="C486" s="3">
        <v>45657</v>
      </c>
      <c r="D486" t="s">
        <v>1791</v>
      </c>
      <c r="E486" t="s">
        <v>121</v>
      </c>
      <c r="F486" t="s">
        <v>122</v>
      </c>
      <c r="G486" t="s">
        <v>140</v>
      </c>
      <c r="H486" t="s">
        <v>171</v>
      </c>
      <c r="I486" t="s">
        <v>172</v>
      </c>
      <c r="J486" t="s">
        <v>126</v>
      </c>
      <c r="K486" t="s">
        <v>143</v>
      </c>
      <c r="L486" t="s">
        <v>1792</v>
      </c>
      <c r="M486" t="s">
        <v>135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117</v>
      </c>
      <c r="U486" t="s">
        <v>118</v>
      </c>
      <c r="V486" s="2">
        <f t="shared" si="93"/>
        <v>0.25</v>
      </c>
      <c r="W486" s="2">
        <f t="shared" si="94"/>
        <v>16385.489999999998</v>
      </c>
      <c r="X486" s="2">
        <f>W486-R486</f>
        <v>2706.2499999999982</v>
      </c>
      <c r="Y486" s="2">
        <f t="shared" si="95"/>
        <v>0.16516137143289572</v>
      </c>
      <c r="Z486" s="2">
        <f t="shared" si="96"/>
        <v>3</v>
      </c>
      <c r="AA486" s="2">
        <f t="shared" si="97"/>
        <v>12</v>
      </c>
      <c r="AB486" s="2">
        <f t="shared" si="98"/>
        <v>2024</v>
      </c>
      <c r="AC486" s="2" t="str">
        <f t="shared" si="99"/>
        <v>Valid</v>
      </c>
      <c r="AD486" s="2">
        <f t="shared" si="100"/>
        <v>0</v>
      </c>
      <c r="AE486" s="2">
        <f t="shared" si="101"/>
        <v>0</v>
      </c>
      <c r="AH486" t="str">
        <f t="shared" si="92"/>
        <v>Mira Das</v>
      </c>
      <c r="AI486" t="str">
        <f t="shared" si="92"/>
        <v>Small Business</v>
      </c>
      <c r="AJ486" t="str">
        <f t="shared" si="92"/>
        <v>South</v>
      </c>
      <c r="AK486" t="str">
        <f t="shared" si="91"/>
        <v>Andhra Pradesh</v>
      </c>
      <c r="AL486" t="str">
        <f t="shared" si="91"/>
        <v>Vijayawada</v>
      </c>
      <c r="AM486" t="str">
        <f t="shared" si="91"/>
        <v>Furniture</v>
      </c>
      <c r="AN486" t="str">
        <f t="shared" si="91"/>
        <v>Furnishings</v>
      </c>
      <c r="AO486" t="str">
        <f t="shared" si="102"/>
        <v>First Class</v>
      </c>
      <c r="AP486" t="str">
        <f t="shared" si="103"/>
        <v>Paid</v>
      </c>
      <c r="AQ486" t="str">
        <f t="shared" si="103"/>
        <v>Completed</v>
      </c>
    </row>
    <row r="487" spans="1:43">
      <c r="A487" t="s">
        <v>1793</v>
      </c>
      <c r="B487" s="3">
        <v>45679</v>
      </c>
      <c r="C487" s="3">
        <v>45680</v>
      </c>
      <c r="D487" t="s">
        <v>1794</v>
      </c>
      <c r="E487" t="s">
        <v>207</v>
      </c>
      <c r="F487" t="s">
        <v>177</v>
      </c>
      <c r="G487" t="s">
        <v>149</v>
      </c>
      <c r="H487" t="s">
        <v>287</v>
      </c>
      <c r="I487" t="s">
        <v>288</v>
      </c>
      <c r="J487" t="s">
        <v>126</v>
      </c>
      <c r="K487" t="s">
        <v>252</v>
      </c>
      <c r="L487" t="s">
        <v>1795</v>
      </c>
      <c r="M487" t="s">
        <v>145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117</v>
      </c>
      <c r="U487" t="s">
        <v>118</v>
      </c>
      <c r="V487" s="2">
        <f t="shared" si="93"/>
        <v>0.25</v>
      </c>
      <c r="W487" s="2">
        <f t="shared" si="94"/>
        <v>7665.57</v>
      </c>
      <c r="X487" s="2">
        <f>W487-R487</f>
        <v>2069.9699999999993</v>
      </c>
      <c r="Y487" s="2">
        <f t="shared" si="95"/>
        <v>0.27003471366121495</v>
      </c>
      <c r="Z487" s="2">
        <f t="shared" si="96"/>
        <v>1</v>
      </c>
      <c r="AA487" s="2">
        <f t="shared" si="97"/>
        <v>1</v>
      </c>
      <c r="AB487" s="2">
        <f t="shared" si="98"/>
        <v>2025</v>
      </c>
      <c r="AC487" s="2" t="str">
        <f t="shared" si="99"/>
        <v>Valid</v>
      </c>
      <c r="AD487" s="2">
        <f t="shared" si="100"/>
        <v>0</v>
      </c>
      <c r="AE487" s="2">
        <f t="shared" si="101"/>
        <v>0</v>
      </c>
      <c r="AH487" t="str">
        <f t="shared" si="92"/>
        <v>Rahul Verma</v>
      </c>
      <c r="AI487" t="str">
        <f t="shared" si="92"/>
        <v>Corporate</v>
      </c>
      <c r="AJ487" t="str">
        <f t="shared" si="92"/>
        <v>West</v>
      </c>
      <c r="AK487" t="str">
        <f t="shared" si="91"/>
        <v>Goa</v>
      </c>
      <c r="AL487" t="str">
        <f t="shared" si="91"/>
        <v>Panaji</v>
      </c>
      <c r="AM487" t="str">
        <f t="shared" si="91"/>
        <v>Furniture</v>
      </c>
      <c r="AN487" t="str">
        <f t="shared" si="91"/>
        <v>Bookcases</v>
      </c>
      <c r="AO487" t="str">
        <f t="shared" si="102"/>
        <v>Standard Class</v>
      </c>
      <c r="AP487" t="str">
        <f t="shared" si="103"/>
        <v>Paid</v>
      </c>
      <c r="AQ487" t="str">
        <f t="shared" si="103"/>
        <v>Completed</v>
      </c>
    </row>
    <row r="488" spans="1:43">
      <c r="A488" t="s">
        <v>1796</v>
      </c>
      <c r="B488" s="3" t="s">
        <v>1797</v>
      </c>
      <c r="C488" s="3">
        <v>45834</v>
      </c>
      <c r="D488" t="s">
        <v>1798</v>
      </c>
      <c r="E488" t="s">
        <v>207</v>
      </c>
      <c r="F488" t="s">
        <v>177</v>
      </c>
      <c r="G488" t="s">
        <v>149</v>
      </c>
      <c r="H488" t="s">
        <v>287</v>
      </c>
      <c r="I488" t="s">
        <v>288</v>
      </c>
      <c r="J488" t="s">
        <v>126</v>
      </c>
      <c r="K488" t="s">
        <v>127</v>
      </c>
      <c r="L488" t="s">
        <v>1799</v>
      </c>
      <c r="M488" t="s">
        <v>145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117</v>
      </c>
      <c r="U488" t="s">
        <v>118</v>
      </c>
      <c r="V488" s="2">
        <f t="shared" si="93"/>
        <v>0.2</v>
      </c>
      <c r="W488" s="2">
        <f t="shared" si="94"/>
        <v>4670.8320000000003</v>
      </c>
      <c r="X488" s="2">
        <f>W488-R488</f>
        <v>1504.3420000000006</v>
      </c>
      <c r="Y488" s="2">
        <f t="shared" si="95"/>
        <v>0.3220715281560117</v>
      </c>
      <c r="Z488" s="2" t="str">
        <f t="shared" si="96"/>
        <v/>
      </c>
      <c r="AA488" s="2" t="e">
        <f t="shared" si="97"/>
        <v>#VALUE!</v>
      </c>
      <c r="AB488" s="2" t="e">
        <f t="shared" si="98"/>
        <v>#VALUE!</v>
      </c>
      <c r="AC488" s="2" t="str">
        <f t="shared" si="99"/>
        <v>Text Value Not Recognized as Date</v>
      </c>
      <c r="AD488" s="2">
        <f t="shared" si="100"/>
        <v>0</v>
      </c>
      <c r="AE488" s="2">
        <f t="shared" si="101"/>
        <v>0</v>
      </c>
      <c r="AH488" t="str">
        <f t="shared" si="92"/>
        <v>Rahul Verma</v>
      </c>
      <c r="AI488" t="str">
        <f t="shared" si="92"/>
        <v>Corporate</v>
      </c>
      <c r="AJ488" t="str">
        <f t="shared" si="92"/>
        <v>West</v>
      </c>
      <c r="AK488" t="str">
        <f t="shared" si="91"/>
        <v>Goa</v>
      </c>
      <c r="AL488" t="str">
        <f t="shared" si="91"/>
        <v>Panaji</v>
      </c>
      <c r="AM488" t="str">
        <f t="shared" si="91"/>
        <v>Furniture</v>
      </c>
      <c r="AN488" t="str">
        <f t="shared" si="91"/>
        <v>Tables</v>
      </c>
      <c r="AO488" t="str">
        <f t="shared" si="102"/>
        <v>Standard Class</v>
      </c>
      <c r="AP488" t="str">
        <f t="shared" si="103"/>
        <v>Paid</v>
      </c>
      <c r="AQ488" t="str">
        <f t="shared" si="103"/>
        <v>Completed</v>
      </c>
    </row>
    <row r="489" spans="1:43">
      <c r="A489" t="s">
        <v>1800</v>
      </c>
      <c r="B489" s="3">
        <v>45818</v>
      </c>
      <c r="C489" s="3">
        <v>45825</v>
      </c>
      <c r="D489" t="s">
        <v>1801</v>
      </c>
      <c r="E489" t="s">
        <v>207</v>
      </c>
      <c r="F489" t="s">
        <v>177</v>
      </c>
      <c r="G489" t="s">
        <v>140</v>
      </c>
      <c r="H489" t="s">
        <v>141</v>
      </c>
      <c r="I489" t="s">
        <v>142</v>
      </c>
      <c r="J489" t="s">
        <v>126</v>
      </c>
      <c r="K489" t="s">
        <v>143</v>
      </c>
      <c r="L489" t="s">
        <v>1802</v>
      </c>
      <c r="M489" t="s">
        <v>145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189</v>
      </c>
      <c r="U489" t="s">
        <v>190</v>
      </c>
      <c r="V489" s="2">
        <f t="shared" si="93"/>
        <v>0</v>
      </c>
      <c r="W489" s="2">
        <f t="shared" si="94"/>
        <v>6155.5</v>
      </c>
      <c r="X489" s="2">
        <f>W489-R489</f>
        <v>1873.4099999999999</v>
      </c>
      <c r="Y489" s="2">
        <f t="shared" si="95"/>
        <v>0.3043473316546178</v>
      </c>
      <c r="Z489" s="2">
        <f t="shared" si="96"/>
        <v>7</v>
      </c>
      <c r="AA489" s="2">
        <f t="shared" si="97"/>
        <v>6</v>
      </c>
      <c r="AB489" s="2">
        <f t="shared" si="98"/>
        <v>2025</v>
      </c>
      <c r="AC489" s="2" t="str">
        <f t="shared" si="99"/>
        <v>Valid</v>
      </c>
      <c r="AD489" s="2">
        <f t="shared" si="100"/>
        <v>0</v>
      </c>
      <c r="AE489" s="2">
        <f t="shared" si="101"/>
        <v>0</v>
      </c>
      <c r="AH489" t="str">
        <f t="shared" si="92"/>
        <v>Rahul Verma</v>
      </c>
      <c r="AI489" t="str">
        <f t="shared" si="92"/>
        <v>Corporate</v>
      </c>
      <c r="AJ489" t="str">
        <f t="shared" si="92"/>
        <v>South</v>
      </c>
      <c r="AK489" t="str">
        <f t="shared" si="91"/>
        <v>Telangana</v>
      </c>
      <c r="AL489" t="str">
        <f t="shared" si="91"/>
        <v>Hyderabad</v>
      </c>
      <c r="AM489" t="str">
        <f t="shared" si="91"/>
        <v>Furniture</v>
      </c>
      <c r="AN489" t="str">
        <f t="shared" si="91"/>
        <v>Furnishings</v>
      </c>
      <c r="AO489" t="str">
        <f t="shared" si="102"/>
        <v>Standard Class</v>
      </c>
      <c r="AP489" t="str">
        <f t="shared" si="103"/>
        <v>Refunded</v>
      </c>
      <c r="AQ489" t="str">
        <f t="shared" si="103"/>
        <v>Returned</v>
      </c>
    </row>
    <row r="490" spans="1:43">
      <c r="A490" t="s">
        <v>1803</v>
      </c>
      <c r="B490" s="3">
        <v>45579</v>
      </c>
      <c r="C490" s="3">
        <v>45585</v>
      </c>
      <c r="D490" t="s">
        <v>1804</v>
      </c>
      <c r="E490" t="s">
        <v>176</v>
      </c>
      <c r="F490" t="s">
        <v>122</v>
      </c>
      <c r="G490" t="s">
        <v>110</v>
      </c>
      <c r="H490" t="s">
        <v>111</v>
      </c>
      <c r="I490" t="s">
        <v>112</v>
      </c>
      <c r="J490" t="s">
        <v>126</v>
      </c>
      <c r="K490" t="s">
        <v>127</v>
      </c>
      <c r="L490" t="s">
        <v>1805</v>
      </c>
      <c r="M490" t="s">
        <v>129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117</v>
      </c>
      <c r="U490" t="s">
        <v>118</v>
      </c>
      <c r="V490" s="2">
        <f t="shared" si="93"/>
        <v>0.2</v>
      </c>
      <c r="W490" s="2">
        <f t="shared" si="94"/>
        <v>8666.56</v>
      </c>
      <c r="X490" s="2">
        <f>W490-R490</f>
        <v>2699.12</v>
      </c>
      <c r="Y490" s="2">
        <f t="shared" si="95"/>
        <v>0.31144075619392242</v>
      </c>
      <c r="Z490" s="2">
        <f t="shared" si="96"/>
        <v>6</v>
      </c>
      <c r="AA490" s="2">
        <f t="shared" si="97"/>
        <v>10</v>
      </c>
      <c r="AB490" s="2">
        <f t="shared" si="98"/>
        <v>2024</v>
      </c>
      <c r="AC490" s="2" t="str">
        <f t="shared" si="99"/>
        <v>Valid</v>
      </c>
      <c r="AD490" s="2">
        <f t="shared" si="100"/>
        <v>0</v>
      </c>
      <c r="AE490" s="2">
        <f t="shared" si="101"/>
        <v>0</v>
      </c>
      <c r="AH490" t="str">
        <f t="shared" si="92"/>
        <v>Aditi Sen</v>
      </c>
      <c r="AI490" t="str">
        <f t="shared" si="92"/>
        <v>Small Business</v>
      </c>
      <c r="AJ490" t="str">
        <f t="shared" si="92"/>
        <v>North</v>
      </c>
      <c r="AK490" t="str">
        <f t="shared" si="91"/>
        <v>Rajasthan</v>
      </c>
      <c r="AL490" t="str">
        <f t="shared" si="91"/>
        <v>Jaipur</v>
      </c>
      <c r="AM490" t="str">
        <f t="shared" si="91"/>
        <v>Furniture</v>
      </c>
      <c r="AN490" t="str">
        <f t="shared" ref="AN490:AN553" si="104">PROPER(TRIM(K490))</f>
        <v>Tables</v>
      </c>
      <c r="AO490" t="str">
        <f t="shared" si="102"/>
        <v>Same Day</v>
      </c>
      <c r="AP490" t="str">
        <f t="shared" si="103"/>
        <v>Paid</v>
      </c>
      <c r="AQ490" t="str">
        <f t="shared" si="103"/>
        <v>Completed</v>
      </c>
    </row>
    <row r="491" spans="1:43">
      <c r="A491" t="s">
        <v>1806</v>
      </c>
      <c r="B491" s="3">
        <v>45329</v>
      </c>
      <c r="C491" s="3">
        <v>45334</v>
      </c>
      <c r="D491" t="s">
        <v>1807</v>
      </c>
      <c r="E491" t="s">
        <v>139</v>
      </c>
      <c r="F491" t="s">
        <v>182</v>
      </c>
      <c r="G491" t="s">
        <v>123</v>
      </c>
      <c r="H491" t="s">
        <v>186</v>
      </c>
      <c r="I491" t="s">
        <v>187</v>
      </c>
      <c r="J491" t="s">
        <v>160</v>
      </c>
      <c r="K491" t="s">
        <v>161</v>
      </c>
      <c r="L491" t="s">
        <v>1808</v>
      </c>
      <c r="M491" t="s">
        <v>116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117</v>
      </c>
      <c r="U491" t="s">
        <v>118</v>
      </c>
      <c r="V491" s="2">
        <f t="shared" si="93"/>
        <v>0.2</v>
      </c>
      <c r="W491" s="2">
        <f t="shared" si="94"/>
        <v>361.75200000000001</v>
      </c>
      <c r="X491" s="2">
        <f>W491-R491</f>
        <v>99.222000000000037</v>
      </c>
      <c r="Y491" s="2">
        <f t="shared" si="95"/>
        <v>0.27428182843495003</v>
      </c>
      <c r="Z491" s="2">
        <f t="shared" si="96"/>
        <v>5</v>
      </c>
      <c r="AA491" s="2">
        <f t="shared" si="97"/>
        <v>2</v>
      </c>
      <c r="AB491" s="2">
        <f t="shared" si="98"/>
        <v>2024</v>
      </c>
      <c r="AC491" s="2" t="str">
        <f t="shared" si="99"/>
        <v>Valid</v>
      </c>
      <c r="AD491" s="2">
        <f t="shared" si="100"/>
        <v>0</v>
      </c>
      <c r="AE491" s="2">
        <f t="shared" si="101"/>
        <v>0</v>
      </c>
      <c r="AH491" t="str">
        <f t="shared" si="92"/>
        <v>Arjun Bose</v>
      </c>
      <c r="AI491" t="str">
        <f t="shared" si="92"/>
        <v>Home Office</v>
      </c>
      <c r="AJ491" t="str">
        <f t="shared" si="92"/>
        <v>East</v>
      </c>
      <c r="AK491" t="str">
        <f t="shared" si="92"/>
        <v>West Bengal</v>
      </c>
      <c r="AL491" t="str">
        <f t="shared" si="92"/>
        <v>Kolkata</v>
      </c>
      <c r="AM491" t="str">
        <f t="shared" si="92"/>
        <v>Technology</v>
      </c>
      <c r="AN491" t="str">
        <f t="shared" si="104"/>
        <v>Accessories</v>
      </c>
      <c r="AO491" t="str">
        <f t="shared" si="102"/>
        <v>Second Class</v>
      </c>
      <c r="AP491" t="str">
        <f t="shared" si="103"/>
        <v>Paid</v>
      </c>
      <c r="AQ491" t="str">
        <f t="shared" si="103"/>
        <v>Completed</v>
      </c>
    </row>
    <row r="492" spans="1:43">
      <c r="A492" t="s">
        <v>1809</v>
      </c>
      <c r="B492" s="3">
        <v>45551</v>
      </c>
      <c r="C492" s="3">
        <v>45554</v>
      </c>
      <c r="D492" t="s">
        <v>1810</v>
      </c>
      <c r="E492" t="s">
        <v>176</v>
      </c>
      <c r="F492" t="s">
        <v>109</v>
      </c>
      <c r="G492" t="s">
        <v>149</v>
      </c>
      <c r="H492" t="s">
        <v>111</v>
      </c>
      <c r="I492" t="s">
        <v>197</v>
      </c>
      <c r="J492" t="s">
        <v>113</v>
      </c>
      <c r="K492" t="s">
        <v>246</v>
      </c>
      <c r="L492" t="s">
        <v>1811</v>
      </c>
      <c r="M492" t="s">
        <v>135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117</v>
      </c>
      <c r="U492" t="s">
        <v>118</v>
      </c>
      <c r="V492" s="2">
        <f t="shared" si="93"/>
        <v>0.15</v>
      </c>
      <c r="W492" s="2">
        <f t="shared" si="94"/>
        <v>2418.1990000000001</v>
      </c>
      <c r="X492" s="2">
        <f>W492-R492</f>
        <v>804.37900000000013</v>
      </c>
      <c r="Y492" s="2">
        <f t="shared" si="95"/>
        <v>0.33263556886757462</v>
      </c>
      <c r="Z492" s="2">
        <f t="shared" si="96"/>
        <v>3</v>
      </c>
      <c r="AA492" s="2">
        <f t="shared" si="97"/>
        <v>9</v>
      </c>
      <c r="AB492" s="2">
        <f t="shared" si="98"/>
        <v>2024</v>
      </c>
      <c r="AC492" s="2" t="str">
        <f t="shared" si="99"/>
        <v>Valid</v>
      </c>
      <c r="AD492" s="2">
        <f t="shared" si="100"/>
        <v>0</v>
      </c>
      <c r="AE492" s="2">
        <f t="shared" si="101"/>
        <v>0</v>
      </c>
      <c r="AH492" t="str">
        <f t="shared" ref="AH492:AM555" si="105">PROPER(TRIM(E492))</f>
        <v>Aditi Sen</v>
      </c>
      <c r="AI492" t="str">
        <f t="shared" si="105"/>
        <v>Consumer</v>
      </c>
      <c r="AJ492" t="str">
        <f t="shared" si="105"/>
        <v>West</v>
      </c>
      <c r="AK492" t="str">
        <f t="shared" si="105"/>
        <v>Rajasthan</v>
      </c>
      <c r="AL492" t="str">
        <f t="shared" si="105"/>
        <v>Udaipur</v>
      </c>
      <c r="AM492" t="str">
        <f t="shared" si="105"/>
        <v>Office Supplies</v>
      </c>
      <c r="AN492" t="str">
        <f t="shared" si="104"/>
        <v>Binders</v>
      </c>
      <c r="AO492" t="str">
        <f t="shared" si="102"/>
        <v>First Class</v>
      </c>
      <c r="AP492" t="str">
        <f t="shared" si="103"/>
        <v>Paid</v>
      </c>
      <c r="AQ492" t="str">
        <f t="shared" si="103"/>
        <v>Completed</v>
      </c>
    </row>
    <row r="493" spans="1:43">
      <c r="A493" t="s">
        <v>1812</v>
      </c>
      <c r="B493" s="3">
        <v>45776</v>
      </c>
      <c r="C493" s="3" t="s">
        <v>1813</v>
      </c>
      <c r="D493" t="s">
        <v>1814</v>
      </c>
      <c r="E493" t="s">
        <v>121</v>
      </c>
      <c r="F493" t="s">
        <v>177</v>
      </c>
      <c r="G493" t="s">
        <v>140</v>
      </c>
      <c r="H493" t="s">
        <v>282</v>
      </c>
      <c r="I493" t="s">
        <v>283</v>
      </c>
      <c r="J493" t="s">
        <v>160</v>
      </c>
      <c r="K493" t="s">
        <v>161</v>
      </c>
      <c r="L493" t="s">
        <v>1815</v>
      </c>
      <c r="M493" t="s">
        <v>145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117</v>
      </c>
      <c r="U493" t="s">
        <v>118</v>
      </c>
      <c r="V493" s="2">
        <f t="shared" si="93"/>
        <v>0.2</v>
      </c>
      <c r="W493" s="2">
        <f t="shared" si="94"/>
        <v>1941.0560000000003</v>
      </c>
      <c r="X493" s="2">
        <f>W493-R493</f>
        <v>733.63600000000019</v>
      </c>
      <c r="Y493" s="2">
        <f t="shared" si="95"/>
        <v>0.37795715321969076</v>
      </c>
      <c r="Z493" s="2" t="str">
        <f t="shared" si="96"/>
        <v/>
      </c>
      <c r="AA493" s="2">
        <f t="shared" si="97"/>
        <v>4</v>
      </c>
      <c r="AB493" s="2">
        <f t="shared" si="98"/>
        <v>2025</v>
      </c>
      <c r="AC493" s="2" t="str">
        <f t="shared" si="99"/>
        <v>Text Value Not Recognized as Date</v>
      </c>
      <c r="AD493" s="2">
        <f t="shared" si="100"/>
        <v>0</v>
      </c>
      <c r="AE493" s="2">
        <f t="shared" si="101"/>
        <v>0</v>
      </c>
      <c r="AH493" t="str">
        <f t="shared" si="105"/>
        <v>Mira Das</v>
      </c>
      <c r="AI493" t="str">
        <f t="shared" si="105"/>
        <v>Corporate</v>
      </c>
      <c r="AJ493" t="str">
        <f t="shared" si="105"/>
        <v>South</v>
      </c>
      <c r="AK493" t="str">
        <f t="shared" si="105"/>
        <v>Kerala</v>
      </c>
      <c r="AL493" t="str">
        <f t="shared" si="105"/>
        <v>Kochi</v>
      </c>
      <c r="AM493" t="str">
        <f t="shared" si="105"/>
        <v>Technology</v>
      </c>
      <c r="AN493" t="str">
        <f t="shared" si="104"/>
        <v>Accessories</v>
      </c>
      <c r="AO493" t="str">
        <f t="shared" si="102"/>
        <v>Standard Class</v>
      </c>
      <c r="AP493" t="str">
        <f t="shared" si="103"/>
        <v>Paid</v>
      </c>
      <c r="AQ493" t="str">
        <f t="shared" si="103"/>
        <v>Completed</v>
      </c>
    </row>
    <row r="494" spans="1:43">
      <c r="A494" t="s">
        <v>1816</v>
      </c>
      <c r="B494" s="3" t="s">
        <v>1817</v>
      </c>
      <c r="C494" s="3">
        <v>45840</v>
      </c>
      <c r="D494" t="s">
        <v>1818</v>
      </c>
      <c r="E494" t="s">
        <v>148</v>
      </c>
      <c r="F494" t="s">
        <v>177</v>
      </c>
      <c r="G494" t="s">
        <v>140</v>
      </c>
      <c r="H494" t="s">
        <v>171</v>
      </c>
      <c r="I494" t="s">
        <v>172</v>
      </c>
      <c r="J494" t="s">
        <v>113</v>
      </c>
      <c r="K494" t="s">
        <v>213</v>
      </c>
      <c r="L494" t="s">
        <v>1819</v>
      </c>
      <c r="M494" t="s">
        <v>116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117</v>
      </c>
      <c r="U494" t="s">
        <v>118</v>
      </c>
      <c r="V494" s="2">
        <f t="shared" si="93"/>
        <v>0.25</v>
      </c>
      <c r="W494" s="2">
        <f t="shared" si="94"/>
        <v>4088.16</v>
      </c>
      <c r="X494" s="2">
        <f>W494-R494</f>
        <v>882.48</v>
      </c>
      <c r="Y494" s="2">
        <f t="shared" si="95"/>
        <v>0.21586239286133616</v>
      </c>
      <c r="Z494" s="2" t="str">
        <f t="shared" si="96"/>
        <v/>
      </c>
      <c r="AA494" s="2" t="e">
        <f t="shared" si="97"/>
        <v>#VALUE!</v>
      </c>
      <c r="AB494" s="2" t="e">
        <f t="shared" si="98"/>
        <v>#VALUE!</v>
      </c>
      <c r="AC494" s="2" t="str">
        <f t="shared" si="99"/>
        <v>Text Value Not Recognized as Date</v>
      </c>
      <c r="AD494" s="2">
        <f t="shared" si="100"/>
        <v>0</v>
      </c>
      <c r="AE494" s="2">
        <f t="shared" si="101"/>
        <v>0</v>
      </c>
      <c r="AH494" t="str">
        <f t="shared" si="105"/>
        <v>Ananya Rao</v>
      </c>
      <c r="AI494" t="str">
        <f t="shared" si="105"/>
        <v>Corporate</v>
      </c>
      <c r="AJ494" t="str">
        <f t="shared" si="105"/>
        <v>South</v>
      </c>
      <c r="AK494" t="str">
        <f t="shared" si="105"/>
        <v>Andhra Pradesh</v>
      </c>
      <c r="AL494" t="str">
        <f t="shared" si="105"/>
        <v>Vijayawada</v>
      </c>
      <c r="AM494" t="str">
        <f t="shared" si="105"/>
        <v>Office Supplies</v>
      </c>
      <c r="AN494" t="str">
        <f t="shared" si="104"/>
        <v>Storage</v>
      </c>
      <c r="AO494" t="str">
        <f t="shared" si="102"/>
        <v>Second Class</v>
      </c>
      <c r="AP494" t="str">
        <f t="shared" si="103"/>
        <v>Paid</v>
      </c>
      <c r="AQ494" t="str">
        <f t="shared" si="103"/>
        <v>Completed</v>
      </c>
    </row>
    <row r="495" spans="1:43">
      <c r="A495" t="s">
        <v>1820</v>
      </c>
      <c r="B495" s="3">
        <v>45701</v>
      </c>
      <c r="C495" s="3">
        <v>45701</v>
      </c>
      <c r="D495" t="s">
        <v>1821</v>
      </c>
      <c r="E495" t="s">
        <v>375</v>
      </c>
      <c r="F495" t="s">
        <v>177</v>
      </c>
      <c r="G495" t="s">
        <v>123</v>
      </c>
      <c r="H495" t="s">
        <v>124</v>
      </c>
      <c r="I495" t="s">
        <v>125</v>
      </c>
      <c r="J495" t="s">
        <v>113</v>
      </c>
      <c r="K495" t="s">
        <v>114</v>
      </c>
      <c r="L495" t="s">
        <v>1822</v>
      </c>
      <c r="M495" t="s">
        <v>116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117</v>
      </c>
      <c r="U495" t="s">
        <v>1823</v>
      </c>
      <c r="V495" s="2">
        <f t="shared" si="93"/>
        <v>0.05</v>
      </c>
      <c r="W495" s="2">
        <f t="shared" si="94"/>
        <v>15273.054999999997</v>
      </c>
      <c r="X495" s="2">
        <f>W495-R495</f>
        <v>4184.2949999999964</v>
      </c>
      <c r="Y495" s="2">
        <f t="shared" si="95"/>
        <v>0.27396581757873573</v>
      </c>
      <c r="Z495" s="2">
        <f t="shared" si="96"/>
        <v>0</v>
      </c>
      <c r="AA495" s="2">
        <f t="shared" si="97"/>
        <v>2</v>
      </c>
      <c r="AB495" s="2">
        <f t="shared" si="98"/>
        <v>2025</v>
      </c>
      <c r="AC495" s="2" t="str">
        <f t="shared" si="99"/>
        <v>Valid</v>
      </c>
      <c r="AD495" s="2">
        <f t="shared" si="100"/>
        <v>0</v>
      </c>
      <c r="AE495" s="2">
        <f t="shared" si="101"/>
        <v>0</v>
      </c>
      <c r="AH495" t="str">
        <f t="shared" si="105"/>
        <v>Kabir Singh</v>
      </c>
      <c r="AI495" t="str">
        <f t="shared" si="105"/>
        <v>Corporate</v>
      </c>
      <c r="AJ495" t="str">
        <f t="shared" si="105"/>
        <v>East</v>
      </c>
      <c r="AK495" t="str">
        <f t="shared" si="105"/>
        <v>Odisha</v>
      </c>
      <c r="AL495" t="str">
        <f t="shared" si="105"/>
        <v>Bhubaneswar</v>
      </c>
      <c r="AM495" t="str">
        <f t="shared" si="105"/>
        <v>Office Supplies</v>
      </c>
      <c r="AN495" t="str">
        <f t="shared" si="104"/>
        <v>Paper</v>
      </c>
      <c r="AO495" t="str">
        <f t="shared" si="102"/>
        <v>Second Class</v>
      </c>
      <c r="AP495" t="str">
        <f t="shared" si="103"/>
        <v>Paid</v>
      </c>
      <c r="AQ495" t="str">
        <f t="shared" si="103"/>
        <v>Completed</v>
      </c>
    </row>
    <row r="496" spans="1:43">
      <c r="A496" t="s">
        <v>1824</v>
      </c>
      <c r="B496" s="3">
        <v>45610</v>
      </c>
      <c r="C496" s="3">
        <v>45618</v>
      </c>
      <c r="D496" t="s">
        <v>1825</v>
      </c>
      <c r="E496" t="s">
        <v>132</v>
      </c>
      <c r="F496" t="s">
        <v>109</v>
      </c>
      <c r="G496" t="s">
        <v>149</v>
      </c>
      <c r="H496" t="s">
        <v>158</v>
      </c>
      <c r="I496" t="s">
        <v>159</v>
      </c>
      <c r="J496" t="s">
        <v>160</v>
      </c>
      <c r="K496" t="s">
        <v>266</v>
      </c>
      <c r="L496" t="s">
        <v>1826</v>
      </c>
      <c r="M496" t="s">
        <v>145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248</v>
      </c>
      <c r="U496" t="s">
        <v>44</v>
      </c>
      <c r="V496" s="2">
        <f t="shared" si="93"/>
        <v>-0.13</v>
      </c>
      <c r="W496" s="2">
        <f t="shared" si="94"/>
        <v>2276.9951999999998</v>
      </c>
      <c r="X496" s="2">
        <f>W496-R496</f>
        <v>707.61519999999973</v>
      </c>
      <c r="Y496" s="2">
        <f t="shared" si="95"/>
        <v>0.31076710218800629</v>
      </c>
      <c r="Z496" s="2">
        <f t="shared" si="96"/>
        <v>8</v>
      </c>
      <c r="AA496" s="2">
        <f t="shared" si="97"/>
        <v>11</v>
      </c>
      <c r="AB496" s="2">
        <f t="shared" si="98"/>
        <v>2024</v>
      </c>
      <c r="AC496" s="2" t="str">
        <f t="shared" si="99"/>
        <v>Invalid</v>
      </c>
      <c r="AD496" s="2">
        <f t="shared" si="100"/>
        <v>1</v>
      </c>
      <c r="AE496" s="2">
        <f t="shared" si="101"/>
        <v>1</v>
      </c>
      <c r="AH496" t="str">
        <f t="shared" si="105"/>
        <v>Isha Nair</v>
      </c>
      <c r="AI496" t="str">
        <f t="shared" si="105"/>
        <v>Consumer</v>
      </c>
      <c r="AJ496" t="str">
        <f t="shared" si="105"/>
        <v>West</v>
      </c>
      <c r="AK496" t="str">
        <f t="shared" si="105"/>
        <v>Madhya Pradesh</v>
      </c>
      <c r="AL496" t="str">
        <f t="shared" si="105"/>
        <v>Indore</v>
      </c>
      <c r="AM496" t="str">
        <f t="shared" si="105"/>
        <v>Technology</v>
      </c>
      <c r="AN496" t="str">
        <f t="shared" si="104"/>
        <v>Phones</v>
      </c>
      <c r="AO496" t="str">
        <f t="shared" si="102"/>
        <v>Standard Class</v>
      </c>
      <c r="AP496" t="str">
        <f t="shared" si="103"/>
        <v>Failed</v>
      </c>
      <c r="AQ496" t="str">
        <f t="shared" si="103"/>
        <v>Cancelled</v>
      </c>
    </row>
    <row r="497" spans="1:43">
      <c r="A497" t="s">
        <v>1827</v>
      </c>
      <c r="B497" s="3">
        <v>45421</v>
      </c>
      <c r="C497" s="3">
        <v>45427</v>
      </c>
      <c r="D497" t="s">
        <v>1828</v>
      </c>
      <c r="E497" t="s">
        <v>121</v>
      </c>
      <c r="F497" t="s">
        <v>122</v>
      </c>
      <c r="G497" t="s">
        <v>123</v>
      </c>
      <c r="H497" t="s">
        <v>260</v>
      </c>
      <c r="I497" t="s">
        <v>261</v>
      </c>
      <c r="J497" t="s">
        <v>160</v>
      </c>
      <c r="K497" t="s">
        <v>266</v>
      </c>
      <c r="L497" t="s">
        <v>1829</v>
      </c>
      <c r="M497" t="s">
        <v>116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189</v>
      </c>
      <c r="U497" t="s">
        <v>190</v>
      </c>
      <c r="V497" s="2">
        <f t="shared" si="93"/>
        <v>0.05</v>
      </c>
      <c r="W497" s="2">
        <f t="shared" si="94"/>
        <v>3784.7239999999997</v>
      </c>
      <c r="X497" s="2">
        <f>W497-R497</f>
        <v>1365.4839999999999</v>
      </c>
      <c r="Y497" s="2">
        <f t="shared" si="95"/>
        <v>0.36078826355633858</v>
      </c>
      <c r="Z497" s="2">
        <f t="shared" si="96"/>
        <v>6</v>
      </c>
      <c r="AA497" s="2">
        <f t="shared" si="97"/>
        <v>5</v>
      </c>
      <c r="AB497" s="2">
        <f t="shared" si="98"/>
        <v>2024</v>
      </c>
      <c r="AC497" s="2" t="str">
        <f t="shared" si="99"/>
        <v>Valid</v>
      </c>
      <c r="AD497" s="2">
        <f t="shared" si="100"/>
        <v>0</v>
      </c>
      <c r="AE497" s="2">
        <f t="shared" si="101"/>
        <v>0</v>
      </c>
      <c r="AH497" t="str">
        <f t="shared" si="105"/>
        <v>Mira Das</v>
      </c>
      <c r="AI497" t="str">
        <f t="shared" si="105"/>
        <v>Small Business</v>
      </c>
      <c r="AJ497" t="str">
        <f t="shared" si="105"/>
        <v>East</v>
      </c>
      <c r="AK497" t="str">
        <f t="shared" si="105"/>
        <v>Assam</v>
      </c>
      <c r="AL497" t="str">
        <f t="shared" si="105"/>
        <v>Guwahati</v>
      </c>
      <c r="AM497" t="str">
        <f t="shared" si="105"/>
        <v>Technology</v>
      </c>
      <c r="AN497" t="str">
        <f t="shared" si="104"/>
        <v>Phones</v>
      </c>
      <c r="AO497" t="str">
        <f t="shared" si="102"/>
        <v>Second Class</v>
      </c>
      <c r="AP497" t="str">
        <f t="shared" si="103"/>
        <v>Refunded</v>
      </c>
      <c r="AQ497" t="str">
        <f t="shared" si="103"/>
        <v>Returned</v>
      </c>
    </row>
    <row r="498" spans="1:43">
      <c r="A498" t="s">
        <v>1830</v>
      </c>
      <c r="B498" s="3">
        <v>45842</v>
      </c>
      <c r="C498" s="3">
        <v>45844</v>
      </c>
      <c r="D498" t="s">
        <v>1831</v>
      </c>
      <c r="E498" t="s">
        <v>375</v>
      </c>
      <c r="F498" t="s">
        <v>122</v>
      </c>
      <c r="G498" t="s">
        <v>123</v>
      </c>
      <c r="H498" t="s">
        <v>335</v>
      </c>
      <c r="I498" t="s">
        <v>336</v>
      </c>
      <c r="J498" t="s">
        <v>126</v>
      </c>
      <c r="K498" t="s">
        <v>152</v>
      </c>
      <c r="L498" t="s">
        <v>1832</v>
      </c>
      <c r="M498" t="s">
        <v>116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117</v>
      </c>
      <c r="U498" t="s">
        <v>118</v>
      </c>
      <c r="V498" s="2">
        <f t="shared" si="93"/>
        <v>0.1</v>
      </c>
      <c r="W498" s="2">
        <f t="shared" si="94"/>
        <v>6635.5560000000005</v>
      </c>
      <c r="X498" s="2">
        <f>W498-R498</f>
        <v>2982.6460000000006</v>
      </c>
      <c r="Y498" s="2">
        <f t="shared" si="95"/>
        <v>0.44949451108543131</v>
      </c>
      <c r="Z498" s="2">
        <f t="shared" si="96"/>
        <v>2</v>
      </c>
      <c r="AA498" s="2">
        <f t="shared" si="97"/>
        <v>7</v>
      </c>
      <c r="AB498" s="2">
        <f t="shared" si="98"/>
        <v>2025</v>
      </c>
      <c r="AC498" s="2" t="str">
        <f t="shared" si="99"/>
        <v>Valid</v>
      </c>
      <c r="AD498" s="2">
        <f t="shared" si="100"/>
        <v>0</v>
      </c>
      <c r="AE498" s="2">
        <f t="shared" si="101"/>
        <v>0</v>
      </c>
      <c r="AH498" t="str">
        <f t="shared" si="105"/>
        <v>Kabir Singh</v>
      </c>
      <c r="AI498" t="str">
        <f t="shared" si="105"/>
        <v>Small Business</v>
      </c>
      <c r="AJ498" t="str">
        <f t="shared" si="105"/>
        <v>East</v>
      </c>
      <c r="AK498" t="str">
        <f t="shared" si="105"/>
        <v>Jharkhand</v>
      </c>
      <c r="AL498" t="str">
        <f t="shared" si="105"/>
        <v>Ranchi</v>
      </c>
      <c r="AM498" t="str">
        <f t="shared" si="105"/>
        <v>Furniture</v>
      </c>
      <c r="AN498" t="str">
        <f t="shared" si="104"/>
        <v>Chairs</v>
      </c>
      <c r="AO498" t="str">
        <f t="shared" si="102"/>
        <v>Second Class</v>
      </c>
      <c r="AP498" t="str">
        <f t="shared" si="103"/>
        <v>Paid</v>
      </c>
      <c r="AQ498" t="str">
        <f t="shared" si="103"/>
        <v>Completed</v>
      </c>
    </row>
    <row r="499" spans="1:43">
      <c r="A499" t="s">
        <v>1833</v>
      </c>
      <c r="B499" s="3">
        <v>45533</v>
      </c>
      <c r="C499" s="3">
        <v>45533</v>
      </c>
      <c r="D499" t="s">
        <v>1834</v>
      </c>
      <c r="E499" t="s">
        <v>222</v>
      </c>
      <c r="F499" t="s">
        <v>122</v>
      </c>
      <c r="G499" t="s">
        <v>606</v>
      </c>
      <c r="H499" t="s">
        <v>227</v>
      </c>
      <c r="I499" t="s">
        <v>228</v>
      </c>
      <c r="J499" t="s">
        <v>160</v>
      </c>
      <c r="K499" t="s">
        <v>161</v>
      </c>
      <c r="L499" t="s">
        <v>1835</v>
      </c>
      <c r="M499" t="s">
        <v>116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117</v>
      </c>
      <c r="U499" t="s">
        <v>44</v>
      </c>
      <c r="V499" s="2">
        <f t="shared" si="93"/>
        <v>0.2</v>
      </c>
      <c r="W499" s="2">
        <f t="shared" si="94"/>
        <v>2485.5040000000004</v>
      </c>
      <c r="X499" s="2">
        <f>W499-R499</f>
        <v>457.0740000000003</v>
      </c>
      <c r="Y499" s="2">
        <f t="shared" si="95"/>
        <v>0.18389590199814615</v>
      </c>
      <c r="Z499" s="2">
        <f t="shared" si="96"/>
        <v>0</v>
      </c>
      <c r="AA499" s="2">
        <f t="shared" si="97"/>
        <v>8</v>
      </c>
      <c r="AB499" s="2">
        <f t="shared" si="98"/>
        <v>2024</v>
      </c>
      <c r="AC499" s="2" t="str">
        <f t="shared" si="99"/>
        <v>Valid</v>
      </c>
      <c r="AD499" s="2">
        <f t="shared" si="100"/>
        <v>0</v>
      </c>
      <c r="AE499" s="2">
        <f t="shared" si="101"/>
        <v>0</v>
      </c>
      <c r="AH499" t="str">
        <f t="shared" si="105"/>
        <v>Sneha Kapoor</v>
      </c>
      <c r="AI499" t="str">
        <f t="shared" si="105"/>
        <v>Small Business</v>
      </c>
      <c r="AJ499" t="str">
        <f t="shared" si="105"/>
        <v>North</v>
      </c>
      <c r="AK499" t="str">
        <f t="shared" si="105"/>
        <v>Uttar Pradesh</v>
      </c>
      <c r="AL499" t="str">
        <f t="shared" si="105"/>
        <v>Noida</v>
      </c>
      <c r="AM499" t="str">
        <f t="shared" si="105"/>
        <v>Technology</v>
      </c>
      <c r="AN499" t="str">
        <f t="shared" si="104"/>
        <v>Accessories</v>
      </c>
      <c r="AO499" t="str">
        <f t="shared" si="102"/>
        <v>Second Class</v>
      </c>
      <c r="AP499" t="str">
        <f t="shared" si="103"/>
        <v>Paid</v>
      </c>
      <c r="AQ499" t="str">
        <f t="shared" si="103"/>
        <v>Cancelled</v>
      </c>
    </row>
    <row r="500" spans="1:43">
      <c r="A500" t="s">
        <v>1836</v>
      </c>
      <c r="B500" s="3">
        <v>45907</v>
      </c>
      <c r="C500" s="3">
        <v>45910</v>
      </c>
      <c r="D500" t="s">
        <v>1837</v>
      </c>
      <c r="E500" t="s">
        <v>108</v>
      </c>
      <c r="F500" t="s">
        <v>109</v>
      </c>
      <c r="G500" t="s">
        <v>110</v>
      </c>
      <c r="H500" t="s">
        <v>211</v>
      </c>
      <c r="I500" t="s">
        <v>212</v>
      </c>
      <c r="J500" t="s">
        <v>126</v>
      </c>
      <c r="K500" t="s">
        <v>152</v>
      </c>
      <c r="L500" t="s">
        <v>1838</v>
      </c>
      <c r="M500" t="s">
        <v>129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189</v>
      </c>
      <c r="U500" t="s">
        <v>1839</v>
      </c>
      <c r="V500" s="2">
        <f t="shared" si="93"/>
        <v>0.05</v>
      </c>
      <c r="W500" s="2">
        <f t="shared" si="94"/>
        <v>850.34500000000003</v>
      </c>
      <c r="X500" s="2">
        <f>W500-R500</f>
        <v>249.36500000000001</v>
      </c>
      <c r="Y500" s="2">
        <f t="shared" si="95"/>
        <v>0.29325156260106194</v>
      </c>
      <c r="Z500" s="2">
        <f t="shared" si="96"/>
        <v>3</v>
      </c>
      <c r="AA500" s="2">
        <f t="shared" si="97"/>
        <v>9</v>
      </c>
      <c r="AB500" s="2">
        <f t="shared" si="98"/>
        <v>2025</v>
      </c>
      <c r="AC500" s="2" t="str">
        <f t="shared" si="99"/>
        <v>Valid</v>
      </c>
      <c r="AD500" s="2">
        <f t="shared" si="100"/>
        <v>0</v>
      </c>
      <c r="AE500" s="2">
        <f t="shared" si="101"/>
        <v>0</v>
      </c>
      <c r="AH500" t="str">
        <f t="shared" si="105"/>
        <v>Karan Malhotra</v>
      </c>
      <c r="AI500" t="str">
        <f t="shared" si="105"/>
        <v>Consumer</v>
      </c>
      <c r="AJ500" t="str">
        <f t="shared" si="105"/>
        <v>North</v>
      </c>
      <c r="AK500" t="str">
        <f t="shared" si="105"/>
        <v>Punjab</v>
      </c>
      <c r="AL500" t="str">
        <f t="shared" si="105"/>
        <v>Ludhiana</v>
      </c>
      <c r="AM500" t="str">
        <f t="shared" si="105"/>
        <v>Furniture</v>
      </c>
      <c r="AN500" t="str">
        <f t="shared" si="104"/>
        <v>Chairs</v>
      </c>
      <c r="AO500" t="str">
        <f t="shared" si="102"/>
        <v>Same Day</v>
      </c>
      <c r="AP500" t="str">
        <f t="shared" si="103"/>
        <v>Refunded</v>
      </c>
      <c r="AQ500" t="str">
        <f t="shared" si="103"/>
        <v>Cancelled</v>
      </c>
    </row>
    <row r="501" spans="1:43">
      <c r="A501" t="s">
        <v>1840</v>
      </c>
      <c r="B501" s="3">
        <v>45648</v>
      </c>
      <c r="C501" s="3" t="s">
        <v>1122</v>
      </c>
      <c r="D501" t="s">
        <v>1841</v>
      </c>
      <c r="E501" t="s">
        <v>207</v>
      </c>
      <c r="F501" t="s">
        <v>182</v>
      </c>
      <c r="G501" t="s">
        <v>110</v>
      </c>
      <c r="H501" t="s">
        <v>227</v>
      </c>
      <c r="I501" t="s">
        <v>228</v>
      </c>
      <c r="J501" t="s">
        <v>126</v>
      </c>
      <c r="K501" t="s">
        <v>152</v>
      </c>
      <c r="L501" t="s">
        <v>1842</v>
      </c>
      <c r="M501" t="s">
        <v>145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117</v>
      </c>
      <c r="U501" t="s">
        <v>44</v>
      </c>
      <c r="V501" s="2">
        <f t="shared" si="93"/>
        <v>0</v>
      </c>
      <c r="W501" s="2">
        <f t="shared" si="94"/>
        <v>9997.8299999999981</v>
      </c>
      <c r="X501" s="2">
        <f>W501-R501</f>
        <v>3938.7599999999984</v>
      </c>
      <c r="Y501" s="2">
        <f t="shared" si="95"/>
        <v>0.3939614896432525</v>
      </c>
      <c r="Z501" s="2" t="str">
        <f t="shared" si="96"/>
        <v/>
      </c>
      <c r="AA501" s="2">
        <f t="shared" si="97"/>
        <v>12</v>
      </c>
      <c r="AB501" s="2">
        <f t="shared" si="98"/>
        <v>2024</v>
      </c>
      <c r="AC501" s="2" t="str">
        <f t="shared" si="99"/>
        <v>Text Value Not Recognized as Date</v>
      </c>
      <c r="AD501" s="2">
        <f t="shared" si="100"/>
        <v>1</v>
      </c>
      <c r="AE501" s="2">
        <f t="shared" si="101"/>
        <v>1</v>
      </c>
      <c r="AH501" t="str">
        <f t="shared" si="105"/>
        <v>Rahul Verma</v>
      </c>
      <c r="AI501" t="str">
        <f t="shared" si="105"/>
        <v>Home Office</v>
      </c>
      <c r="AJ501" t="str">
        <f t="shared" si="105"/>
        <v>North</v>
      </c>
      <c r="AK501" t="str">
        <f t="shared" si="105"/>
        <v>Uttar Pradesh</v>
      </c>
      <c r="AL501" t="str">
        <f t="shared" si="105"/>
        <v>Noida</v>
      </c>
      <c r="AM501" t="str">
        <f t="shared" si="105"/>
        <v>Furniture</v>
      </c>
      <c r="AN501" t="str">
        <f t="shared" si="104"/>
        <v>Chairs</v>
      </c>
      <c r="AO501" t="str">
        <f t="shared" si="102"/>
        <v>Standard Class</v>
      </c>
      <c r="AP501" t="str">
        <f t="shared" si="103"/>
        <v>Paid</v>
      </c>
      <c r="AQ501" t="str">
        <f t="shared" si="103"/>
        <v>Cancelled</v>
      </c>
    </row>
    <row r="502" spans="1:43">
      <c r="A502" t="s">
        <v>1843</v>
      </c>
      <c r="B502" s="3">
        <v>45429</v>
      </c>
      <c r="C502" s="3">
        <v>45434</v>
      </c>
      <c r="D502" t="s">
        <v>1844</v>
      </c>
      <c r="E502" t="s">
        <v>222</v>
      </c>
      <c r="F502" t="s">
        <v>109</v>
      </c>
      <c r="G502" t="s">
        <v>140</v>
      </c>
      <c r="H502" t="s">
        <v>282</v>
      </c>
      <c r="I502" t="s">
        <v>283</v>
      </c>
      <c r="J502" t="s">
        <v>160</v>
      </c>
      <c r="K502" t="s">
        <v>266</v>
      </c>
      <c r="L502" t="s">
        <v>1845</v>
      </c>
      <c r="M502" t="s">
        <v>129</v>
      </c>
      <c r="N502">
        <v>9</v>
      </c>
      <c r="O502">
        <v>3795.99</v>
      </c>
      <c r="P502" t="s">
        <v>931</v>
      </c>
      <c r="Q502">
        <v>34163.910000000003</v>
      </c>
      <c r="R502">
        <v>28577.15</v>
      </c>
      <c r="S502">
        <v>5586.76</v>
      </c>
      <c r="T502" t="s">
        <v>117</v>
      </c>
      <c r="U502" t="s">
        <v>118</v>
      </c>
      <c r="V502" s="2" t="str">
        <f t="shared" si="93"/>
        <v>85%</v>
      </c>
      <c r="W502" s="2">
        <f t="shared" si="94"/>
        <v>5124.5865000000003</v>
      </c>
      <c r="X502" s="2">
        <f>W502-R502</f>
        <v>-23452.5635</v>
      </c>
      <c r="Y502" s="2">
        <f t="shared" si="95"/>
        <v>-4.5764791949555343</v>
      </c>
      <c r="Z502" s="2">
        <f t="shared" si="96"/>
        <v>5</v>
      </c>
      <c r="AA502" s="2">
        <f t="shared" si="97"/>
        <v>5</v>
      </c>
      <c r="AB502" s="2">
        <f t="shared" si="98"/>
        <v>2024</v>
      </c>
      <c r="AC502" s="2" t="str">
        <f t="shared" si="99"/>
        <v>Invalid</v>
      </c>
      <c r="AD502" s="2">
        <f t="shared" si="100"/>
        <v>1</v>
      </c>
      <c r="AE502" s="2">
        <f t="shared" si="101"/>
        <v>1</v>
      </c>
      <c r="AH502" t="str">
        <f t="shared" si="105"/>
        <v>Sneha Kapoor</v>
      </c>
      <c r="AI502" t="str">
        <f t="shared" si="105"/>
        <v>Consumer</v>
      </c>
      <c r="AJ502" t="str">
        <f t="shared" si="105"/>
        <v>South</v>
      </c>
      <c r="AK502" t="str">
        <f t="shared" si="105"/>
        <v>Kerala</v>
      </c>
      <c r="AL502" t="str">
        <f t="shared" si="105"/>
        <v>Kochi</v>
      </c>
      <c r="AM502" t="str">
        <f t="shared" si="105"/>
        <v>Technology</v>
      </c>
      <c r="AN502" t="str">
        <f t="shared" si="104"/>
        <v>Phones</v>
      </c>
      <c r="AO502" t="str">
        <f t="shared" si="102"/>
        <v>Same Day</v>
      </c>
      <c r="AP502" t="str">
        <f t="shared" si="103"/>
        <v>Paid</v>
      </c>
      <c r="AQ502" t="str">
        <f t="shared" si="103"/>
        <v>Completed</v>
      </c>
    </row>
    <row r="503" spans="1:43">
      <c r="A503" t="s">
        <v>1846</v>
      </c>
      <c r="B503" s="3">
        <v>45515</v>
      </c>
      <c r="C503" s="3">
        <v>45521</v>
      </c>
      <c r="D503" t="s">
        <v>977</v>
      </c>
      <c r="E503" t="s">
        <v>165</v>
      </c>
      <c r="F503" t="s">
        <v>109</v>
      </c>
      <c r="G503" t="s">
        <v>123</v>
      </c>
      <c r="H503" t="s">
        <v>335</v>
      </c>
      <c r="I503" t="s">
        <v>336</v>
      </c>
      <c r="J503" t="s">
        <v>113</v>
      </c>
      <c r="K503" t="s">
        <v>133</v>
      </c>
      <c r="L503" t="s">
        <v>1847</v>
      </c>
      <c r="M503" t="s">
        <v>116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117</v>
      </c>
      <c r="U503" t="s">
        <v>118</v>
      </c>
      <c r="V503" s="2">
        <f t="shared" si="93"/>
        <v>0.15</v>
      </c>
      <c r="W503" s="2">
        <f t="shared" si="94"/>
        <v>17837.453999999998</v>
      </c>
      <c r="X503" s="2">
        <f>W503-R503</f>
        <v>4210.4339999999975</v>
      </c>
      <c r="Y503" s="2">
        <f t="shared" si="95"/>
        <v>0.23604456106796395</v>
      </c>
      <c r="Z503" s="2">
        <f t="shared" si="96"/>
        <v>6</v>
      </c>
      <c r="AA503" s="2">
        <f t="shared" si="97"/>
        <v>8</v>
      </c>
      <c r="AB503" s="2">
        <f t="shared" si="98"/>
        <v>2024</v>
      </c>
      <c r="AC503" s="2" t="str">
        <f t="shared" si="99"/>
        <v>Valid</v>
      </c>
      <c r="AD503" s="2">
        <f t="shared" si="100"/>
        <v>0</v>
      </c>
      <c r="AE503" s="2">
        <f t="shared" si="101"/>
        <v>0</v>
      </c>
      <c r="AH503" t="str">
        <f t="shared" si="105"/>
        <v>Neha Gupta</v>
      </c>
      <c r="AI503" t="str">
        <f t="shared" si="105"/>
        <v>Consumer</v>
      </c>
      <c r="AJ503" t="str">
        <f t="shared" si="105"/>
        <v>East</v>
      </c>
      <c r="AK503" t="str">
        <f t="shared" si="105"/>
        <v>Jharkhand</v>
      </c>
      <c r="AL503" t="str">
        <f t="shared" si="105"/>
        <v>Ranchi</v>
      </c>
      <c r="AM503" t="str">
        <f t="shared" si="105"/>
        <v>Office Supplies</v>
      </c>
      <c r="AN503" t="str">
        <f t="shared" si="104"/>
        <v>Art</v>
      </c>
      <c r="AO503" t="str">
        <f t="shared" si="102"/>
        <v>Second Class</v>
      </c>
      <c r="AP503" t="str">
        <f t="shared" si="103"/>
        <v>Paid</v>
      </c>
      <c r="AQ503" t="str">
        <f t="shared" si="103"/>
        <v>Completed</v>
      </c>
    </row>
    <row r="504" spans="1:43">
      <c r="A504" t="s">
        <v>1848</v>
      </c>
      <c r="B504" s="3">
        <v>45383</v>
      </c>
      <c r="C504" s="3">
        <v>45391</v>
      </c>
      <c r="D504" t="s">
        <v>1849</v>
      </c>
      <c r="E504" t="s">
        <v>203</v>
      </c>
      <c r="F504" t="s">
        <v>122</v>
      </c>
      <c r="G504" t="s">
        <v>123</v>
      </c>
      <c r="H504" t="s">
        <v>124</v>
      </c>
      <c r="I504" t="s">
        <v>125</v>
      </c>
      <c r="J504" t="s">
        <v>160</v>
      </c>
      <c r="K504" t="s">
        <v>166</v>
      </c>
      <c r="L504" t="s">
        <v>1850</v>
      </c>
      <c r="M504" t="s">
        <v>116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117</v>
      </c>
      <c r="U504" t="s">
        <v>118</v>
      </c>
      <c r="V504" s="2">
        <f t="shared" si="93"/>
        <v>0.1</v>
      </c>
      <c r="W504" s="2">
        <f t="shared" si="94"/>
        <v>4465.4220000000005</v>
      </c>
      <c r="X504" s="2">
        <f>W504-R504</f>
        <v>1088.3220000000006</v>
      </c>
      <c r="Y504" s="2">
        <f t="shared" si="95"/>
        <v>0.24372209390288319</v>
      </c>
      <c r="Z504" s="2">
        <f t="shared" si="96"/>
        <v>8</v>
      </c>
      <c r="AA504" s="2">
        <f t="shared" si="97"/>
        <v>4</v>
      </c>
      <c r="AB504" s="2">
        <f t="shared" si="98"/>
        <v>2024</v>
      </c>
      <c r="AC504" s="2" t="str">
        <f t="shared" si="99"/>
        <v>Conflicting Duplicate Order ID</v>
      </c>
      <c r="AD504" s="2">
        <f t="shared" si="100"/>
        <v>0</v>
      </c>
      <c r="AE504" s="2">
        <f t="shared" si="101"/>
        <v>0</v>
      </c>
      <c r="AH504" t="str">
        <f t="shared" si="105"/>
        <v>Priya Menon</v>
      </c>
      <c r="AI504" t="str">
        <f t="shared" si="105"/>
        <v>Small Business</v>
      </c>
      <c r="AJ504" t="str">
        <f t="shared" si="105"/>
        <v>East</v>
      </c>
      <c r="AK504" t="str">
        <f t="shared" si="105"/>
        <v>Odisha</v>
      </c>
      <c r="AL504" t="str">
        <f t="shared" si="105"/>
        <v>Bhubaneswar</v>
      </c>
      <c r="AM504" t="str">
        <f t="shared" si="105"/>
        <v>Technology</v>
      </c>
      <c r="AN504" t="str">
        <f t="shared" si="104"/>
        <v>Copiers</v>
      </c>
      <c r="AO504" t="str">
        <f t="shared" si="102"/>
        <v>Second Class</v>
      </c>
      <c r="AP504" t="str">
        <f t="shared" si="103"/>
        <v>Paid</v>
      </c>
      <c r="AQ504" t="str">
        <f t="shared" si="103"/>
        <v>Completed</v>
      </c>
    </row>
    <row r="505" spans="1:43">
      <c r="A505" t="s">
        <v>1851</v>
      </c>
      <c r="B505" s="3">
        <v>45563</v>
      </c>
      <c r="C505" s="3">
        <v>45570</v>
      </c>
      <c r="D505" t="s">
        <v>1852</v>
      </c>
      <c r="E505" t="s">
        <v>218</v>
      </c>
      <c r="F505" t="s">
        <v>109</v>
      </c>
      <c r="G505" t="s">
        <v>140</v>
      </c>
      <c r="H505" t="s">
        <v>357</v>
      </c>
      <c r="I505" t="s">
        <v>358</v>
      </c>
      <c r="J505" t="s">
        <v>160</v>
      </c>
      <c r="K505" t="s">
        <v>266</v>
      </c>
      <c r="L505" t="s">
        <v>1853</v>
      </c>
      <c r="M505" t="s">
        <v>145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117</v>
      </c>
      <c r="U505" t="s">
        <v>118</v>
      </c>
      <c r="V505" s="2">
        <f t="shared" si="93"/>
        <v>0.1</v>
      </c>
      <c r="W505" s="2">
        <f t="shared" si="94"/>
        <v>10594.08</v>
      </c>
      <c r="X505" s="2">
        <f>W505-R505</f>
        <v>3433.7699999999995</v>
      </c>
      <c r="Y505" s="2">
        <f t="shared" si="95"/>
        <v>0.32412158488514337</v>
      </c>
      <c r="Z505" s="2">
        <f t="shared" si="96"/>
        <v>7</v>
      </c>
      <c r="AA505" s="2">
        <f t="shared" si="97"/>
        <v>9</v>
      </c>
      <c r="AB505" s="2">
        <f t="shared" si="98"/>
        <v>2024</v>
      </c>
      <c r="AC505" s="2" t="str">
        <f t="shared" si="99"/>
        <v>Valid</v>
      </c>
      <c r="AD505" s="2">
        <f t="shared" si="100"/>
        <v>0</v>
      </c>
      <c r="AE505" s="2">
        <f t="shared" si="101"/>
        <v>0</v>
      </c>
      <c r="AH505" t="str">
        <f t="shared" si="105"/>
        <v>Aarav Sharma</v>
      </c>
      <c r="AI505" t="str">
        <f t="shared" si="105"/>
        <v>Consumer</v>
      </c>
      <c r="AJ505" t="str">
        <f t="shared" si="105"/>
        <v>South</v>
      </c>
      <c r="AK505" t="str">
        <f t="shared" si="105"/>
        <v>Tamil Nadu</v>
      </c>
      <c r="AL505" t="str">
        <f t="shared" si="105"/>
        <v>Chennai</v>
      </c>
      <c r="AM505" t="str">
        <f t="shared" si="105"/>
        <v>Technology</v>
      </c>
      <c r="AN505" t="str">
        <f t="shared" si="104"/>
        <v>Phones</v>
      </c>
      <c r="AO505" t="str">
        <f t="shared" si="102"/>
        <v>Standard Class</v>
      </c>
      <c r="AP505" t="str">
        <f t="shared" si="103"/>
        <v>Paid</v>
      </c>
      <c r="AQ505" t="str">
        <f t="shared" si="103"/>
        <v>Completed</v>
      </c>
    </row>
    <row r="506" spans="1:43">
      <c r="A506" t="s">
        <v>1854</v>
      </c>
      <c r="B506" s="3">
        <v>45700</v>
      </c>
      <c r="C506" s="3">
        <v>45705</v>
      </c>
      <c r="D506" t="s">
        <v>1855</v>
      </c>
      <c r="E506" t="s">
        <v>139</v>
      </c>
      <c r="F506" t="s">
        <v>177</v>
      </c>
      <c r="G506" t="s">
        <v>149</v>
      </c>
      <c r="H506" t="s">
        <v>276</v>
      </c>
      <c r="I506" t="s">
        <v>277</v>
      </c>
      <c r="J506" t="s">
        <v>113</v>
      </c>
      <c r="K506" t="s">
        <v>133</v>
      </c>
      <c r="L506" t="s">
        <v>1856</v>
      </c>
      <c r="M506" t="s">
        <v>145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117</v>
      </c>
      <c r="U506" t="s">
        <v>118</v>
      </c>
      <c r="V506" s="2">
        <f t="shared" si="93"/>
        <v>0</v>
      </c>
      <c r="W506" s="2">
        <f t="shared" si="94"/>
        <v>17312.48</v>
      </c>
      <c r="X506" s="2">
        <f>W506-R506</f>
        <v>2888.26</v>
      </c>
      <c r="Y506" s="2">
        <f t="shared" si="95"/>
        <v>0.16683109525613893</v>
      </c>
      <c r="Z506" s="2">
        <f t="shared" si="96"/>
        <v>5</v>
      </c>
      <c r="AA506" s="2">
        <f t="shared" si="97"/>
        <v>2</v>
      </c>
      <c r="AB506" s="2">
        <f t="shared" si="98"/>
        <v>2025</v>
      </c>
      <c r="AC506" s="2" t="str">
        <f t="shared" si="99"/>
        <v>Valid</v>
      </c>
      <c r="AD506" s="2">
        <f t="shared" si="100"/>
        <v>0</v>
      </c>
      <c r="AE506" s="2">
        <f t="shared" si="101"/>
        <v>0</v>
      </c>
      <c r="AH506" t="str">
        <f t="shared" si="105"/>
        <v>Arjun Bose</v>
      </c>
      <c r="AI506" t="str">
        <f t="shared" si="105"/>
        <v>Corporate</v>
      </c>
      <c r="AJ506" t="str">
        <f t="shared" si="105"/>
        <v>West</v>
      </c>
      <c r="AK506" t="str">
        <f t="shared" si="105"/>
        <v>Gujarat</v>
      </c>
      <c r="AL506" t="str">
        <f t="shared" si="105"/>
        <v>Ahmedabad</v>
      </c>
      <c r="AM506" t="str">
        <f t="shared" si="105"/>
        <v>Office Supplies</v>
      </c>
      <c r="AN506" t="str">
        <f t="shared" si="104"/>
        <v>Art</v>
      </c>
      <c r="AO506" t="str">
        <f t="shared" si="102"/>
        <v>Standard Class</v>
      </c>
      <c r="AP506" t="str">
        <f t="shared" si="103"/>
        <v>Paid</v>
      </c>
      <c r="AQ506" t="str">
        <f t="shared" si="103"/>
        <v>Completed</v>
      </c>
    </row>
    <row r="507" spans="1:43">
      <c r="A507" t="s">
        <v>1857</v>
      </c>
      <c r="B507" s="3">
        <v>45605</v>
      </c>
      <c r="C507" s="3">
        <v>45610</v>
      </c>
      <c r="D507" t="s">
        <v>1858</v>
      </c>
      <c r="E507" t="s">
        <v>165</v>
      </c>
      <c r="F507" t="s">
        <v>177</v>
      </c>
      <c r="G507" t="s">
        <v>149</v>
      </c>
      <c r="H507" t="s">
        <v>158</v>
      </c>
      <c r="I507" t="s">
        <v>159</v>
      </c>
      <c r="J507" t="s">
        <v>113</v>
      </c>
      <c r="K507" t="s">
        <v>133</v>
      </c>
      <c r="L507" t="s">
        <v>1859</v>
      </c>
      <c r="M507" t="s">
        <v>135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117</v>
      </c>
      <c r="U507" t="s">
        <v>44</v>
      </c>
      <c r="V507" s="2">
        <f t="shared" si="93"/>
        <v>0.2</v>
      </c>
      <c r="W507" s="2">
        <f t="shared" si="94"/>
        <v>17555.688000000002</v>
      </c>
      <c r="X507" s="2">
        <f>W507-R507</f>
        <v>4262.4880000000012</v>
      </c>
      <c r="Y507" s="2">
        <f t="shared" si="95"/>
        <v>0.24279811762432785</v>
      </c>
      <c r="Z507" s="2">
        <f t="shared" si="96"/>
        <v>5</v>
      </c>
      <c r="AA507" s="2">
        <f t="shared" si="97"/>
        <v>11</v>
      </c>
      <c r="AB507" s="2">
        <f t="shared" si="98"/>
        <v>2024</v>
      </c>
      <c r="AC507" s="2" t="str">
        <f t="shared" si="99"/>
        <v>Valid</v>
      </c>
      <c r="AD507" s="2">
        <f t="shared" si="100"/>
        <v>0</v>
      </c>
      <c r="AE507" s="2">
        <f t="shared" si="101"/>
        <v>0</v>
      </c>
      <c r="AH507" t="str">
        <f t="shared" si="105"/>
        <v>Neha Gupta</v>
      </c>
      <c r="AI507" t="str">
        <f t="shared" si="105"/>
        <v>Corporate</v>
      </c>
      <c r="AJ507" t="str">
        <f t="shared" si="105"/>
        <v>West</v>
      </c>
      <c r="AK507" t="str">
        <f t="shared" si="105"/>
        <v>Madhya Pradesh</v>
      </c>
      <c r="AL507" t="str">
        <f t="shared" si="105"/>
        <v>Indore</v>
      </c>
      <c r="AM507" t="str">
        <f t="shared" si="105"/>
        <v>Office Supplies</v>
      </c>
      <c r="AN507" t="str">
        <f t="shared" si="104"/>
        <v>Art</v>
      </c>
      <c r="AO507" t="str">
        <f t="shared" si="102"/>
        <v>First Class</v>
      </c>
      <c r="AP507" t="str">
        <f t="shared" si="103"/>
        <v>Paid</v>
      </c>
      <c r="AQ507" t="str">
        <f t="shared" si="103"/>
        <v>Cancelled</v>
      </c>
    </row>
    <row r="508" spans="1:43">
      <c r="A508" t="s">
        <v>1860</v>
      </c>
      <c r="B508" s="3" t="s">
        <v>1861</v>
      </c>
      <c r="C508" s="3">
        <v>45641</v>
      </c>
      <c r="D508" t="s">
        <v>1862</v>
      </c>
      <c r="E508" t="s">
        <v>218</v>
      </c>
      <c r="F508" t="s">
        <v>122</v>
      </c>
      <c r="G508" t="s">
        <v>110</v>
      </c>
      <c r="H508" t="s">
        <v>211</v>
      </c>
      <c r="I508" t="s">
        <v>212</v>
      </c>
      <c r="J508" t="s">
        <v>126</v>
      </c>
      <c r="K508" t="s">
        <v>143</v>
      </c>
      <c r="L508" t="s">
        <v>1863</v>
      </c>
      <c r="M508" t="s">
        <v>135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189</v>
      </c>
      <c r="U508" t="s">
        <v>190</v>
      </c>
      <c r="V508" s="2">
        <f t="shared" si="93"/>
        <v>0.1</v>
      </c>
      <c r="W508" s="2">
        <f t="shared" si="94"/>
        <v>1205.6399999999999</v>
      </c>
      <c r="X508" s="2">
        <f>W508-R508</f>
        <v>363.56999999999982</v>
      </c>
      <c r="Y508" s="2">
        <f t="shared" si="95"/>
        <v>0.30155767890912699</v>
      </c>
      <c r="Z508" s="2" t="str">
        <f t="shared" si="96"/>
        <v/>
      </c>
      <c r="AA508" s="2" t="e">
        <f t="shared" si="97"/>
        <v>#VALUE!</v>
      </c>
      <c r="AB508" s="2" t="e">
        <f t="shared" si="98"/>
        <v>#VALUE!</v>
      </c>
      <c r="AC508" s="2" t="str">
        <f t="shared" si="99"/>
        <v>Text Value Not Recognized as Date</v>
      </c>
      <c r="AD508" s="2">
        <f t="shared" si="100"/>
        <v>0</v>
      </c>
      <c r="AE508" s="2">
        <f t="shared" si="101"/>
        <v>0</v>
      </c>
      <c r="AH508" t="str">
        <f t="shared" si="105"/>
        <v>Aarav Sharma</v>
      </c>
      <c r="AI508" t="str">
        <f t="shared" si="105"/>
        <v>Small Business</v>
      </c>
      <c r="AJ508" t="str">
        <f t="shared" si="105"/>
        <v>North</v>
      </c>
      <c r="AK508" t="str">
        <f t="shared" si="105"/>
        <v>Punjab</v>
      </c>
      <c r="AL508" t="str">
        <f t="shared" si="105"/>
        <v>Ludhiana</v>
      </c>
      <c r="AM508" t="str">
        <f t="shared" si="105"/>
        <v>Furniture</v>
      </c>
      <c r="AN508" t="str">
        <f t="shared" si="104"/>
        <v>Furnishings</v>
      </c>
      <c r="AO508" t="str">
        <f t="shared" si="102"/>
        <v>First Class</v>
      </c>
      <c r="AP508" t="str">
        <f t="shared" si="103"/>
        <v>Refunded</v>
      </c>
      <c r="AQ508" t="str">
        <f t="shared" si="103"/>
        <v>Returned</v>
      </c>
    </row>
    <row r="509" spans="1:43">
      <c r="A509" t="s">
        <v>1864</v>
      </c>
      <c r="B509" s="3">
        <v>45762</v>
      </c>
      <c r="C509" s="3">
        <v>45769</v>
      </c>
      <c r="D509" t="s">
        <v>1865</v>
      </c>
      <c r="E509" t="s">
        <v>132</v>
      </c>
      <c r="F509" t="s">
        <v>122</v>
      </c>
      <c r="G509" t="s">
        <v>110</v>
      </c>
      <c r="H509" t="s">
        <v>344</v>
      </c>
      <c r="I509" t="s">
        <v>345</v>
      </c>
      <c r="J509" t="s">
        <v>113</v>
      </c>
      <c r="K509" t="s">
        <v>246</v>
      </c>
      <c r="L509" t="s">
        <v>1866</v>
      </c>
      <c r="M509" t="s">
        <v>129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117</v>
      </c>
      <c r="U509" t="s">
        <v>118</v>
      </c>
      <c r="V509" s="2">
        <f t="shared" si="93"/>
        <v>0.25</v>
      </c>
      <c r="W509" s="2">
        <f t="shared" si="94"/>
        <v>8971.26</v>
      </c>
      <c r="X509" s="2">
        <f>W509-R509</f>
        <v>2156.91</v>
      </c>
      <c r="Y509" s="2">
        <f t="shared" si="95"/>
        <v>0.24042442198754688</v>
      </c>
      <c r="Z509" s="2">
        <f t="shared" si="96"/>
        <v>7</v>
      </c>
      <c r="AA509" s="2">
        <f t="shared" si="97"/>
        <v>4</v>
      </c>
      <c r="AB509" s="2">
        <f t="shared" si="98"/>
        <v>2025</v>
      </c>
      <c r="AC509" s="2" t="str">
        <f t="shared" si="99"/>
        <v>Valid</v>
      </c>
      <c r="AD509" s="2">
        <f t="shared" si="100"/>
        <v>0</v>
      </c>
      <c r="AE509" s="2">
        <f t="shared" si="101"/>
        <v>0</v>
      </c>
      <c r="AH509" t="str">
        <f t="shared" si="105"/>
        <v>Isha Nair</v>
      </c>
      <c r="AI509" t="str">
        <f t="shared" si="105"/>
        <v>Small Business</v>
      </c>
      <c r="AJ509" t="str">
        <f t="shared" si="105"/>
        <v>North</v>
      </c>
      <c r="AK509" t="str">
        <f t="shared" si="105"/>
        <v>Haryana</v>
      </c>
      <c r="AL509" t="str">
        <f t="shared" si="105"/>
        <v>Gurugram</v>
      </c>
      <c r="AM509" t="str">
        <f t="shared" si="105"/>
        <v>Office Supplies</v>
      </c>
      <c r="AN509" t="str">
        <f t="shared" si="104"/>
        <v>Binders</v>
      </c>
      <c r="AO509" t="str">
        <f t="shared" si="102"/>
        <v>Same Day</v>
      </c>
      <c r="AP509" t="str">
        <f t="shared" si="103"/>
        <v>Paid</v>
      </c>
      <c r="AQ509" t="str">
        <f t="shared" si="103"/>
        <v>Completed</v>
      </c>
    </row>
    <row r="510" spans="1:43">
      <c r="A510" t="s">
        <v>1867</v>
      </c>
      <c r="B510" s="3">
        <v>45382</v>
      </c>
      <c r="C510" s="3">
        <v>45477</v>
      </c>
      <c r="D510" t="s">
        <v>1868</v>
      </c>
      <c r="E510" t="s">
        <v>132</v>
      </c>
      <c r="F510" t="s">
        <v>122</v>
      </c>
      <c r="G510" t="s">
        <v>110</v>
      </c>
      <c r="H510" t="s">
        <v>344</v>
      </c>
      <c r="I510" t="s">
        <v>345</v>
      </c>
      <c r="J510" t="s">
        <v>160</v>
      </c>
      <c r="K510" t="s">
        <v>385</v>
      </c>
      <c r="L510" t="s">
        <v>1869</v>
      </c>
      <c r="M510" t="s">
        <v>116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117</v>
      </c>
      <c r="U510" t="s">
        <v>118</v>
      </c>
      <c r="V510" s="2">
        <f t="shared" si="93"/>
        <v>0</v>
      </c>
      <c r="W510" s="2">
        <f t="shared" si="94"/>
        <v>7324</v>
      </c>
      <c r="X510" s="2">
        <f>W510-R510</f>
        <v>3144.37</v>
      </c>
      <c r="Y510" s="2">
        <f t="shared" si="95"/>
        <v>0.42932413981430911</v>
      </c>
      <c r="Z510" s="2">
        <f t="shared" si="96"/>
        <v>95</v>
      </c>
      <c r="AA510" s="2">
        <f t="shared" si="97"/>
        <v>3</v>
      </c>
      <c r="AB510" s="2">
        <f t="shared" si="98"/>
        <v>2024</v>
      </c>
      <c r="AC510" s="2" t="str">
        <f t="shared" si="99"/>
        <v>Valid</v>
      </c>
      <c r="AD510" s="2">
        <f t="shared" si="100"/>
        <v>0</v>
      </c>
      <c r="AE510" s="2">
        <f t="shared" si="101"/>
        <v>0</v>
      </c>
      <c r="AH510" t="str">
        <f t="shared" si="105"/>
        <v>Isha Nair</v>
      </c>
      <c r="AI510" t="str">
        <f t="shared" si="105"/>
        <v>Small Business</v>
      </c>
      <c r="AJ510" t="str">
        <f t="shared" si="105"/>
        <v>North</v>
      </c>
      <c r="AK510" t="str">
        <f t="shared" si="105"/>
        <v>Haryana</v>
      </c>
      <c r="AL510" t="str">
        <f t="shared" si="105"/>
        <v>Gurugram</v>
      </c>
      <c r="AM510" t="str">
        <f t="shared" si="105"/>
        <v>Technology</v>
      </c>
      <c r="AN510" t="str">
        <f t="shared" si="104"/>
        <v>Machines</v>
      </c>
      <c r="AO510" t="str">
        <f t="shared" si="102"/>
        <v>Second Class</v>
      </c>
      <c r="AP510" t="str">
        <f t="shared" si="103"/>
        <v>Paid</v>
      </c>
      <c r="AQ510" t="str">
        <f t="shared" si="103"/>
        <v>Completed</v>
      </c>
    </row>
    <row r="511" spans="1:43">
      <c r="A511" t="s">
        <v>1870</v>
      </c>
      <c r="B511" s="3">
        <v>45789</v>
      </c>
      <c r="C511" s="3">
        <v>45791</v>
      </c>
      <c r="D511" t="s">
        <v>1871</v>
      </c>
      <c r="E511" t="s">
        <v>165</v>
      </c>
      <c r="F511" t="s">
        <v>109</v>
      </c>
      <c r="G511" t="s">
        <v>149</v>
      </c>
      <c r="H511" t="s">
        <v>276</v>
      </c>
      <c r="I511" t="s">
        <v>277</v>
      </c>
      <c r="J511" t="s">
        <v>160</v>
      </c>
      <c r="K511" t="s">
        <v>385</v>
      </c>
      <c r="L511" t="s">
        <v>1872</v>
      </c>
      <c r="M511" t="s">
        <v>129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117</v>
      </c>
      <c r="U511" t="s">
        <v>118</v>
      </c>
      <c r="V511" s="2">
        <f t="shared" si="93"/>
        <v>0.2</v>
      </c>
      <c r="W511" s="2">
        <f t="shared" si="94"/>
        <v>23241.216</v>
      </c>
      <c r="X511" s="2">
        <f>W511-R511</f>
        <v>6020.3159999999989</v>
      </c>
      <c r="Y511" s="2">
        <f t="shared" si="95"/>
        <v>0.25903618812371948</v>
      </c>
      <c r="Z511" s="2">
        <f t="shared" si="96"/>
        <v>2</v>
      </c>
      <c r="AA511" s="2">
        <f t="shared" si="97"/>
        <v>5</v>
      </c>
      <c r="AB511" s="2">
        <f t="shared" si="98"/>
        <v>2025</v>
      </c>
      <c r="AC511" s="2" t="str">
        <f t="shared" si="99"/>
        <v>Valid</v>
      </c>
      <c r="AD511" s="2">
        <f t="shared" si="100"/>
        <v>0</v>
      </c>
      <c r="AE511" s="2">
        <f t="shared" si="101"/>
        <v>0</v>
      </c>
      <c r="AH511" t="str">
        <f t="shared" si="105"/>
        <v>Neha Gupta</v>
      </c>
      <c r="AI511" t="str">
        <f t="shared" si="105"/>
        <v>Consumer</v>
      </c>
      <c r="AJ511" t="str">
        <f t="shared" si="105"/>
        <v>West</v>
      </c>
      <c r="AK511" t="str">
        <f t="shared" si="105"/>
        <v>Gujarat</v>
      </c>
      <c r="AL511" t="str">
        <f t="shared" si="105"/>
        <v>Ahmedabad</v>
      </c>
      <c r="AM511" t="str">
        <f t="shared" si="105"/>
        <v>Technology</v>
      </c>
      <c r="AN511" t="str">
        <f t="shared" si="104"/>
        <v>Machines</v>
      </c>
      <c r="AO511" t="str">
        <f t="shared" si="102"/>
        <v>Same Day</v>
      </c>
      <c r="AP511" t="str">
        <f t="shared" si="103"/>
        <v>Paid</v>
      </c>
      <c r="AQ511" t="str">
        <f t="shared" si="103"/>
        <v>Completed</v>
      </c>
    </row>
    <row r="512" spans="1:43">
      <c r="A512" t="s">
        <v>1873</v>
      </c>
      <c r="B512" s="3">
        <v>45583</v>
      </c>
      <c r="C512" s="3" t="s">
        <v>1874</v>
      </c>
      <c r="D512" t="s">
        <v>1875</v>
      </c>
      <c r="E512" t="s">
        <v>1876</v>
      </c>
      <c r="F512" t="s">
        <v>109</v>
      </c>
      <c r="G512" t="s">
        <v>140</v>
      </c>
      <c r="H512" t="s">
        <v>270</v>
      </c>
      <c r="I512" t="s">
        <v>271</v>
      </c>
      <c r="J512" t="s">
        <v>113</v>
      </c>
      <c r="K512" t="s">
        <v>213</v>
      </c>
      <c r="L512" t="s">
        <v>1877</v>
      </c>
      <c r="M512" t="s">
        <v>116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117</v>
      </c>
      <c r="U512" t="s">
        <v>118</v>
      </c>
      <c r="V512" s="2">
        <f t="shared" si="93"/>
        <v>0</v>
      </c>
      <c r="W512" s="2">
        <f t="shared" si="94"/>
        <v>8477.02</v>
      </c>
      <c r="X512" s="2">
        <f>W512-R512</f>
        <v>1592.0600000000004</v>
      </c>
      <c r="Y512" s="2">
        <f t="shared" si="95"/>
        <v>0.18780892341884298</v>
      </c>
      <c r="Z512" s="2" t="str">
        <f t="shared" si="96"/>
        <v/>
      </c>
      <c r="AA512" s="2">
        <f t="shared" si="97"/>
        <v>10</v>
      </c>
      <c r="AB512" s="2">
        <f t="shared" si="98"/>
        <v>2024</v>
      </c>
      <c r="AC512" s="2" t="str">
        <f t="shared" si="99"/>
        <v>Text Value Not Recognized as Date</v>
      </c>
      <c r="AD512" s="2">
        <f t="shared" si="100"/>
        <v>0</v>
      </c>
      <c r="AE512" s="2">
        <f t="shared" si="101"/>
        <v>0</v>
      </c>
      <c r="AH512" t="str">
        <f t="shared" si="105"/>
        <v>Aarav Sharma</v>
      </c>
      <c r="AI512" t="str">
        <f t="shared" si="105"/>
        <v>Consumer</v>
      </c>
      <c r="AJ512" t="str">
        <f t="shared" si="105"/>
        <v>South</v>
      </c>
      <c r="AK512" t="str">
        <f t="shared" si="105"/>
        <v>Karnataka</v>
      </c>
      <c r="AL512" t="str">
        <f t="shared" si="105"/>
        <v>Bengaluru</v>
      </c>
      <c r="AM512" t="str">
        <f t="shared" si="105"/>
        <v>Office Supplies</v>
      </c>
      <c r="AN512" t="str">
        <f t="shared" si="104"/>
        <v>Storage</v>
      </c>
      <c r="AO512" t="str">
        <f t="shared" si="102"/>
        <v>Second Class</v>
      </c>
      <c r="AP512" t="str">
        <f t="shared" si="103"/>
        <v>Paid</v>
      </c>
      <c r="AQ512" t="str">
        <f t="shared" si="103"/>
        <v>Completed</v>
      </c>
    </row>
    <row r="513" spans="1:43">
      <c r="A513" t="s">
        <v>1878</v>
      </c>
      <c r="B513" s="3">
        <v>45588</v>
      </c>
      <c r="C513" s="3">
        <v>45591</v>
      </c>
      <c r="D513" t="s">
        <v>1879</v>
      </c>
      <c r="E513" t="s">
        <v>222</v>
      </c>
      <c r="F513" t="s">
        <v>109</v>
      </c>
      <c r="G513" t="s">
        <v>149</v>
      </c>
      <c r="H513" t="s">
        <v>158</v>
      </c>
      <c r="I513" t="s">
        <v>159</v>
      </c>
      <c r="J513" t="s">
        <v>126</v>
      </c>
      <c r="K513" t="s">
        <v>252</v>
      </c>
      <c r="L513" t="s">
        <v>1880</v>
      </c>
      <c r="M513" t="s">
        <v>145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117</v>
      </c>
      <c r="U513" t="s">
        <v>118</v>
      </c>
      <c r="V513" s="2">
        <f t="shared" si="93"/>
        <v>0.25</v>
      </c>
      <c r="W513" s="2">
        <f t="shared" si="94"/>
        <v>3673.8225000000002</v>
      </c>
      <c r="X513" s="2">
        <f>W513-R513</f>
        <v>1585.6725000000001</v>
      </c>
      <c r="Y513" s="2">
        <f t="shared" si="95"/>
        <v>0.43161380278987349</v>
      </c>
      <c r="Z513" s="2">
        <f t="shared" si="96"/>
        <v>3</v>
      </c>
      <c r="AA513" s="2">
        <f t="shared" si="97"/>
        <v>10</v>
      </c>
      <c r="AB513" s="2">
        <f t="shared" si="98"/>
        <v>2024</v>
      </c>
      <c r="AC513" s="2" t="str">
        <f t="shared" si="99"/>
        <v>Valid</v>
      </c>
      <c r="AD513" s="2">
        <f t="shared" si="100"/>
        <v>0</v>
      </c>
      <c r="AE513" s="2">
        <f t="shared" si="101"/>
        <v>0</v>
      </c>
      <c r="AH513" t="str">
        <f t="shared" si="105"/>
        <v>Sneha Kapoor</v>
      </c>
      <c r="AI513" t="str">
        <f t="shared" si="105"/>
        <v>Consumer</v>
      </c>
      <c r="AJ513" t="str">
        <f t="shared" si="105"/>
        <v>West</v>
      </c>
      <c r="AK513" t="str">
        <f t="shared" si="105"/>
        <v>Madhya Pradesh</v>
      </c>
      <c r="AL513" t="str">
        <f t="shared" si="105"/>
        <v>Indore</v>
      </c>
      <c r="AM513" t="str">
        <f t="shared" si="105"/>
        <v>Furniture</v>
      </c>
      <c r="AN513" t="str">
        <f t="shared" si="104"/>
        <v>Bookcases</v>
      </c>
      <c r="AO513" t="str">
        <f t="shared" si="102"/>
        <v>Standard Class</v>
      </c>
      <c r="AP513" t="str">
        <f t="shared" si="103"/>
        <v>Paid</v>
      </c>
      <c r="AQ513" t="str">
        <f t="shared" si="103"/>
        <v>Completed</v>
      </c>
    </row>
    <row r="514" spans="1:43">
      <c r="A514" t="s">
        <v>1881</v>
      </c>
      <c r="B514" s="3">
        <v>45718</v>
      </c>
      <c r="C514" s="3">
        <v>45719</v>
      </c>
      <c r="D514" t="s">
        <v>1455</v>
      </c>
      <c r="E514" t="s">
        <v>132</v>
      </c>
      <c r="F514" t="s">
        <v>177</v>
      </c>
      <c r="G514" t="s">
        <v>140</v>
      </c>
      <c r="H514" t="s">
        <v>282</v>
      </c>
      <c r="I514" t="s">
        <v>283</v>
      </c>
      <c r="J514" t="s">
        <v>113</v>
      </c>
      <c r="K514" t="s">
        <v>178</v>
      </c>
      <c r="L514" t="s">
        <v>1882</v>
      </c>
      <c r="M514" t="s">
        <v>116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117</v>
      </c>
      <c r="U514" t="s">
        <v>118</v>
      </c>
      <c r="V514" s="2">
        <f t="shared" si="93"/>
        <v>0.25</v>
      </c>
      <c r="W514" s="2">
        <f t="shared" si="94"/>
        <v>6047.1749999999993</v>
      </c>
      <c r="X514" s="2">
        <f>W514-R514</f>
        <v>2678.3849999999993</v>
      </c>
      <c r="Y514" s="2">
        <f t="shared" si="95"/>
        <v>0.44291508018206843</v>
      </c>
      <c r="Z514" s="2">
        <f t="shared" si="96"/>
        <v>1</v>
      </c>
      <c r="AA514" s="2">
        <f t="shared" si="97"/>
        <v>3</v>
      </c>
      <c r="AB514" s="2">
        <f t="shared" si="98"/>
        <v>2025</v>
      </c>
      <c r="AC514" s="2" t="str">
        <f t="shared" si="99"/>
        <v>Valid</v>
      </c>
      <c r="AD514" s="2">
        <f t="shared" si="100"/>
        <v>0</v>
      </c>
      <c r="AE514" s="2">
        <f t="shared" si="101"/>
        <v>0</v>
      </c>
      <c r="AH514" t="str">
        <f t="shared" si="105"/>
        <v>Isha Nair</v>
      </c>
      <c r="AI514" t="str">
        <f t="shared" si="105"/>
        <v>Corporate</v>
      </c>
      <c r="AJ514" t="str">
        <f t="shared" si="105"/>
        <v>South</v>
      </c>
      <c r="AK514" t="str">
        <f t="shared" si="105"/>
        <v>Kerala</v>
      </c>
      <c r="AL514" t="str">
        <f t="shared" si="105"/>
        <v>Kochi</v>
      </c>
      <c r="AM514" t="str">
        <f t="shared" si="105"/>
        <v>Office Supplies</v>
      </c>
      <c r="AN514" t="str">
        <f t="shared" si="104"/>
        <v>Labels</v>
      </c>
      <c r="AO514" t="str">
        <f t="shared" si="102"/>
        <v>Second Class</v>
      </c>
      <c r="AP514" t="str">
        <f t="shared" si="103"/>
        <v>Paid</v>
      </c>
      <c r="AQ514" t="str">
        <f t="shared" si="103"/>
        <v>Completed</v>
      </c>
    </row>
    <row r="515" spans="1:43">
      <c r="A515" t="s">
        <v>1883</v>
      </c>
      <c r="B515" s="3" t="s">
        <v>808</v>
      </c>
      <c r="C515" s="3">
        <v>45840</v>
      </c>
      <c r="D515" t="s">
        <v>1884</v>
      </c>
      <c r="E515" t="s">
        <v>218</v>
      </c>
      <c r="F515" t="s">
        <v>177</v>
      </c>
      <c r="G515" t="s">
        <v>140</v>
      </c>
      <c r="H515" t="s">
        <v>282</v>
      </c>
      <c r="I515" t="s">
        <v>283</v>
      </c>
      <c r="J515" t="s">
        <v>160</v>
      </c>
      <c r="K515" t="s">
        <v>161</v>
      </c>
      <c r="L515" t="s">
        <v>1885</v>
      </c>
      <c r="M515" t="s">
        <v>135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117</v>
      </c>
      <c r="U515" t="s">
        <v>118</v>
      </c>
      <c r="V515" s="2">
        <f t="shared" ref="V515:V578" si="106">IF(ISBLANK(P515), 0, P515)</f>
        <v>0.1</v>
      </c>
      <c r="W515" s="2">
        <f t="shared" ref="W515:W578" si="107">N515 * O515 * (1 - P515)</f>
        <v>5937.246000000001</v>
      </c>
      <c r="X515" s="2">
        <f>W515-R515</f>
        <v>1848.786000000001</v>
      </c>
      <c r="Y515" s="2">
        <f t="shared" ref="Y515:Y578" si="108">IFERROR(X515 / W515, 0)</f>
        <v>0.31138780505304997</v>
      </c>
      <c r="Z515" s="2" t="str">
        <f t="shared" ref="Z515:Z578" si="109">IF(OR(ISBLANK(B515), ISBLANK(C515), ISTEXT(B515), ISTEXT(C515)), "", C515 - B515)</f>
        <v/>
      </c>
      <c r="AA515" s="2" t="e">
        <f t="shared" ref="AA515:AA578" si="110">MONTH(B515)</f>
        <v>#VALUE!</v>
      </c>
      <c r="AB515" s="2" t="e">
        <f t="shared" ref="AB515:AB578" si="111">YEAR(B515)</f>
        <v>#VALUE!</v>
      </c>
      <c r="AC515" s="2" t="str">
        <f t="shared" ref="AC515:AC578" si="112">IF(COUNTIF(A:A, A515) &gt; 1, "Conflicting Duplicate Order ID",
 IF(OR(G515="Unknown", ISBLANK(G515)), "Missing region",
 IF(OR(M515="Unknown", ISBLANK(M515)), "Missing ship_mode",
 IF(OR(ISBLANK(B515), ISBLANK(C515)), "Missing Date",
 IF(OR(ISTEXT(B515), ISTEXT(C515)), "Text Value Not Recognized as Date",
 IF(C515 &lt; B515, "Invalid shipping record",
 IF(P515 &lt; 0, "Invalid",
 IF(P515 &gt; 0.7, "Invalid",
 "Valid"))))))))</f>
        <v>Text Value Not Recognized as Date</v>
      </c>
      <c r="AD515" s="2">
        <f t="shared" ref="AD515:AD578" si="113">IF(ABS(Q515 - W515) &gt; 0.01, 1, 0)</f>
        <v>1</v>
      </c>
      <c r="AE515" s="2">
        <f t="shared" ref="AE515:AE578" si="114">IF(ABS(S515 - X515) &gt; 0.01, 1, 0)</f>
        <v>0</v>
      </c>
      <c r="AH515" t="str">
        <f t="shared" si="105"/>
        <v>Aarav Sharma</v>
      </c>
      <c r="AI515" t="str">
        <f t="shared" si="105"/>
        <v>Corporate</v>
      </c>
      <c r="AJ515" t="str">
        <f t="shared" si="105"/>
        <v>South</v>
      </c>
      <c r="AK515" t="str">
        <f t="shared" si="105"/>
        <v>Kerala</v>
      </c>
      <c r="AL515" t="str">
        <f t="shared" si="105"/>
        <v>Kochi</v>
      </c>
      <c r="AM515" t="str">
        <f t="shared" si="105"/>
        <v>Technology</v>
      </c>
      <c r="AN515" t="str">
        <f t="shared" si="104"/>
        <v>Accessories</v>
      </c>
      <c r="AO515" t="str">
        <f t="shared" ref="AO515:AO578" si="115">PROPER(TRIM(M515))</f>
        <v>First Class</v>
      </c>
      <c r="AP515" t="str">
        <f t="shared" ref="AP515:AQ578" si="116">PROPER(TRIM(T515))</f>
        <v>Paid</v>
      </c>
      <c r="AQ515" t="str">
        <f t="shared" si="116"/>
        <v>Completed</v>
      </c>
    </row>
    <row r="516" spans="1:43">
      <c r="A516" t="s">
        <v>1886</v>
      </c>
      <c r="B516" s="3">
        <v>45614</v>
      </c>
      <c r="C516" s="3">
        <v>45618</v>
      </c>
      <c r="D516" t="s">
        <v>1887</v>
      </c>
      <c r="E516" t="s">
        <v>108</v>
      </c>
      <c r="F516" t="s">
        <v>182</v>
      </c>
      <c r="G516" t="s">
        <v>140</v>
      </c>
      <c r="H516" t="s">
        <v>282</v>
      </c>
      <c r="I516" t="s">
        <v>283</v>
      </c>
      <c r="J516" t="s">
        <v>160</v>
      </c>
      <c r="K516" t="s">
        <v>161</v>
      </c>
      <c r="L516" t="s">
        <v>1888</v>
      </c>
      <c r="M516" t="s">
        <v>145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117</v>
      </c>
      <c r="U516" t="s">
        <v>118</v>
      </c>
      <c r="V516" s="2">
        <f t="shared" si="106"/>
        <v>0.1</v>
      </c>
      <c r="W516" s="2">
        <f t="shared" si="107"/>
        <v>20913.876</v>
      </c>
      <c r="X516" s="2">
        <f>W516-R516</f>
        <v>9229.1959999999999</v>
      </c>
      <c r="Y516" s="2">
        <f t="shared" si="108"/>
        <v>0.44129533903710627</v>
      </c>
      <c r="Z516" s="2">
        <f t="shared" si="109"/>
        <v>4</v>
      </c>
      <c r="AA516" s="2">
        <f t="shared" si="110"/>
        <v>11</v>
      </c>
      <c r="AB516" s="2">
        <f t="shared" si="111"/>
        <v>2024</v>
      </c>
      <c r="AC516" s="2" t="str">
        <f t="shared" si="112"/>
        <v>Valid</v>
      </c>
      <c r="AD516" s="2">
        <f t="shared" si="113"/>
        <v>0</v>
      </c>
      <c r="AE516" s="2">
        <f t="shared" si="114"/>
        <v>0</v>
      </c>
      <c r="AH516" t="str">
        <f t="shared" si="105"/>
        <v>Karan Malhotra</v>
      </c>
      <c r="AI516" t="str">
        <f t="shared" si="105"/>
        <v>Home Office</v>
      </c>
      <c r="AJ516" t="str">
        <f t="shared" si="105"/>
        <v>South</v>
      </c>
      <c r="AK516" t="str">
        <f t="shared" si="105"/>
        <v>Kerala</v>
      </c>
      <c r="AL516" t="str">
        <f t="shared" si="105"/>
        <v>Kochi</v>
      </c>
      <c r="AM516" t="str">
        <f t="shared" si="105"/>
        <v>Technology</v>
      </c>
      <c r="AN516" t="str">
        <f t="shared" si="104"/>
        <v>Accessories</v>
      </c>
      <c r="AO516" t="str">
        <f t="shared" si="115"/>
        <v>Standard Class</v>
      </c>
      <c r="AP516" t="str">
        <f t="shared" si="116"/>
        <v>Paid</v>
      </c>
      <c r="AQ516" t="str">
        <f t="shared" si="116"/>
        <v>Completed</v>
      </c>
    </row>
    <row r="517" spans="1:43">
      <c r="A517" t="s">
        <v>1889</v>
      </c>
      <c r="B517" s="3">
        <v>45758</v>
      </c>
      <c r="C517" s="3">
        <v>45758</v>
      </c>
      <c r="D517" t="s">
        <v>1890</v>
      </c>
      <c r="E517" t="s">
        <v>207</v>
      </c>
      <c r="F517" t="s">
        <v>177</v>
      </c>
      <c r="G517" t="s">
        <v>110</v>
      </c>
      <c r="H517" t="s">
        <v>465</v>
      </c>
      <c r="I517" t="s">
        <v>466</v>
      </c>
      <c r="J517" t="s">
        <v>113</v>
      </c>
      <c r="K517" t="s">
        <v>114</v>
      </c>
      <c r="L517" t="s">
        <v>1891</v>
      </c>
      <c r="M517" t="s">
        <v>145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117</v>
      </c>
      <c r="U517" t="s">
        <v>118</v>
      </c>
      <c r="V517" s="2">
        <f t="shared" si="106"/>
        <v>-7.0000000000000007E-2</v>
      </c>
      <c r="W517" s="2">
        <f t="shared" si="107"/>
        <v>4770.5843000000004</v>
      </c>
      <c r="X517" s="2">
        <f>W517-R517</f>
        <v>2687.1743000000006</v>
      </c>
      <c r="Y517" s="2">
        <f t="shared" si="108"/>
        <v>0.56327991101635089</v>
      </c>
      <c r="Z517" s="2">
        <f t="shared" si="109"/>
        <v>0</v>
      </c>
      <c r="AA517" s="2">
        <f t="shared" si="110"/>
        <v>4</v>
      </c>
      <c r="AB517" s="2">
        <f t="shared" si="111"/>
        <v>2025</v>
      </c>
      <c r="AC517" s="2" t="str">
        <f t="shared" si="112"/>
        <v>Invalid</v>
      </c>
      <c r="AD517" s="2">
        <f t="shared" si="113"/>
        <v>1</v>
      </c>
      <c r="AE517" s="2">
        <f t="shared" si="114"/>
        <v>1</v>
      </c>
      <c r="AH517" t="str">
        <f t="shared" si="105"/>
        <v>Rahul Verma</v>
      </c>
      <c r="AI517" t="str">
        <f t="shared" si="105"/>
        <v>Corporate</v>
      </c>
      <c r="AJ517" t="str">
        <f t="shared" si="105"/>
        <v>North</v>
      </c>
      <c r="AK517" t="str">
        <f t="shared" si="105"/>
        <v>Delhi</v>
      </c>
      <c r="AL517" t="str">
        <f t="shared" si="105"/>
        <v>New Delhi</v>
      </c>
      <c r="AM517" t="str">
        <f t="shared" si="105"/>
        <v>Office Supplies</v>
      </c>
      <c r="AN517" t="str">
        <f t="shared" si="104"/>
        <v>Paper</v>
      </c>
      <c r="AO517" t="str">
        <f t="shared" si="115"/>
        <v>Standard Class</v>
      </c>
      <c r="AP517" t="str">
        <f t="shared" si="116"/>
        <v>Paid</v>
      </c>
      <c r="AQ517" t="str">
        <f t="shared" si="116"/>
        <v>Completed</v>
      </c>
    </row>
    <row r="518" spans="1:43">
      <c r="A518" t="s">
        <v>1892</v>
      </c>
      <c r="B518" s="3">
        <v>45563</v>
      </c>
      <c r="C518" s="3">
        <v>45569</v>
      </c>
      <c r="D518" t="s">
        <v>1893</v>
      </c>
      <c r="E518" t="s">
        <v>375</v>
      </c>
      <c r="F518" t="s">
        <v>182</v>
      </c>
      <c r="G518" t="s">
        <v>110</v>
      </c>
      <c r="H518" t="s">
        <v>465</v>
      </c>
      <c r="I518" t="s">
        <v>466</v>
      </c>
      <c r="J518" t="s">
        <v>160</v>
      </c>
      <c r="K518" t="s">
        <v>166</v>
      </c>
      <c r="L518" t="s">
        <v>1894</v>
      </c>
      <c r="M518" t="s">
        <v>145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248</v>
      </c>
      <c r="U518" t="s">
        <v>190</v>
      </c>
      <c r="V518" s="2">
        <f t="shared" si="106"/>
        <v>0</v>
      </c>
      <c r="W518" s="2">
        <f t="shared" si="107"/>
        <v>2233.1799999999998</v>
      </c>
      <c r="X518" s="2">
        <f>W518-R518</f>
        <v>647.3599999999999</v>
      </c>
      <c r="Y518" s="2">
        <f t="shared" si="108"/>
        <v>0.28988258895386843</v>
      </c>
      <c r="Z518" s="2">
        <f t="shared" si="109"/>
        <v>6</v>
      </c>
      <c r="AA518" s="2">
        <f t="shared" si="110"/>
        <v>9</v>
      </c>
      <c r="AB518" s="2">
        <f t="shared" si="111"/>
        <v>2024</v>
      </c>
      <c r="AC518" s="2" t="str">
        <f t="shared" si="112"/>
        <v>Valid</v>
      </c>
      <c r="AD518" s="2">
        <f t="shared" si="113"/>
        <v>0</v>
      </c>
      <c r="AE518" s="2">
        <f t="shared" si="114"/>
        <v>0</v>
      </c>
      <c r="AH518" t="str">
        <f t="shared" si="105"/>
        <v>Kabir Singh</v>
      </c>
      <c r="AI518" t="str">
        <f t="shared" si="105"/>
        <v>Home Office</v>
      </c>
      <c r="AJ518" t="str">
        <f t="shared" si="105"/>
        <v>North</v>
      </c>
      <c r="AK518" t="str">
        <f t="shared" si="105"/>
        <v>Delhi</v>
      </c>
      <c r="AL518" t="str">
        <f t="shared" si="105"/>
        <v>New Delhi</v>
      </c>
      <c r="AM518" t="str">
        <f t="shared" si="105"/>
        <v>Technology</v>
      </c>
      <c r="AN518" t="str">
        <f t="shared" si="104"/>
        <v>Copiers</v>
      </c>
      <c r="AO518" t="str">
        <f t="shared" si="115"/>
        <v>Standard Class</v>
      </c>
      <c r="AP518" t="str">
        <f t="shared" si="116"/>
        <v>Failed</v>
      </c>
      <c r="AQ518" t="str">
        <f t="shared" si="116"/>
        <v>Returned</v>
      </c>
    </row>
    <row r="519" spans="1:43">
      <c r="A519" t="s">
        <v>1895</v>
      </c>
      <c r="B519" s="3">
        <v>45802</v>
      </c>
      <c r="C519" s="3">
        <v>45804</v>
      </c>
      <c r="D519" t="s">
        <v>1896</v>
      </c>
      <c r="E519" t="s">
        <v>207</v>
      </c>
      <c r="F519" t="s">
        <v>109</v>
      </c>
      <c r="G519" t="s">
        <v>123</v>
      </c>
      <c r="H519" t="s">
        <v>124</v>
      </c>
      <c r="I519" t="s">
        <v>125</v>
      </c>
      <c r="J519" t="s">
        <v>126</v>
      </c>
      <c r="K519" t="s">
        <v>143</v>
      </c>
      <c r="L519" t="s">
        <v>1897</v>
      </c>
      <c r="M519" t="s">
        <v>116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189</v>
      </c>
      <c r="U519" t="s">
        <v>190</v>
      </c>
      <c r="V519" s="2">
        <f t="shared" si="106"/>
        <v>0.2</v>
      </c>
      <c r="W519" s="2">
        <f t="shared" si="107"/>
        <v>11890.368000000002</v>
      </c>
      <c r="X519" s="2">
        <f>W519-R519</f>
        <v>2655.8380000000016</v>
      </c>
      <c r="Y519" s="2">
        <f t="shared" si="108"/>
        <v>0.22336045444514427</v>
      </c>
      <c r="Z519" s="2">
        <f t="shared" si="109"/>
        <v>2</v>
      </c>
      <c r="AA519" s="2">
        <f t="shared" si="110"/>
        <v>5</v>
      </c>
      <c r="AB519" s="2">
        <f t="shared" si="111"/>
        <v>2025</v>
      </c>
      <c r="AC519" s="2" t="str">
        <f t="shared" si="112"/>
        <v>Valid</v>
      </c>
      <c r="AD519" s="2">
        <f t="shared" si="113"/>
        <v>0</v>
      </c>
      <c r="AE519" s="2">
        <f t="shared" si="114"/>
        <v>0</v>
      </c>
      <c r="AH519" t="str">
        <f t="shared" si="105"/>
        <v>Rahul Verma</v>
      </c>
      <c r="AI519" t="str">
        <f t="shared" si="105"/>
        <v>Consumer</v>
      </c>
      <c r="AJ519" t="str">
        <f t="shared" si="105"/>
        <v>East</v>
      </c>
      <c r="AK519" t="str">
        <f t="shared" si="105"/>
        <v>Odisha</v>
      </c>
      <c r="AL519" t="str">
        <f t="shared" si="105"/>
        <v>Bhubaneswar</v>
      </c>
      <c r="AM519" t="str">
        <f t="shared" si="105"/>
        <v>Furniture</v>
      </c>
      <c r="AN519" t="str">
        <f t="shared" si="104"/>
        <v>Furnishings</v>
      </c>
      <c r="AO519" t="str">
        <f t="shared" si="115"/>
        <v>Second Class</v>
      </c>
      <c r="AP519" t="str">
        <f t="shared" si="116"/>
        <v>Refunded</v>
      </c>
      <c r="AQ519" t="str">
        <f t="shared" si="116"/>
        <v>Returned</v>
      </c>
    </row>
    <row r="520" spans="1:43">
      <c r="A520" t="s">
        <v>1898</v>
      </c>
      <c r="B520" s="3" t="s">
        <v>1813</v>
      </c>
      <c r="C520" s="3">
        <v>45773</v>
      </c>
      <c r="D520" t="s">
        <v>1899</v>
      </c>
      <c r="E520" t="s">
        <v>256</v>
      </c>
      <c r="F520" t="s">
        <v>177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1900</v>
      </c>
      <c r="M520" t="s">
        <v>135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117</v>
      </c>
      <c r="U520" t="s">
        <v>44</v>
      </c>
      <c r="V520" s="2">
        <f t="shared" si="106"/>
        <v>0.25</v>
      </c>
      <c r="W520" s="2">
        <f t="shared" si="107"/>
        <v>8421.682499999999</v>
      </c>
      <c r="X520" s="2">
        <f>W520-R520</f>
        <v>1887.2124999999987</v>
      </c>
      <c r="Y520" s="2">
        <f t="shared" si="108"/>
        <v>0.22408972316398759</v>
      </c>
      <c r="Z520" s="2" t="str">
        <f t="shared" si="109"/>
        <v/>
      </c>
      <c r="AA520" s="2" t="e">
        <f t="shared" si="110"/>
        <v>#VALUE!</v>
      </c>
      <c r="AB520" s="2" t="e">
        <f t="shared" si="111"/>
        <v>#VALUE!</v>
      </c>
      <c r="AC520" s="2" t="str">
        <f t="shared" si="112"/>
        <v>Text Value Not Recognized as Date</v>
      </c>
      <c r="AD520" s="2">
        <f t="shared" si="113"/>
        <v>0</v>
      </c>
      <c r="AE520" s="2">
        <f t="shared" si="114"/>
        <v>0</v>
      </c>
      <c r="AH520" t="str">
        <f t="shared" si="105"/>
        <v>Diya Patel</v>
      </c>
      <c r="AI520" t="str">
        <f t="shared" si="105"/>
        <v>Corporate</v>
      </c>
      <c r="AJ520" t="str">
        <f t="shared" si="105"/>
        <v>East</v>
      </c>
      <c r="AK520" t="str">
        <f t="shared" si="105"/>
        <v>Odisha</v>
      </c>
      <c r="AL520" t="str">
        <f t="shared" si="105"/>
        <v>Bhubaneswar</v>
      </c>
      <c r="AM520" t="str">
        <f t="shared" si="105"/>
        <v>Furniture</v>
      </c>
      <c r="AN520" t="str">
        <f t="shared" si="104"/>
        <v>Tables</v>
      </c>
      <c r="AO520" t="str">
        <f t="shared" si="115"/>
        <v>First Class</v>
      </c>
      <c r="AP520" t="str">
        <f t="shared" si="116"/>
        <v>Paid</v>
      </c>
      <c r="AQ520" t="str">
        <f t="shared" si="116"/>
        <v>Cancelled</v>
      </c>
    </row>
    <row r="521" spans="1:43">
      <c r="A521" t="s">
        <v>1901</v>
      </c>
      <c r="B521" s="3">
        <v>45723</v>
      </c>
      <c r="C521" s="3">
        <v>45845</v>
      </c>
      <c r="D521" t="s">
        <v>1902</v>
      </c>
      <c r="E521" t="s">
        <v>203</v>
      </c>
      <c r="F521" t="s">
        <v>109</v>
      </c>
      <c r="G521" t="s">
        <v>110</v>
      </c>
      <c r="H521" t="s">
        <v>227</v>
      </c>
      <c r="I521" t="s">
        <v>228</v>
      </c>
      <c r="J521" t="s">
        <v>126</v>
      </c>
      <c r="K521" t="s">
        <v>127</v>
      </c>
      <c r="L521" t="s">
        <v>1903</v>
      </c>
      <c r="M521" t="s">
        <v>145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199</v>
      </c>
      <c r="U521" t="s">
        <v>44</v>
      </c>
      <c r="V521" s="2">
        <f t="shared" si="106"/>
        <v>0.2</v>
      </c>
      <c r="W521" s="2">
        <f t="shared" si="107"/>
        <v>13968.672</v>
      </c>
      <c r="X521" s="2">
        <f>W521-R521</f>
        <v>5111.0920000000006</v>
      </c>
      <c r="Y521" s="2">
        <f t="shared" si="108"/>
        <v>0.36589677243477409</v>
      </c>
      <c r="Z521" s="2">
        <f t="shared" si="109"/>
        <v>122</v>
      </c>
      <c r="AA521" s="2">
        <f t="shared" si="110"/>
        <v>3</v>
      </c>
      <c r="AB521" s="2">
        <f t="shared" si="111"/>
        <v>2025</v>
      </c>
      <c r="AC521" s="2" t="str">
        <f t="shared" si="112"/>
        <v>Valid</v>
      </c>
      <c r="AD521" s="2">
        <f t="shared" si="113"/>
        <v>0</v>
      </c>
      <c r="AE521" s="2">
        <f t="shared" si="114"/>
        <v>0</v>
      </c>
      <c r="AH521" t="str">
        <f t="shared" si="105"/>
        <v>Priya Menon</v>
      </c>
      <c r="AI521" t="str">
        <f t="shared" si="105"/>
        <v>Consumer</v>
      </c>
      <c r="AJ521" t="str">
        <f t="shared" si="105"/>
        <v>North</v>
      </c>
      <c r="AK521" t="str">
        <f t="shared" si="105"/>
        <v>Uttar Pradesh</v>
      </c>
      <c r="AL521" t="str">
        <f t="shared" si="105"/>
        <v>Noida</v>
      </c>
      <c r="AM521" t="str">
        <f t="shared" si="105"/>
        <v>Furniture</v>
      </c>
      <c r="AN521" t="str">
        <f t="shared" si="104"/>
        <v>Tables</v>
      </c>
      <c r="AO521" t="str">
        <f t="shared" si="115"/>
        <v>Standard Class</v>
      </c>
      <c r="AP521" t="str">
        <f t="shared" si="116"/>
        <v>Pending</v>
      </c>
      <c r="AQ521" t="str">
        <f t="shared" si="116"/>
        <v>Cancelled</v>
      </c>
    </row>
    <row r="522" spans="1:43">
      <c r="A522" t="s">
        <v>1904</v>
      </c>
      <c r="B522" s="3">
        <v>45489</v>
      </c>
      <c r="C522" s="3">
        <v>45496</v>
      </c>
      <c r="D522" t="s">
        <v>1905</v>
      </c>
      <c r="E522" t="s">
        <v>218</v>
      </c>
      <c r="F522" t="s">
        <v>182</v>
      </c>
      <c r="G522" t="s">
        <v>140</v>
      </c>
      <c r="H522" t="s">
        <v>270</v>
      </c>
      <c r="I522" t="s">
        <v>271</v>
      </c>
      <c r="J522" t="s">
        <v>160</v>
      </c>
      <c r="K522" t="s">
        <v>385</v>
      </c>
      <c r="L522" t="s">
        <v>1906</v>
      </c>
      <c r="M522" t="s">
        <v>129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117</v>
      </c>
      <c r="U522" t="s">
        <v>118</v>
      </c>
      <c r="V522" s="2">
        <f t="shared" si="106"/>
        <v>0.05</v>
      </c>
      <c r="W522" s="2">
        <f t="shared" si="107"/>
        <v>1611.1144999999999</v>
      </c>
      <c r="X522" s="2">
        <f>W522-R522</f>
        <v>715.96449999999993</v>
      </c>
      <c r="Y522" s="2">
        <f t="shared" si="108"/>
        <v>0.44439082386757739</v>
      </c>
      <c r="Z522" s="2">
        <f t="shared" si="109"/>
        <v>7</v>
      </c>
      <c r="AA522" s="2">
        <f t="shared" si="110"/>
        <v>7</v>
      </c>
      <c r="AB522" s="2">
        <f t="shared" si="111"/>
        <v>2024</v>
      </c>
      <c r="AC522" s="2" t="str">
        <f t="shared" si="112"/>
        <v>Valid</v>
      </c>
      <c r="AD522" s="2">
        <f t="shared" si="113"/>
        <v>0</v>
      </c>
      <c r="AE522" s="2">
        <f t="shared" si="114"/>
        <v>0</v>
      </c>
      <c r="AH522" t="str">
        <f t="shared" si="105"/>
        <v>Aarav Sharma</v>
      </c>
      <c r="AI522" t="str">
        <f t="shared" si="105"/>
        <v>Home Office</v>
      </c>
      <c r="AJ522" t="str">
        <f t="shared" si="105"/>
        <v>South</v>
      </c>
      <c r="AK522" t="str">
        <f t="shared" si="105"/>
        <v>Karnataka</v>
      </c>
      <c r="AL522" t="str">
        <f t="shared" si="105"/>
        <v>Bengaluru</v>
      </c>
      <c r="AM522" t="str">
        <f t="shared" si="105"/>
        <v>Technology</v>
      </c>
      <c r="AN522" t="str">
        <f t="shared" si="104"/>
        <v>Machines</v>
      </c>
      <c r="AO522" t="str">
        <f t="shared" si="115"/>
        <v>Same Day</v>
      </c>
      <c r="AP522" t="str">
        <f t="shared" si="116"/>
        <v>Paid</v>
      </c>
      <c r="AQ522" t="str">
        <f t="shared" si="116"/>
        <v>Completed</v>
      </c>
    </row>
    <row r="523" spans="1:43">
      <c r="A523" t="s">
        <v>1907</v>
      </c>
      <c r="B523" s="3">
        <v>45741</v>
      </c>
      <c r="C523" s="3">
        <v>45748</v>
      </c>
      <c r="D523" t="s">
        <v>1908</v>
      </c>
      <c r="E523" t="s">
        <v>256</v>
      </c>
      <c r="F523" t="s">
        <v>109</v>
      </c>
      <c r="G523" t="s">
        <v>110</v>
      </c>
      <c r="H523" t="s">
        <v>211</v>
      </c>
      <c r="I523" t="s">
        <v>212</v>
      </c>
      <c r="J523" t="s">
        <v>113</v>
      </c>
      <c r="K523" t="s">
        <v>178</v>
      </c>
      <c r="L523" t="s">
        <v>1909</v>
      </c>
      <c r="M523" t="s">
        <v>116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117</v>
      </c>
      <c r="U523" t="s">
        <v>118</v>
      </c>
      <c r="V523" s="2">
        <f t="shared" si="106"/>
        <v>0.05</v>
      </c>
      <c r="W523" s="2">
        <f t="shared" si="107"/>
        <v>12495.027</v>
      </c>
      <c r="X523" s="2">
        <f>W523-R523</f>
        <v>3310.5069999999996</v>
      </c>
      <c r="Y523" s="2">
        <f t="shared" si="108"/>
        <v>0.26494596610315446</v>
      </c>
      <c r="Z523" s="2">
        <f t="shared" si="109"/>
        <v>7</v>
      </c>
      <c r="AA523" s="2">
        <f t="shared" si="110"/>
        <v>3</v>
      </c>
      <c r="AB523" s="2">
        <f t="shared" si="111"/>
        <v>2025</v>
      </c>
      <c r="AC523" s="2" t="str">
        <f t="shared" si="112"/>
        <v>Valid</v>
      </c>
      <c r="AD523" s="2">
        <f t="shared" si="113"/>
        <v>0</v>
      </c>
      <c r="AE523" s="2">
        <f t="shared" si="114"/>
        <v>0</v>
      </c>
      <c r="AH523" t="str">
        <f t="shared" si="105"/>
        <v>Diya Patel</v>
      </c>
      <c r="AI523" t="str">
        <f t="shared" si="105"/>
        <v>Consumer</v>
      </c>
      <c r="AJ523" t="str">
        <f t="shared" si="105"/>
        <v>North</v>
      </c>
      <c r="AK523" t="str">
        <f t="shared" si="105"/>
        <v>Punjab</v>
      </c>
      <c r="AL523" t="str">
        <f t="shared" si="105"/>
        <v>Ludhiana</v>
      </c>
      <c r="AM523" t="str">
        <f t="shared" si="105"/>
        <v>Office Supplies</v>
      </c>
      <c r="AN523" t="str">
        <f t="shared" si="104"/>
        <v>Labels</v>
      </c>
      <c r="AO523" t="str">
        <f t="shared" si="115"/>
        <v>Second Class</v>
      </c>
      <c r="AP523" t="str">
        <f t="shared" si="116"/>
        <v>Paid</v>
      </c>
      <c r="AQ523" t="str">
        <f t="shared" si="116"/>
        <v>Completed</v>
      </c>
    </row>
    <row r="524" spans="1:43">
      <c r="A524" t="s">
        <v>1910</v>
      </c>
      <c r="B524" s="3">
        <v>45716</v>
      </c>
      <c r="C524" s="3">
        <v>45724</v>
      </c>
      <c r="D524" t="s">
        <v>1911</v>
      </c>
      <c r="E524" t="s">
        <v>165</v>
      </c>
      <c r="F524" t="s">
        <v>122</v>
      </c>
      <c r="G524" t="s">
        <v>123</v>
      </c>
      <c r="H524" t="s">
        <v>335</v>
      </c>
      <c r="I524" t="s">
        <v>336</v>
      </c>
      <c r="J524" t="s">
        <v>160</v>
      </c>
      <c r="K524" t="s">
        <v>266</v>
      </c>
      <c r="L524" t="s">
        <v>1912</v>
      </c>
      <c r="M524" t="s">
        <v>135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117</v>
      </c>
      <c r="U524" t="s">
        <v>118</v>
      </c>
      <c r="V524" s="2">
        <f t="shared" si="106"/>
        <v>0</v>
      </c>
      <c r="W524" s="2">
        <f t="shared" si="107"/>
        <v>33034.86</v>
      </c>
      <c r="X524" s="2">
        <f>W524-R524</f>
        <v>8495.0299999999988</v>
      </c>
      <c r="Y524" s="2">
        <f t="shared" si="108"/>
        <v>0.25715350390466307</v>
      </c>
      <c r="Z524" s="2">
        <f t="shared" si="109"/>
        <v>8</v>
      </c>
      <c r="AA524" s="2">
        <f t="shared" si="110"/>
        <v>2</v>
      </c>
      <c r="AB524" s="2">
        <f t="shared" si="111"/>
        <v>2025</v>
      </c>
      <c r="AC524" s="2" t="str">
        <f t="shared" si="112"/>
        <v>Valid</v>
      </c>
      <c r="AD524" s="2">
        <f t="shared" si="113"/>
        <v>0</v>
      </c>
      <c r="AE524" s="2">
        <f t="shared" si="114"/>
        <v>0</v>
      </c>
      <c r="AH524" t="str">
        <f t="shared" si="105"/>
        <v>Neha Gupta</v>
      </c>
      <c r="AI524" t="str">
        <f t="shared" si="105"/>
        <v>Small Business</v>
      </c>
      <c r="AJ524" t="str">
        <f t="shared" si="105"/>
        <v>East</v>
      </c>
      <c r="AK524" t="str">
        <f t="shared" si="105"/>
        <v>Jharkhand</v>
      </c>
      <c r="AL524" t="str">
        <f t="shared" si="105"/>
        <v>Ranchi</v>
      </c>
      <c r="AM524" t="str">
        <f t="shared" si="105"/>
        <v>Technology</v>
      </c>
      <c r="AN524" t="str">
        <f t="shared" si="104"/>
        <v>Phones</v>
      </c>
      <c r="AO524" t="str">
        <f t="shared" si="115"/>
        <v>First Class</v>
      </c>
      <c r="AP524" t="str">
        <f t="shared" si="116"/>
        <v>Paid</v>
      </c>
      <c r="AQ524" t="str">
        <f t="shared" si="116"/>
        <v>Completed</v>
      </c>
    </row>
    <row r="525" spans="1:43">
      <c r="A525" t="s">
        <v>1913</v>
      </c>
      <c r="B525" s="3">
        <v>45326</v>
      </c>
      <c r="C525" s="3">
        <v>45385</v>
      </c>
      <c r="D525" t="s">
        <v>1914</v>
      </c>
      <c r="E525" t="s">
        <v>375</v>
      </c>
      <c r="F525" t="s">
        <v>182</v>
      </c>
      <c r="G525" t="s">
        <v>149</v>
      </c>
      <c r="H525" t="s">
        <v>287</v>
      </c>
      <c r="I525" t="s">
        <v>288</v>
      </c>
      <c r="J525" t="s">
        <v>113</v>
      </c>
      <c r="K525" t="s">
        <v>114</v>
      </c>
      <c r="L525" t="s">
        <v>1915</v>
      </c>
      <c r="M525" t="s">
        <v>116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117</v>
      </c>
      <c r="U525" t="s">
        <v>190</v>
      </c>
      <c r="V525" s="2">
        <f t="shared" si="106"/>
        <v>0</v>
      </c>
      <c r="W525" s="2">
        <f t="shared" si="107"/>
        <v>5805.26</v>
      </c>
      <c r="X525" s="2">
        <f>W525-R525</f>
        <v>1150.9000000000005</v>
      </c>
      <c r="Y525" s="2">
        <f t="shared" si="108"/>
        <v>0.19825124111581574</v>
      </c>
      <c r="Z525" s="2">
        <f t="shared" si="109"/>
        <v>59</v>
      </c>
      <c r="AA525" s="2">
        <f t="shared" si="110"/>
        <v>2</v>
      </c>
      <c r="AB525" s="2">
        <f t="shared" si="111"/>
        <v>2024</v>
      </c>
      <c r="AC525" s="2" t="str">
        <f t="shared" si="112"/>
        <v>Valid</v>
      </c>
      <c r="AD525" s="2">
        <f t="shared" si="113"/>
        <v>0</v>
      </c>
      <c r="AE525" s="2">
        <f t="shared" si="114"/>
        <v>0</v>
      </c>
      <c r="AH525" t="str">
        <f t="shared" si="105"/>
        <v>Kabir Singh</v>
      </c>
      <c r="AI525" t="str">
        <f t="shared" si="105"/>
        <v>Home Office</v>
      </c>
      <c r="AJ525" t="str">
        <f t="shared" si="105"/>
        <v>West</v>
      </c>
      <c r="AK525" t="str">
        <f t="shared" si="105"/>
        <v>Goa</v>
      </c>
      <c r="AL525" t="str">
        <f t="shared" si="105"/>
        <v>Panaji</v>
      </c>
      <c r="AM525" t="str">
        <f t="shared" si="105"/>
        <v>Office Supplies</v>
      </c>
      <c r="AN525" t="str">
        <f t="shared" si="104"/>
        <v>Paper</v>
      </c>
      <c r="AO525" t="str">
        <f t="shared" si="115"/>
        <v>Second Class</v>
      </c>
      <c r="AP525" t="str">
        <f t="shared" si="116"/>
        <v>Paid</v>
      </c>
      <c r="AQ525" t="str">
        <f t="shared" si="116"/>
        <v>Returned</v>
      </c>
    </row>
    <row r="526" spans="1:43">
      <c r="A526" t="s">
        <v>1916</v>
      </c>
      <c r="B526" s="3">
        <v>45626</v>
      </c>
      <c r="C526" s="3">
        <v>45627</v>
      </c>
      <c r="D526" t="s">
        <v>1917</v>
      </c>
      <c r="E526" t="s">
        <v>148</v>
      </c>
      <c r="F526" t="s">
        <v>177</v>
      </c>
      <c r="G526" t="s">
        <v>149</v>
      </c>
      <c r="H526" t="s">
        <v>276</v>
      </c>
      <c r="I526" t="s">
        <v>277</v>
      </c>
      <c r="J526" t="s">
        <v>126</v>
      </c>
      <c r="K526" t="s">
        <v>152</v>
      </c>
      <c r="L526" t="s">
        <v>1918</v>
      </c>
      <c r="M526" t="s">
        <v>135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117</v>
      </c>
      <c r="U526" t="s">
        <v>118</v>
      </c>
      <c r="V526" s="2">
        <f t="shared" si="106"/>
        <v>0.1</v>
      </c>
      <c r="W526" s="2">
        <f t="shared" si="107"/>
        <v>34079.616000000002</v>
      </c>
      <c r="X526" s="2">
        <f>W526-R526</f>
        <v>12208.226000000002</v>
      </c>
      <c r="Y526" s="2">
        <f t="shared" si="108"/>
        <v>0.35822663025311091</v>
      </c>
      <c r="Z526" s="2">
        <f t="shared" si="109"/>
        <v>1</v>
      </c>
      <c r="AA526" s="2">
        <f t="shared" si="110"/>
        <v>11</v>
      </c>
      <c r="AB526" s="2">
        <f t="shared" si="111"/>
        <v>2024</v>
      </c>
      <c r="AC526" s="2" t="str">
        <f t="shared" si="112"/>
        <v>Valid</v>
      </c>
      <c r="AD526" s="2">
        <f t="shared" si="113"/>
        <v>0</v>
      </c>
      <c r="AE526" s="2">
        <f t="shared" si="114"/>
        <v>0</v>
      </c>
      <c r="AH526" t="str">
        <f t="shared" si="105"/>
        <v>Ananya Rao</v>
      </c>
      <c r="AI526" t="str">
        <f t="shared" si="105"/>
        <v>Corporate</v>
      </c>
      <c r="AJ526" t="str">
        <f t="shared" si="105"/>
        <v>West</v>
      </c>
      <c r="AK526" t="str">
        <f t="shared" si="105"/>
        <v>Gujarat</v>
      </c>
      <c r="AL526" t="str">
        <f t="shared" si="105"/>
        <v>Ahmedabad</v>
      </c>
      <c r="AM526" t="str">
        <f t="shared" si="105"/>
        <v>Furniture</v>
      </c>
      <c r="AN526" t="str">
        <f t="shared" si="104"/>
        <v>Chairs</v>
      </c>
      <c r="AO526" t="str">
        <f t="shared" si="115"/>
        <v>First Class</v>
      </c>
      <c r="AP526" t="str">
        <f t="shared" si="116"/>
        <v>Paid</v>
      </c>
      <c r="AQ526" t="str">
        <f t="shared" si="116"/>
        <v>Completed</v>
      </c>
    </row>
    <row r="527" spans="1:43">
      <c r="A527" t="s">
        <v>1919</v>
      </c>
      <c r="B527" s="3">
        <v>45582</v>
      </c>
      <c r="C527" s="3">
        <v>45582</v>
      </c>
      <c r="D527" t="s">
        <v>1920</v>
      </c>
      <c r="E527" t="s">
        <v>203</v>
      </c>
      <c r="F527" t="s">
        <v>182</v>
      </c>
      <c r="G527" t="s">
        <v>123</v>
      </c>
      <c r="H527" t="s">
        <v>186</v>
      </c>
      <c r="I527" t="s">
        <v>187</v>
      </c>
      <c r="J527" t="s">
        <v>126</v>
      </c>
      <c r="K527" t="s">
        <v>152</v>
      </c>
      <c r="L527" t="s">
        <v>1921</v>
      </c>
      <c r="M527" t="s">
        <v>145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117</v>
      </c>
      <c r="U527" t="s">
        <v>118</v>
      </c>
      <c r="V527" s="2">
        <f t="shared" si="106"/>
        <v>0.1</v>
      </c>
      <c r="W527" s="2">
        <f t="shared" si="107"/>
        <v>11359.800000000001</v>
      </c>
      <c r="X527" s="2">
        <f>W527-R527</f>
        <v>4297.3600000000015</v>
      </c>
      <c r="Y527" s="2">
        <f t="shared" si="108"/>
        <v>0.37829539252451638</v>
      </c>
      <c r="Z527" s="2">
        <f t="shared" si="109"/>
        <v>0</v>
      </c>
      <c r="AA527" s="2">
        <f t="shared" si="110"/>
        <v>10</v>
      </c>
      <c r="AB527" s="2">
        <f t="shared" si="111"/>
        <v>2024</v>
      </c>
      <c r="AC527" s="2" t="str">
        <f t="shared" si="112"/>
        <v>Valid</v>
      </c>
      <c r="AD527" s="2">
        <f t="shared" si="113"/>
        <v>0</v>
      </c>
      <c r="AE527" s="2">
        <f t="shared" si="114"/>
        <v>0</v>
      </c>
      <c r="AH527" t="str">
        <f t="shared" si="105"/>
        <v>Priya Menon</v>
      </c>
      <c r="AI527" t="str">
        <f t="shared" si="105"/>
        <v>Home Office</v>
      </c>
      <c r="AJ527" t="str">
        <f t="shared" si="105"/>
        <v>East</v>
      </c>
      <c r="AK527" t="str">
        <f t="shared" si="105"/>
        <v>West Bengal</v>
      </c>
      <c r="AL527" t="str">
        <f t="shared" si="105"/>
        <v>Kolkata</v>
      </c>
      <c r="AM527" t="str">
        <f t="shared" si="105"/>
        <v>Furniture</v>
      </c>
      <c r="AN527" t="str">
        <f t="shared" si="104"/>
        <v>Chairs</v>
      </c>
      <c r="AO527" t="str">
        <f t="shared" si="115"/>
        <v>Standard Class</v>
      </c>
      <c r="AP527" t="str">
        <f t="shared" si="116"/>
        <v>Paid</v>
      </c>
      <c r="AQ527" t="str">
        <f t="shared" si="116"/>
        <v>Completed</v>
      </c>
    </row>
    <row r="528" spans="1:43">
      <c r="A528" t="s">
        <v>1922</v>
      </c>
      <c r="B528" s="3">
        <v>45856</v>
      </c>
      <c r="C528" s="3">
        <v>45859</v>
      </c>
      <c r="D528" t="s">
        <v>1923</v>
      </c>
      <c r="E528" t="s">
        <v>203</v>
      </c>
      <c r="F528" t="s">
        <v>109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1924</v>
      </c>
      <c r="M528" t="s">
        <v>116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117</v>
      </c>
      <c r="U528" t="s">
        <v>118</v>
      </c>
      <c r="V528" s="2">
        <f t="shared" si="106"/>
        <v>0</v>
      </c>
      <c r="W528" s="2">
        <f t="shared" si="107"/>
        <v>1136.1600000000001</v>
      </c>
      <c r="X528" s="2">
        <f>W528-R528</f>
        <v>564.08000000000004</v>
      </c>
      <c r="Y528" s="2">
        <f t="shared" si="108"/>
        <v>0.49647936910294327</v>
      </c>
      <c r="Z528" s="2">
        <f t="shared" si="109"/>
        <v>3</v>
      </c>
      <c r="AA528" s="2">
        <f t="shared" si="110"/>
        <v>7</v>
      </c>
      <c r="AB528" s="2">
        <f t="shared" si="111"/>
        <v>2025</v>
      </c>
      <c r="AC528" s="2" t="str">
        <f t="shared" si="112"/>
        <v>Valid</v>
      </c>
      <c r="AD528" s="2">
        <f t="shared" si="113"/>
        <v>1</v>
      </c>
      <c r="AE528" s="2">
        <f t="shared" si="114"/>
        <v>1</v>
      </c>
      <c r="AH528" t="str">
        <f t="shared" si="105"/>
        <v>Priya Menon</v>
      </c>
      <c r="AI528" t="str">
        <f t="shared" si="105"/>
        <v>Consumer</v>
      </c>
      <c r="AJ528" t="str">
        <f t="shared" si="105"/>
        <v>East</v>
      </c>
      <c r="AK528" t="str">
        <f t="shared" si="105"/>
        <v>Odisha</v>
      </c>
      <c r="AL528" t="str">
        <f t="shared" si="105"/>
        <v>Bhubaneswar</v>
      </c>
      <c r="AM528" t="str">
        <f t="shared" si="105"/>
        <v>Furniture</v>
      </c>
      <c r="AN528" t="str">
        <f t="shared" si="104"/>
        <v>Tables</v>
      </c>
      <c r="AO528" t="str">
        <f t="shared" si="115"/>
        <v>Second Class</v>
      </c>
      <c r="AP528" t="str">
        <f t="shared" si="116"/>
        <v>Paid</v>
      </c>
      <c r="AQ528" t="str">
        <f t="shared" si="116"/>
        <v>Completed</v>
      </c>
    </row>
    <row r="529" spans="1:43">
      <c r="A529" t="s">
        <v>1925</v>
      </c>
      <c r="B529" s="3">
        <v>45667</v>
      </c>
      <c r="C529" s="3">
        <v>45935</v>
      </c>
      <c r="D529" t="s">
        <v>1926</v>
      </c>
      <c r="E529" t="s">
        <v>176</v>
      </c>
      <c r="F529" t="s">
        <v>182</v>
      </c>
      <c r="G529" t="s">
        <v>110</v>
      </c>
      <c r="H529" t="s">
        <v>344</v>
      </c>
      <c r="I529" t="s">
        <v>345</v>
      </c>
      <c r="J529" t="s">
        <v>113</v>
      </c>
      <c r="K529" t="s">
        <v>114</v>
      </c>
      <c r="L529" t="s">
        <v>1927</v>
      </c>
      <c r="M529" t="s">
        <v>135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117</v>
      </c>
      <c r="U529" t="s">
        <v>118</v>
      </c>
      <c r="V529" s="2">
        <f t="shared" si="106"/>
        <v>0.15</v>
      </c>
      <c r="W529" s="2">
        <f t="shared" si="107"/>
        <v>13802.13</v>
      </c>
      <c r="X529" s="2">
        <f>W529-R529</f>
        <v>3726.1999999999989</v>
      </c>
      <c r="Y529" s="2">
        <f t="shared" si="108"/>
        <v>0.26997282303528508</v>
      </c>
      <c r="Z529" s="2">
        <f t="shared" si="109"/>
        <v>268</v>
      </c>
      <c r="AA529" s="2">
        <f t="shared" si="110"/>
        <v>1</v>
      </c>
      <c r="AB529" s="2">
        <f t="shared" si="111"/>
        <v>2025</v>
      </c>
      <c r="AC529" s="2" t="str">
        <f t="shared" si="112"/>
        <v>Valid</v>
      </c>
      <c r="AD529" s="2">
        <f t="shared" si="113"/>
        <v>0</v>
      </c>
      <c r="AE529" s="2">
        <f t="shared" si="114"/>
        <v>0</v>
      </c>
      <c r="AH529" t="str">
        <f t="shared" si="105"/>
        <v>Aditi Sen</v>
      </c>
      <c r="AI529" t="str">
        <f t="shared" si="105"/>
        <v>Home Office</v>
      </c>
      <c r="AJ529" t="str">
        <f t="shared" si="105"/>
        <v>North</v>
      </c>
      <c r="AK529" t="str">
        <f t="shared" si="105"/>
        <v>Haryana</v>
      </c>
      <c r="AL529" t="str">
        <f t="shared" si="105"/>
        <v>Gurugram</v>
      </c>
      <c r="AM529" t="str">
        <f t="shared" si="105"/>
        <v>Office Supplies</v>
      </c>
      <c r="AN529" t="str">
        <f t="shared" si="104"/>
        <v>Paper</v>
      </c>
      <c r="AO529" t="str">
        <f t="shared" si="115"/>
        <v>First Class</v>
      </c>
      <c r="AP529" t="str">
        <f t="shared" si="116"/>
        <v>Paid</v>
      </c>
      <c r="AQ529" t="str">
        <f t="shared" si="116"/>
        <v>Completed</v>
      </c>
    </row>
    <row r="530" spans="1:43">
      <c r="A530" t="s">
        <v>1928</v>
      </c>
      <c r="B530" s="3">
        <v>45572</v>
      </c>
      <c r="C530" s="3">
        <v>45545</v>
      </c>
      <c r="D530" t="s">
        <v>1929</v>
      </c>
      <c r="E530" t="s">
        <v>256</v>
      </c>
      <c r="F530" t="s">
        <v>109</v>
      </c>
      <c r="G530" t="s">
        <v>140</v>
      </c>
      <c r="H530" t="s">
        <v>357</v>
      </c>
      <c r="I530" t="s">
        <v>358</v>
      </c>
      <c r="J530" t="s">
        <v>113</v>
      </c>
      <c r="K530" t="s">
        <v>246</v>
      </c>
      <c r="L530" t="s">
        <v>1930</v>
      </c>
      <c r="M530" t="s">
        <v>145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199</v>
      </c>
      <c r="U530" t="s">
        <v>190</v>
      </c>
      <c r="V530" s="2">
        <f t="shared" si="106"/>
        <v>0.05</v>
      </c>
      <c r="W530" s="2">
        <f t="shared" si="107"/>
        <v>29558.119500000001</v>
      </c>
      <c r="X530" s="2">
        <f>W530-R530</f>
        <v>8255.9894999999997</v>
      </c>
      <c r="Y530" s="2">
        <f t="shared" si="108"/>
        <v>0.27931376013281223</v>
      </c>
      <c r="Z530" s="2">
        <f t="shared" si="109"/>
        <v>-27</v>
      </c>
      <c r="AA530" s="2">
        <f t="shared" si="110"/>
        <v>10</v>
      </c>
      <c r="AB530" s="2">
        <f t="shared" si="111"/>
        <v>2024</v>
      </c>
      <c r="AC530" s="2" t="str">
        <f t="shared" si="112"/>
        <v>Invalid shipping record</v>
      </c>
      <c r="AD530" s="2">
        <f t="shared" si="113"/>
        <v>0</v>
      </c>
      <c r="AE530" s="2">
        <f t="shared" si="114"/>
        <v>0</v>
      </c>
      <c r="AH530" t="str">
        <f t="shared" si="105"/>
        <v>Diya Patel</v>
      </c>
      <c r="AI530" t="str">
        <f t="shared" si="105"/>
        <v>Consumer</v>
      </c>
      <c r="AJ530" t="str">
        <f t="shared" si="105"/>
        <v>South</v>
      </c>
      <c r="AK530" t="str">
        <f t="shared" si="105"/>
        <v>Tamil Nadu</v>
      </c>
      <c r="AL530" t="str">
        <f t="shared" si="105"/>
        <v>Chennai</v>
      </c>
      <c r="AM530" t="str">
        <f t="shared" si="105"/>
        <v>Office Supplies</v>
      </c>
      <c r="AN530" t="str">
        <f t="shared" si="104"/>
        <v>Binders</v>
      </c>
      <c r="AO530" t="str">
        <f t="shared" si="115"/>
        <v>Standard Class</v>
      </c>
      <c r="AP530" t="str">
        <f t="shared" si="116"/>
        <v>Pending</v>
      </c>
      <c r="AQ530" t="str">
        <f t="shared" si="116"/>
        <v>Returned</v>
      </c>
    </row>
    <row r="531" spans="1:43">
      <c r="A531" t="s">
        <v>1931</v>
      </c>
      <c r="B531" s="3">
        <v>45328</v>
      </c>
      <c r="C531" s="3">
        <v>45330</v>
      </c>
      <c r="D531" t="s">
        <v>888</v>
      </c>
      <c r="E531" t="s">
        <v>108</v>
      </c>
      <c r="F531" t="s">
        <v>109</v>
      </c>
      <c r="G531" t="s">
        <v>123</v>
      </c>
      <c r="H531" t="s">
        <v>335</v>
      </c>
      <c r="I531" t="s">
        <v>336</v>
      </c>
      <c r="J531" t="s">
        <v>126</v>
      </c>
      <c r="K531" t="s">
        <v>252</v>
      </c>
      <c r="L531" t="s">
        <v>1932</v>
      </c>
      <c r="M531" t="s">
        <v>116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117</v>
      </c>
      <c r="U531" t="s">
        <v>118</v>
      </c>
      <c r="V531" s="2">
        <f t="shared" si="106"/>
        <v>0</v>
      </c>
      <c r="W531" s="2">
        <f t="shared" si="107"/>
        <v>16400.25</v>
      </c>
      <c r="X531" s="2">
        <f>W531-R531</f>
        <v>4253.2900000000009</v>
      </c>
      <c r="Y531" s="2">
        <f t="shared" si="108"/>
        <v>0.25934299782015524</v>
      </c>
      <c r="Z531" s="2">
        <f t="shared" si="109"/>
        <v>2</v>
      </c>
      <c r="AA531" s="2">
        <f t="shared" si="110"/>
        <v>2</v>
      </c>
      <c r="AB531" s="2">
        <f t="shared" si="111"/>
        <v>2024</v>
      </c>
      <c r="AC531" s="2" t="str">
        <f t="shared" si="112"/>
        <v>Valid</v>
      </c>
      <c r="AD531" s="2">
        <f t="shared" si="113"/>
        <v>0</v>
      </c>
      <c r="AE531" s="2">
        <f t="shared" si="114"/>
        <v>0</v>
      </c>
      <c r="AH531" t="str">
        <f t="shared" si="105"/>
        <v>Karan Malhotra</v>
      </c>
      <c r="AI531" t="str">
        <f t="shared" si="105"/>
        <v>Consumer</v>
      </c>
      <c r="AJ531" t="str">
        <f t="shared" si="105"/>
        <v>East</v>
      </c>
      <c r="AK531" t="str">
        <f t="shared" si="105"/>
        <v>Jharkhand</v>
      </c>
      <c r="AL531" t="str">
        <f t="shared" si="105"/>
        <v>Ranchi</v>
      </c>
      <c r="AM531" t="str">
        <f t="shared" si="105"/>
        <v>Furniture</v>
      </c>
      <c r="AN531" t="str">
        <f t="shared" si="104"/>
        <v>Bookcases</v>
      </c>
      <c r="AO531" t="str">
        <f t="shared" si="115"/>
        <v>Second Class</v>
      </c>
      <c r="AP531" t="str">
        <f t="shared" si="116"/>
        <v>Paid</v>
      </c>
      <c r="AQ531" t="str">
        <f t="shared" si="116"/>
        <v>Completed</v>
      </c>
    </row>
    <row r="532" spans="1:43">
      <c r="A532" t="s">
        <v>1933</v>
      </c>
      <c r="B532" s="3">
        <v>45807</v>
      </c>
      <c r="C532" s="3">
        <v>45809</v>
      </c>
      <c r="D532" t="s">
        <v>1934</v>
      </c>
      <c r="E532" t="s">
        <v>207</v>
      </c>
      <c r="F532" t="s">
        <v>182</v>
      </c>
      <c r="G532" t="s">
        <v>140</v>
      </c>
      <c r="H532" t="s">
        <v>357</v>
      </c>
      <c r="I532" t="s">
        <v>358</v>
      </c>
      <c r="J532" t="s">
        <v>113</v>
      </c>
      <c r="K532" t="s">
        <v>246</v>
      </c>
      <c r="L532" t="s">
        <v>1935</v>
      </c>
      <c r="M532" t="s">
        <v>145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117</v>
      </c>
      <c r="U532" t="s">
        <v>118</v>
      </c>
      <c r="V532" s="2">
        <f t="shared" si="106"/>
        <v>0.05</v>
      </c>
      <c r="W532" s="2">
        <f t="shared" si="107"/>
        <v>17053.0605</v>
      </c>
      <c r="X532" s="2">
        <f>W532-R532</f>
        <v>6310.6805000000004</v>
      </c>
      <c r="Y532" s="2">
        <f t="shared" si="108"/>
        <v>0.37006146198801093</v>
      </c>
      <c r="Z532" s="2">
        <f t="shared" si="109"/>
        <v>2</v>
      </c>
      <c r="AA532" s="2">
        <f t="shared" si="110"/>
        <v>5</v>
      </c>
      <c r="AB532" s="2">
        <f t="shared" si="111"/>
        <v>2025</v>
      </c>
      <c r="AC532" s="2" t="str">
        <f t="shared" si="112"/>
        <v>Valid</v>
      </c>
      <c r="AD532" s="2">
        <f t="shared" si="113"/>
        <v>0</v>
      </c>
      <c r="AE532" s="2">
        <f t="shared" si="114"/>
        <v>0</v>
      </c>
      <c r="AH532" t="str">
        <f t="shared" si="105"/>
        <v>Rahul Verma</v>
      </c>
      <c r="AI532" t="str">
        <f t="shared" si="105"/>
        <v>Home Office</v>
      </c>
      <c r="AJ532" t="str">
        <f t="shared" si="105"/>
        <v>South</v>
      </c>
      <c r="AK532" t="str">
        <f t="shared" si="105"/>
        <v>Tamil Nadu</v>
      </c>
      <c r="AL532" t="str">
        <f t="shared" si="105"/>
        <v>Chennai</v>
      </c>
      <c r="AM532" t="str">
        <f t="shared" si="105"/>
        <v>Office Supplies</v>
      </c>
      <c r="AN532" t="str">
        <f t="shared" si="104"/>
        <v>Binders</v>
      </c>
      <c r="AO532" t="str">
        <f t="shared" si="115"/>
        <v>Standard Class</v>
      </c>
      <c r="AP532" t="str">
        <f t="shared" si="116"/>
        <v>Paid</v>
      </c>
      <c r="AQ532" t="str">
        <f t="shared" si="116"/>
        <v>Completed</v>
      </c>
    </row>
    <row r="533" spans="1:43">
      <c r="A533" t="s">
        <v>1936</v>
      </c>
      <c r="B533" s="3">
        <v>45505</v>
      </c>
      <c r="C533" s="3">
        <v>45512</v>
      </c>
      <c r="D533" t="s">
        <v>1937</v>
      </c>
      <c r="E533" t="s">
        <v>256</v>
      </c>
      <c r="F533" t="s">
        <v>122</v>
      </c>
      <c r="G533" t="s">
        <v>149</v>
      </c>
      <c r="H533" t="s">
        <v>150</v>
      </c>
      <c r="I533" t="s">
        <v>151</v>
      </c>
      <c r="J533" t="s">
        <v>113</v>
      </c>
      <c r="K533" t="s">
        <v>213</v>
      </c>
      <c r="L533" t="s">
        <v>1938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117</v>
      </c>
      <c r="U533" t="s">
        <v>118</v>
      </c>
      <c r="V533" s="2">
        <f t="shared" si="106"/>
        <v>0.1</v>
      </c>
      <c r="W533" s="2">
        <f t="shared" si="107"/>
        <v>398.67300000000006</v>
      </c>
      <c r="X533" s="2">
        <f>W533-R533</f>
        <v>87.013000000000034</v>
      </c>
      <c r="Y533" s="2">
        <f t="shared" si="108"/>
        <v>0.21825656615822997</v>
      </c>
      <c r="Z533" s="2">
        <f t="shared" si="109"/>
        <v>7</v>
      </c>
      <c r="AA533" s="2">
        <f t="shared" si="110"/>
        <v>8</v>
      </c>
      <c r="AB533" s="2">
        <f t="shared" si="111"/>
        <v>2024</v>
      </c>
      <c r="AC533" s="2" t="str">
        <f t="shared" si="112"/>
        <v>Missing ship_mode</v>
      </c>
      <c r="AD533" s="2">
        <f t="shared" si="113"/>
        <v>0</v>
      </c>
      <c r="AE533" s="2">
        <f t="shared" si="114"/>
        <v>0</v>
      </c>
      <c r="AH533" t="str">
        <f t="shared" si="105"/>
        <v>Diya Patel</v>
      </c>
      <c r="AI533" t="str">
        <f t="shared" si="105"/>
        <v>Small Business</v>
      </c>
      <c r="AJ533" t="str">
        <f t="shared" si="105"/>
        <v>West</v>
      </c>
      <c r="AK533" t="str">
        <f t="shared" si="105"/>
        <v>Maharashtra</v>
      </c>
      <c r="AL533" t="str">
        <f t="shared" si="105"/>
        <v>Mumbai</v>
      </c>
      <c r="AM533" t="str">
        <f t="shared" si="105"/>
        <v>Office Supplies</v>
      </c>
      <c r="AN533" t="str">
        <f t="shared" si="104"/>
        <v>Storage</v>
      </c>
      <c r="AO533" t="s">
        <v>306</v>
      </c>
      <c r="AP533" t="str">
        <f t="shared" si="116"/>
        <v>Paid</v>
      </c>
      <c r="AQ533" t="str">
        <f t="shared" si="116"/>
        <v>Completed</v>
      </c>
    </row>
    <row r="534" spans="1:43">
      <c r="A534" t="s">
        <v>1939</v>
      </c>
      <c r="B534" s="3">
        <v>45935</v>
      </c>
      <c r="C534" s="3">
        <v>45940</v>
      </c>
      <c r="D534" t="s">
        <v>1940</v>
      </c>
      <c r="E534" t="s">
        <v>203</v>
      </c>
      <c r="F534" t="s">
        <v>177</v>
      </c>
      <c r="G534" t="s">
        <v>123</v>
      </c>
      <c r="H534" t="s">
        <v>260</v>
      </c>
      <c r="I534" t="s">
        <v>261</v>
      </c>
      <c r="J534" t="s">
        <v>126</v>
      </c>
      <c r="K534" t="s">
        <v>127</v>
      </c>
      <c r="L534" t="s">
        <v>1941</v>
      </c>
      <c r="M534" t="s">
        <v>116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248</v>
      </c>
      <c r="U534" t="s">
        <v>44</v>
      </c>
      <c r="V534" s="2">
        <f t="shared" si="106"/>
        <v>0.05</v>
      </c>
      <c r="W534" s="2">
        <f t="shared" si="107"/>
        <v>17862.146999999997</v>
      </c>
      <c r="X534" s="2">
        <f>W534-R534</f>
        <v>7969.9369999999981</v>
      </c>
      <c r="Y534" s="2">
        <f t="shared" si="108"/>
        <v>0.44619143488182017</v>
      </c>
      <c r="Z534" s="2">
        <f t="shared" si="109"/>
        <v>5</v>
      </c>
      <c r="AA534" s="2">
        <f t="shared" si="110"/>
        <v>10</v>
      </c>
      <c r="AB534" s="2">
        <f t="shared" si="111"/>
        <v>2025</v>
      </c>
      <c r="AC534" s="2" t="str">
        <f t="shared" si="112"/>
        <v>Valid</v>
      </c>
      <c r="AD534" s="2">
        <f t="shared" si="113"/>
        <v>0</v>
      </c>
      <c r="AE534" s="2">
        <f t="shared" si="114"/>
        <v>0</v>
      </c>
      <c r="AH534" t="str">
        <f t="shared" si="105"/>
        <v>Priya Menon</v>
      </c>
      <c r="AI534" t="str">
        <f t="shared" si="105"/>
        <v>Corporate</v>
      </c>
      <c r="AJ534" t="str">
        <f t="shared" si="105"/>
        <v>East</v>
      </c>
      <c r="AK534" t="str">
        <f t="shared" ref="AK534:AN597" si="117">PROPER(TRIM(H534))</f>
        <v>Assam</v>
      </c>
      <c r="AL534" t="str">
        <f t="shared" si="117"/>
        <v>Guwahati</v>
      </c>
      <c r="AM534" t="str">
        <f t="shared" si="117"/>
        <v>Furniture</v>
      </c>
      <c r="AN534" t="str">
        <f t="shared" si="104"/>
        <v>Tables</v>
      </c>
      <c r="AO534" t="str">
        <f t="shared" si="115"/>
        <v>Second Class</v>
      </c>
      <c r="AP534" t="str">
        <f t="shared" si="116"/>
        <v>Failed</v>
      </c>
      <c r="AQ534" t="str">
        <f t="shared" si="116"/>
        <v>Cancelled</v>
      </c>
    </row>
    <row r="535" spans="1:43">
      <c r="A535" t="s">
        <v>1942</v>
      </c>
      <c r="B535" s="3">
        <v>45529</v>
      </c>
      <c r="C535" s="3">
        <v>45536</v>
      </c>
      <c r="D535" t="s">
        <v>1943</v>
      </c>
      <c r="E535" t="s">
        <v>132</v>
      </c>
      <c r="F535" t="s">
        <v>182</v>
      </c>
      <c r="G535" t="s">
        <v>110</v>
      </c>
      <c r="H535" t="s">
        <v>111</v>
      </c>
      <c r="I535" t="s">
        <v>112</v>
      </c>
      <c r="J535" t="s">
        <v>126</v>
      </c>
      <c r="K535" t="s">
        <v>127</v>
      </c>
      <c r="L535" t="s">
        <v>1944</v>
      </c>
      <c r="M535" t="s">
        <v>129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117</v>
      </c>
      <c r="U535" t="s">
        <v>118</v>
      </c>
      <c r="V535" s="2">
        <f t="shared" si="106"/>
        <v>0.25</v>
      </c>
      <c r="W535" s="2">
        <f t="shared" si="107"/>
        <v>2165.8500000000004</v>
      </c>
      <c r="X535" s="2">
        <f>W535-R535</f>
        <v>41.370000000000346</v>
      </c>
      <c r="Y535" s="2">
        <f t="shared" si="108"/>
        <v>1.91010457787937E-2</v>
      </c>
      <c r="Z535" s="2">
        <f t="shared" si="109"/>
        <v>7</v>
      </c>
      <c r="AA535" s="2">
        <f t="shared" si="110"/>
        <v>8</v>
      </c>
      <c r="AB535" s="2">
        <f t="shared" si="111"/>
        <v>2024</v>
      </c>
      <c r="AC535" s="2" t="str">
        <f t="shared" si="112"/>
        <v>Valid</v>
      </c>
      <c r="AD535" s="2">
        <f t="shared" si="113"/>
        <v>0</v>
      </c>
      <c r="AE535" s="2">
        <f t="shared" si="114"/>
        <v>1</v>
      </c>
      <c r="AH535" t="str">
        <f t="shared" ref="AH535:AN598" si="118">PROPER(TRIM(E535))</f>
        <v>Isha Nair</v>
      </c>
      <c r="AI535" t="str">
        <f t="shared" si="118"/>
        <v>Home Office</v>
      </c>
      <c r="AJ535" t="str">
        <f t="shared" si="118"/>
        <v>North</v>
      </c>
      <c r="AK535" t="str">
        <f t="shared" si="117"/>
        <v>Rajasthan</v>
      </c>
      <c r="AL535" t="str">
        <f t="shared" si="117"/>
        <v>Jaipur</v>
      </c>
      <c r="AM535" t="str">
        <f t="shared" si="117"/>
        <v>Furniture</v>
      </c>
      <c r="AN535" t="str">
        <f t="shared" si="104"/>
        <v>Tables</v>
      </c>
      <c r="AO535" t="str">
        <f t="shared" si="115"/>
        <v>Same Day</v>
      </c>
      <c r="AP535" t="str">
        <f t="shared" si="116"/>
        <v>Paid</v>
      </c>
      <c r="AQ535" t="str">
        <f t="shared" si="116"/>
        <v>Completed</v>
      </c>
    </row>
    <row r="536" spans="1:43">
      <c r="A536" t="s">
        <v>1945</v>
      </c>
      <c r="B536" s="3">
        <v>45774</v>
      </c>
      <c r="C536" s="3">
        <v>45782</v>
      </c>
      <c r="D536" t="s">
        <v>1946</v>
      </c>
      <c r="E536" t="s">
        <v>232</v>
      </c>
      <c r="F536" t="s">
        <v>182</v>
      </c>
      <c r="G536" t="s">
        <v>123</v>
      </c>
      <c r="H536" t="s">
        <v>237</v>
      </c>
      <c r="I536" t="s">
        <v>238</v>
      </c>
      <c r="J536" t="s">
        <v>160</v>
      </c>
      <c r="K536" t="s">
        <v>161</v>
      </c>
      <c r="L536" t="s">
        <v>1947</v>
      </c>
      <c r="M536" t="s">
        <v>116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199</v>
      </c>
      <c r="U536" t="s">
        <v>190</v>
      </c>
      <c r="V536" s="2">
        <f t="shared" si="106"/>
        <v>0.1</v>
      </c>
      <c r="W536" s="2">
        <f t="shared" si="107"/>
        <v>14268.204</v>
      </c>
      <c r="X536" s="2">
        <f>W536-R536</f>
        <v>2562.9040000000005</v>
      </c>
      <c r="Y536" s="2">
        <f t="shared" si="108"/>
        <v>0.17962344805274724</v>
      </c>
      <c r="Z536" s="2">
        <f t="shared" si="109"/>
        <v>8</v>
      </c>
      <c r="AA536" s="2">
        <f t="shared" si="110"/>
        <v>4</v>
      </c>
      <c r="AB536" s="2">
        <f t="shared" si="111"/>
        <v>2025</v>
      </c>
      <c r="AC536" s="2" t="str">
        <f t="shared" si="112"/>
        <v>Valid</v>
      </c>
      <c r="AD536" s="2">
        <f t="shared" si="113"/>
        <v>0</v>
      </c>
      <c r="AE536" s="2">
        <f t="shared" si="114"/>
        <v>0</v>
      </c>
      <c r="AH536" t="str">
        <f t="shared" si="118"/>
        <v>Rohan Mehta</v>
      </c>
      <c r="AI536" t="str">
        <f t="shared" si="118"/>
        <v>Home Office</v>
      </c>
      <c r="AJ536" t="str">
        <f t="shared" si="118"/>
        <v>East</v>
      </c>
      <c r="AK536" t="str">
        <f t="shared" si="117"/>
        <v>Bihar</v>
      </c>
      <c r="AL536" t="str">
        <f t="shared" si="117"/>
        <v>Patna</v>
      </c>
      <c r="AM536" t="str">
        <f t="shared" si="117"/>
        <v>Technology</v>
      </c>
      <c r="AN536" t="str">
        <f t="shared" si="104"/>
        <v>Accessories</v>
      </c>
      <c r="AO536" t="str">
        <f t="shared" si="115"/>
        <v>Second Class</v>
      </c>
      <c r="AP536" t="str">
        <f t="shared" si="116"/>
        <v>Pending</v>
      </c>
      <c r="AQ536" t="str">
        <f t="shared" si="116"/>
        <v>Returned</v>
      </c>
    </row>
    <row r="537" spans="1:43">
      <c r="A537" t="s">
        <v>1948</v>
      </c>
      <c r="B537" s="3" t="s">
        <v>1949</v>
      </c>
      <c r="C537" s="3">
        <v>45433</v>
      </c>
      <c r="D537" t="s">
        <v>1950</v>
      </c>
      <c r="E537" t="s">
        <v>256</v>
      </c>
      <c r="F537" t="s">
        <v>122</v>
      </c>
      <c r="G537" t="s">
        <v>149</v>
      </c>
      <c r="H537" t="s">
        <v>150</v>
      </c>
      <c r="I537" t="s">
        <v>151</v>
      </c>
      <c r="J537" t="s">
        <v>160</v>
      </c>
      <c r="K537" t="s">
        <v>166</v>
      </c>
      <c r="L537" t="s">
        <v>1951</v>
      </c>
      <c r="M537" t="s">
        <v>135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117</v>
      </c>
      <c r="U537" t="s">
        <v>118</v>
      </c>
      <c r="V537" s="2">
        <f t="shared" si="106"/>
        <v>0.2</v>
      </c>
      <c r="W537" s="2">
        <f t="shared" si="107"/>
        <v>9602.3520000000008</v>
      </c>
      <c r="X537" s="2">
        <f>W537-R537</f>
        <v>2214.7820000000011</v>
      </c>
      <c r="Y537" s="2">
        <f t="shared" si="108"/>
        <v>0.23064994909580494</v>
      </c>
      <c r="Z537" s="2" t="str">
        <f t="shared" si="109"/>
        <v/>
      </c>
      <c r="AA537" s="2" t="e">
        <f t="shared" si="110"/>
        <v>#VALUE!</v>
      </c>
      <c r="AB537" s="2" t="e">
        <f t="shared" si="111"/>
        <v>#VALUE!</v>
      </c>
      <c r="AC537" s="2" t="str">
        <f t="shared" si="112"/>
        <v>Text Value Not Recognized as Date</v>
      </c>
      <c r="AD537" s="2">
        <f t="shared" si="113"/>
        <v>0</v>
      </c>
      <c r="AE537" s="2">
        <f t="shared" si="114"/>
        <v>0</v>
      </c>
      <c r="AH537" t="str">
        <f t="shared" si="118"/>
        <v>Diya Patel</v>
      </c>
      <c r="AI537" t="str">
        <f t="shared" si="118"/>
        <v>Small Business</v>
      </c>
      <c r="AJ537" t="str">
        <f t="shared" si="118"/>
        <v>West</v>
      </c>
      <c r="AK537" t="str">
        <f t="shared" si="117"/>
        <v>Maharashtra</v>
      </c>
      <c r="AL537" t="str">
        <f t="shared" si="117"/>
        <v>Mumbai</v>
      </c>
      <c r="AM537" t="str">
        <f t="shared" si="117"/>
        <v>Technology</v>
      </c>
      <c r="AN537" t="str">
        <f t="shared" si="104"/>
        <v>Copiers</v>
      </c>
      <c r="AO537" t="str">
        <f t="shared" si="115"/>
        <v>First Class</v>
      </c>
      <c r="AP537" t="str">
        <f t="shared" si="116"/>
        <v>Paid</v>
      </c>
      <c r="AQ537" t="str">
        <f t="shared" si="116"/>
        <v>Completed</v>
      </c>
    </row>
    <row r="538" spans="1:43">
      <c r="A538" t="s">
        <v>1952</v>
      </c>
      <c r="B538" s="3">
        <v>45757</v>
      </c>
      <c r="C538" s="3">
        <v>45764</v>
      </c>
      <c r="D538" t="s">
        <v>1953</v>
      </c>
      <c r="E538" t="s">
        <v>148</v>
      </c>
      <c r="F538" t="s">
        <v>122</v>
      </c>
      <c r="G538" t="s">
        <v>149</v>
      </c>
      <c r="H538" t="s">
        <v>111</v>
      </c>
      <c r="I538" t="s">
        <v>197</v>
      </c>
      <c r="J538" t="s">
        <v>126</v>
      </c>
      <c r="K538" t="s">
        <v>152</v>
      </c>
      <c r="L538" t="s">
        <v>1954</v>
      </c>
      <c r="M538" t="s">
        <v>135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248</v>
      </c>
      <c r="U538" t="s">
        <v>44</v>
      </c>
      <c r="V538" s="2">
        <f t="shared" si="106"/>
        <v>0.25</v>
      </c>
      <c r="W538" s="2">
        <f t="shared" si="107"/>
        <v>19891.724999999999</v>
      </c>
      <c r="X538" s="2">
        <f>W538-R538</f>
        <v>7595.9649999999983</v>
      </c>
      <c r="Y538" s="2">
        <f t="shared" si="108"/>
        <v>0.38186557475533162</v>
      </c>
      <c r="Z538" s="2">
        <f t="shared" si="109"/>
        <v>7</v>
      </c>
      <c r="AA538" s="2">
        <f t="shared" si="110"/>
        <v>4</v>
      </c>
      <c r="AB538" s="2">
        <f t="shared" si="111"/>
        <v>2025</v>
      </c>
      <c r="AC538" s="2" t="str">
        <f t="shared" si="112"/>
        <v>Valid</v>
      </c>
      <c r="AD538" s="2">
        <f t="shared" si="113"/>
        <v>0</v>
      </c>
      <c r="AE538" s="2">
        <f t="shared" si="114"/>
        <v>0</v>
      </c>
      <c r="AH538" t="str">
        <f t="shared" si="118"/>
        <v>Ananya Rao</v>
      </c>
      <c r="AI538" t="str">
        <f t="shared" si="118"/>
        <v>Small Business</v>
      </c>
      <c r="AJ538" t="str">
        <f t="shared" si="118"/>
        <v>West</v>
      </c>
      <c r="AK538" t="str">
        <f t="shared" si="117"/>
        <v>Rajasthan</v>
      </c>
      <c r="AL538" t="str">
        <f t="shared" si="117"/>
        <v>Udaipur</v>
      </c>
      <c r="AM538" t="str">
        <f t="shared" si="117"/>
        <v>Furniture</v>
      </c>
      <c r="AN538" t="str">
        <f t="shared" si="104"/>
        <v>Chairs</v>
      </c>
      <c r="AO538" t="str">
        <f t="shared" si="115"/>
        <v>First Class</v>
      </c>
      <c r="AP538" t="str">
        <f t="shared" si="116"/>
        <v>Failed</v>
      </c>
      <c r="AQ538" t="str">
        <f t="shared" si="116"/>
        <v>Cancelled</v>
      </c>
    </row>
    <row r="539" spans="1:43">
      <c r="A539" t="s">
        <v>1955</v>
      </c>
      <c r="B539" s="3">
        <v>45313</v>
      </c>
      <c r="C539" s="3">
        <v>45321</v>
      </c>
      <c r="D539" t="s">
        <v>1956</v>
      </c>
      <c r="E539" t="s">
        <v>148</v>
      </c>
      <c r="F539" t="s">
        <v>122</v>
      </c>
      <c r="G539" t="s">
        <v>110</v>
      </c>
      <c r="H539" t="s">
        <v>344</v>
      </c>
      <c r="I539" t="s">
        <v>345</v>
      </c>
      <c r="J539" t="s">
        <v>113</v>
      </c>
      <c r="K539" t="s">
        <v>133</v>
      </c>
      <c r="L539" t="s">
        <v>1957</v>
      </c>
      <c r="M539" t="s">
        <v>129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248</v>
      </c>
      <c r="U539" t="s">
        <v>44</v>
      </c>
      <c r="V539" s="2">
        <f t="shared" si="106"/>
        <v>0.05</v>
      </c>
      <c r="W539" s="2">
        <f t="shared" si="107"/>
        <v>1927.6545000000001</v>
      </c>
      <c r="X539" s="2">
        <f>W539-R539</f>
        <v>467.05450000000019</v>
      </c>
      <c r="Y539" s="2">
        <f t="shared" si="108"/>
        <v>0.24229160360427668</v>
      </c>
      <c r="Z539" s="2">
        <f t="shared" si="109"/>
        <v>8</v>
      </c>
      <c r="AA539" s="2">
        <f t="shared" si="110"/>
        <v>1</v>
      </c>
      <c r="AB539" s="2">
        <f t="shared" si="111"/>
        <v>2024</v>
      </c>
      <c r="AC539" s="2" t="str">
        <f t="shared" si="112"/>
        <v>Valid</v>
      </c>
      <c r="AD539" s="2">
        <f t="shared" si="113"/>
        <v>0</v>
      </c>
      <c r="AE539" s="2">
        <f t="shared" si="114"/>
        <v>0</v>
      </c>
      <c r="AH539" t="str">
        <f t="shared" si="118"/>
        <v>Ananya Rao</v>
      </c>
      <c r="AI539" t="str">
        <f t="shared" si="118"/>
        <v>Small Business</v>
      </c>
      <c r="AJ539" t="str">
        <f t="shared" si="118"/>
        <v>North</v>
      </c>
      <c r="AK539" t="str">
        <f t="shared" si="117"/>
        <v>Haryana</v>
      </c>
      <c r="AL539" t="str">
        <f t="shared" si="117"/>
        <v>Gurugram</v>
      </c>
      <c r="AM539" t="str">
        <f t="shared" si="117"/>
        <v>Office Supplies</v>
      </c>
      <c r="AN539" t="str">
        <f t="shared" si="104"/>
        <v>Art</v>
      </c>
      <c r="AO539" t="str">
        <f t="shared" si="115"/>
        <v>Same Day</v>
      </c>
      <c r="AP539" t="str">
        <f t="shared" si="116"/>
        <v>Failed</v>
      </c>
      <c r="AQ539" t="str">
        <f t="shared" si="116"/>
        <v>Cancelled</v>
      </c>
    </row>
    <row r="540" spans="1:43">
      <c r="A540" t="s">
        <v>1958</v>
      </c>
      <c r="B540" s="3" t="s">
        <v>1718</v>
      </c>
      <c r="C540" s="3">
        <v>45301</v>
      </c>
      <c r="D540" t="s">
        <v>1959</v>
      </c>
      <c r="E540" t="s">
        <v>256</v>
      </c>
      <c r="F540" t="s">
        <v>122</v>
      </c>
      <c r="G540" t="s">
        <v>123</v>
      </c>
      <c r="H540" t="s">
        <v>335</v>
      </c>
      <c r="I540" t="s">
        <v>336</v>
      </c>
      <c r="J540" t="s">
        <v>126</v>
      </c>
      <c r="K540" t="s">
        <v>127</v>
      </c>
      <c r="L540" t="s">
        <v>1960</v>
      </c>
      <c r="M540" t="s">
        <v>116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117</v>
      </c>
      <c r="U540" t="s">
        <v>118</v>
      </c>
      <c r="V540" s="2">
        <f t="shared" si="106"/>
        <v>0.15</v>
      </c>
      <c r="W540" s="2">
        <f t="shared" si="107"/>
        <v>29900.79</v>
      </c>
      <c r="X540" s="2">
        <f>W540-R540</f>
        <v>5250.1200000000026</v>
      </c>
      <c r="Y540" s="2">
        <f t="shared" si="108"/>
        <v>0.17558465846554563</v>
      </c>
      <c r="Z540" s="2" t="str">
        <f t="shared" si="109"/>
        <v/>
      </c>
      <c r="AA540" s="2" t="e">
        <f t="shared" si="110"/>
        <v>#VALUE!</v>
      </c>
      <c r="AB540" s="2" t="e">
        <f t="shared" si="111"/>
        <v>#VALUE!</v>
      </c>
      <c r="AC540" s="2" t="str">
        <f t="shared" si="112"/>
        <v>Text Value Not Recognized as Date</v>
      </c>
      <c r="AD540" s="2">
        <f t="shared" si="113"/>
        <v>0</v>
      </c>
      <c r="AE540" s="2">
        <f t="shared" si="114"/>
        <v>0</v>
      </c>
      <c r="AH540" t="str">
        <f t="shared" si="118"/>
        <v>Diya Patel</v>
      </c>
      <c r="AI540" t="str">
        <f t="shared" si="118"/>
        <v>Small Business</v>
      </c>
      <c r="AJ540" t="str">
        <f t="shared" si="118"/>
        <v>East</v>
      </c>
      <c r="AK540" t="str">
        <f t="shared" si="117"/>
        <v>Jharkhand</v>
      </c>
      <c r="AL540" t="str">
        <f t="shared" si="117"/>
        <v>Ranchi</v>
      </c>
      <c r="AM540" t="str">
        <f t="shared" si="117"/>
        <v>Furniture</v>
      </c>
      <c r="AN540" t="str">
        <f t="shared" si="104"/>
        <v>Tables</v>
      </c>
      <c r="AO540" t="str">
        <f t="shared" si="115"/>
        <v>Second Class</v>
      </c>
      <c r="AP540" t="str">
        <f t="shared" si="116"/>
        <v>Paid</v>
      </c>
      <c r="AQ540" t="str">
        <f t="shared" si="116"/>
        <v>Completed</v>
      </c>
    </row>
    <row r="541" spans="1:43">
      <c r="A541" t="s">
        <v>1961</v>
      </c>
      <c r="B541" s="3">
        <v>45842</v>
      </c>
      <c r="C541" s="3">
        <v>45842</v>
      </c>
      <c r="D541" t="s">
        <v>1962</v>
      </c>
      <c r="E541" t="s">
        <v>1963</v>
      </c>
      <c r="F541" t="s">
        <v>122</v>
      </c>
      <c r="G541" t="s">
        <v>140</v>
      </c>
      <c r="H541" t="s">
        <v>357</v>
      </c>
      <c r="I541" t="s">
        <v>358</v>
      </c>
      <c r="J541" t="s">
        <v>126</v>
      </c>
      <c r="K541" t="s">
        <v>152</v>
      </c>
      <c r="L541" t="s">
        <v>1964</v>
      </c>
      <c r="M541" t="s">
        <v>145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117</v>
      </c>
      <c r="U541" t="s">
        <v>44</v>
      </c>
      <c r="V541" s="2">
        <f t="shared" si="106"/>
        <v>0.1</v>
      </c>
      <c r="W541" s="2">
        <f t="shared" si="107"/>
        <v>1904.4450000000002</v>
      </c>
      <c r="X541" s="2">
        <f>W541-R541</f>
        <v>587.9050000000002</v>
      </c>
      <c r="Y541" s="2">
        <f t="shared" si="108"/>
        <v>0.30870148520960183</v>
      </c>
      <c r="Z541" s="2">
        <f t="shared" si="109"/>
        <v>0</v>
      </c>
      <c r="AA541" s="2">
        <f t="shared" si="110"/>
        <v>7</v>
      </c>
      <c r="AB541" s="2">
        <f t="shared" si="111"/>
        <v>2025</v>
      </c>
      <c r="AC541" s="2" t="str">
        <f t="shared" si="112"/>
        <v>Valid</v>
      </c>
      <c r="AD541" s="2">
        <f t="shared" si="113"/>
        <v>0</v>
      </c>
      <c r="AE541" s="2">
        <f t="shared" si="114"/>
        <v>0</v>
      </c>
      <c r="AH541" t="str">
        <f t="shared" si="118"/>
        <v>Mira Das</v>
      </c>
      <c r="AI541" t="str">
        <f t="shared" si="118"/>
        <v>Small Business</v>
      </c>
      <c r="AJ541" t="str">
        <f t="shared" si="118"/>
        <v>South</v>
      </c>
      <c r="AK541" t="str">
        <f t="shared" si="117"/>
        <v>Tamil Nadu</v>
      </c>
      <c r="AL541" t="str">
        <f t="shared" si="117"/>
        <v>Chennai</v>
      </c>
      <c r="AM541" t="str">
        <f t="shared" si="117"/>
        <v>Furniture</v>
      </c>
      <c r="AN541" t="str">
        <f t="shared" si="104"/>
        <v>Chairs</v>
      </c>
      <c r="AO541" t="str">
        <f t="shared" si="115"/>
        <v>Standard Class</v>
      </c>
      <c r="AP541" t="str">
        <f t="shared" si="116"/>
        <v>Paid</v>
      </c>
      <c r="AQ541" t="str">
        <f t="shared" si="116"/>
        <v>Cancelled</v>
      </c>
    </row>
    <row r="542" spans="1:43">
      <c r="A542" t="s">
        <v>1965</v>
      </c>
      <c r="B542" s="3" t="s">
        <v>1966</v>
      </c>
      <c r="C542" s="3">
        <v>45345</v>
      </c>
      <c r="D542" t="s">
        <v>1967</v>
      </c>
      <c r="E542" t="s">
        <v>375</v>
      </c>
      <c r="F542" t="s">
        <v>109</v>
      </c>
      <c r="G542" t="s">
        <v>149</v>
      </c>
      <c r="H542" t="s">
        <v>276</v>
      </c>
      <c r="I542" t="s">
        <v>277</v>
      </c>
      <c r="J542" t="s">
        <v>126</v>
      </c>
      <c r="K542" t="s">
        <v>143</v>
      </c>
      <c r="L542" t="s">
        <v>1968</v>
      </c>
      <c r="M542" t="s">
        <v>145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117</v>
      </c>
      <c r="U542" t="s">
        <v>118</v>
      </c>
      <c r="V542" s="2">
        <f t="shared" si="106"/>
        <v>0.2</v>
      </c>
      <c r="W542" s="2">
        <f t="shared" si="107"/>
        <v>21571.592000000004</v>
      </c>
      <c r="X542" s="2">
        <f>W542-R542</f>
        <v>4453.5220000000045</v>
      </c>
      <c r="Y542" s="2">
        <f t="shared" si="108"/>
        <v>0.20645309813017063</v>
      </c>
      <c r="Z542" s="2" t="str">
        <f t="shared" si="109"/>
        <v/>
      </c>
      <c r="AA542" s="2" t="e">
        <f t="shared" si="110"/>
        <v>#VALUE!</v>
      </c>
      <c r="AB542" s="2" t="e">
        <f t="shared" si="111"/>
        <v>#VALUE!</v>
      </c>
      <c r="AC542" s="2" t="str">
        <f t="shared" si="112"/>
        <v>Text Value Not Recognized as Date</v>
      </c>
      <c r="AD542" s="2">
        <f t="shared" si="113"/>
        <v>0</v>
      </c>
      <c r="AE542" s="2">
        <f t="shared" si="114"/>
        <v>0</v>
      </c>
      <c r="AH542" t="str">
        <f t="shared" si="118"/>
        <v>Kabir Singh</v>
      </c>
      <c r="AI542" t="str">
        <f t="shared" si="118"/>
        <v>Consumer</v>
      </c>
      <c r="AJ542" t="str">
        <f t="shared" si="118"/>
        <v>West</v>
      </c>
      <c r="AK542" t="str">
        <f t="shared" si="117"/>
        <v>Gujarat</v>
      </c>
      <c r="AL542" t="str">
        <f t="shared" si="117"/>
        <v>Ahmedabad</v>
      </c>
      <c r="AM542" t="str">
        <f t="shared" si="117"/>
        <v>Furniture</v>
      </c>
      <c r="AN542" t="str">
        <f t="shared" si="104"/>
        <v>Furnishings</v>
      </c>
      <c r="AO542" t="str">
        <f t="shared" si="115"/>
        <v>Standard Class</v>
      </c>
      <c r="AP542" t="str">
        <f t="shared" si="116"/>
        <v>Paid</v>
      </c>
      <c r="AQ542" t="str">
        <f t="shared" si="116"/>
        <v>Completed</v>
      </c>
    </row>
    <row r="543" spans="1:43">
      <c r="A543" t="s">
        <v>1969</v>
      </c>
      <c r="B543" s="3">
        <v>45876</v>
      </c>
      <c r="C543" s="3">
        <v>45847</v>
      </c>
      <c r="D543" t="s">
        <v>1970</v>
      </c>
      <c r="E543" t="s">
        <v>222</v>
      </c>
      <c r="F543" t="s">
        <v>109</v>
      </c>
      <c r="G543" t="s">
        <v>149</v>
      </c>
      <c r="H543" t="s">
        <v>150</v>
      </c>
      <c r="I543" t="s">
        <v>151</v>
      </c>
      <c r="J543" t="s">
        <v>160</v>
      </c>
      <c r="K543" t="s">
        <v>166</v>
      </c>
      <c r="L543" t="s">
        <v>1971</v>
      </c>
      <c r="M543" t="s">
        <v>129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117</v>
      </c>
      <c r="U543" t="s">
        <v>190</v>
      </c>
      <c r="V543" s="2">
        <f t="shared" si="106"/>
        <v>0</v>
      </c>
      <c r="W543" s="2">
        <f t="shared" si="107"/>
        <v>8641.68</v>
      </c>
      <c r="X543" s="2">
        <f>W543-R543</f>
        <v>2894.59</v>
      </c>
      <c r="Y543" s="2">
        <f t="shared" si="108"/>
        <v>0.33495686024013849</v>
      </c>
      <c r="Z543" s="2">
        <f t="shared" si="109"/>
        <v>-29</v>
      </c>
      <c r="AA543" s="2">
        <f t="shared" si="110"/>
        <v>8</v>
      </c>
      <c r="AB543" s="2">
        <f t="shared" si="111"/>
        <v>2025</v>
      </c>
      <c r="AC543" s="2" t="str">
        <f t="shared" si="112"/>
        <v>Invalid shipping record</v>
      </c>
      <c r="AD543" s="2">
        <f t="shared" si="113"/>
        <v>0</v>
      </c>
      <c r="AE543" s="2">
        <f t="shared" si="114"/>
        <v>0</v>
      </c>
      <c r="AH543" t="str">
        <f t="shared" si="118"/>
        <v>Sneha Kapoor</v>
      </c>
      <c r="AI543" t="str">
        <f t="shared" si="118"/>
        <v>Consumer</v>
      </c>
      <c r="AJ543" t="str">
        <f t="shared" si="118"/>
        <v>West</v>
      </c>
      <c r="AK543" t="str">
        <f t="shared" si="117"/>
        <v>Maharashtra</v>
      </c>
      <c r="AL543" t="str">
        <f t="shared" si="117"/>
        <v>Mumbai</v>
      </c>
      <c r="AM543" t="str">
        <f t="shared" si="117"/>
        <v>Technology</v>
      </c>
      <c r="AN543" t="str">
        <f t="shared" si="104"/>
        <v>Copiers</v>
      </c>
      <c r="AO543" t="str">
        <f t="shared" si="115"/>
        <v>Same Day</v>
      </c>
      <c r="AP543" t="str">
        <f t="shared" si="116"/>
        <v>Paid</v>
      </c>
      <c r="AQ543" t="str">
        <f t="shared" si="116"/>
        <v>Returned</v>
      </c>
    </row>
    <row r="544" spans="1:43">
      <c r="A544" t="s">
        <v>1972</v>
      </c>
      <c r="B544" s="3">
        <v>45552</v>
      </c>
      <c r="C544" s="3">
        <v>45558</v>
      </c>
      <c r="D544" t="s">
        <v>1973</v>
      </c>
      <c r="E544" t="s">
        <v>207</v>
      </c>
      <c r="F544" t="s">
        <v>182</v>
      </c>
      <c r="G544" t="s">
        <v>140</v>
      </c>
      <c r="H544" t="s">
        <v>282</v>
      </c>
      <c r="I544" t="s">
        <v>283</v>
      </c>
      <c r="J544" t="s">
        <v>126</v>
      </c>
      <c r="K544" t="s">
        <v>252</v>
      </c>
      <c r="L544" t="s">
        <v>1974</v>
      </c>
      <c r="M544" t="s">
        <v>116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117</v>
      </c>
      <c r="U544" t="s">
        <v>1975</v>
      </c>
      <c r="V544" s="2">
        <f t="shared" si="106"/>
        <v>0.2</v>
      </c>
      <c r="W544" s="2">
        <f t="shared" si="107"/>
        <v>9762.2880000000005</v>
      </c>
      <c r="X544" s="2">
        <f>W544-R544</f>
        <v>1394.0480000000007</v>
      </c>
      <c r="Y544" s="2">
        <f t="shared" si="108"/>
        <v>0.14279931098119628</v>
      </c>
      <c r="Z544" s="2">
        <f t="shared" si="109"/>
        <v>6</v>
      </c>
      <c r="AA544" s="2">
        <f t="shared" si="110"/>
        <v>9</v>
      </c>
      <c r="AB544" s="2">
        <f t="shared" si="111"/>
        <v>2024</v>
      </c>
      <c r="AC544" s="2" t="str">
        <f t="shared" si="112"/>
        <v>Valid</v>
      </c>
      <c r="AD544" s="2">
        <f t="shared" si="113"/>
        <v>1</v>
      </c>
      <c r="AE544" s="2">
        <f t="shared" si="114"/>
        <v>0</v>
      </c>
      <c r="AH544" t="str">
        <f t="shared" si="118"/>
        <v>Rahul Verma</v>
      </c>
      <c r="AI544" t="str">
        <f t="shared" si="118"/>
        <v>Home Office</v>
      </c>
      <c r="AJ544" t="str">
        <f t="shared" si="118"/>
        <v>South</v>
      </c>
      <c r="AK544" t="str">
        <f t="shared" si="117"/>
        <v>Kerala</v>
      </c>
      <c r="AL544" t="str">
        <f t="shared" si="117"/>
        <v>Kochi</v>
      </c>
      <c r="AM544" t="str">
        <f t="shared" si="117"/>
        <v>Furniture</v>
      </c>
      <c r="AN544" t="str">
        <f t="shared" si="104"/>
        <v>Bookcases</v>
      </c>
      <c r="AO544" t="str">
        <f t="shared" si="115"/>
        <v>Second Class</v>
      </c>
      <c r="AP544" t="str">
        <f t="shared" si="116"/>
        <v>Paid</v>
      </c>
      <c r="AQ544" t="str">
        <f t="shared" si="116"/>
        <v>Cancelled</v>
      </c>
    </row>
    <row r="545" spans="1:43">
      <c r="A545" t="s">
        <v>1976</v>
      </c>
      <c r="B545" s="3">
        <v>45487</v>
      </c>
      <c r="C545" s="3" t="s">
        <v>397</v>
      </c>
      <c r="D545" t="s">
        <v>1977</v>
      </c>
      <c r="E545" t="s">
        <v>121</v>
      </c>
      <c r="F545" t="s">
        <v>109</v>
      </c>
      <c r="G545" t="s">
        <v>123</v>
      </c>
      <c r="H545" t="s">
        <v>237</v>
      </c>
      <c r="I545" t="s">
        <v>238</v>
      </c>
      <c r="J545" t="s">
        <v>160</v>
      </c>
      <c r="K545" t="s">
        <v>166</v>
      </c>
      <c r="L545" t="s">
        <v>1978</v>
      </c>
      <c r="M545" t="s">
        <v>129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117</v>
      </c>
      <c r="U545" t="s">
        <v>118</v>
      </c>
      <c r="V545" s="2">
        <f t="shared" si="106"/>
        <v>0.15</v>
      </c>
      <c r="W545" s="2">
        <f t="shared" si="107"/>
        <v>418.76949999999999</v>
      </c>
      <c r="X545" s="2">
        <f>W545-R545</f>
        <v>105.04949999999997</v>
      </c>
      <c r="Y545" s="2">
        <f t="shared" si="108"/>
        <v>0.25085279610859906</v>
      </c>
      <c r="Z545" s="2" t="str">
        <f t="shared" si="109"/>
        <v/>
      </c>
      <c r="AA545" s="2">
        <f t="shared" si="110"/>
        <v>7</v>
      </c>
      <c r="AB545" s="2">
        <f t="shared" si="111"/>
        <v>2024</v>
      </c>
      <c r="AC545" s="2" t="str">
        <f t="shared" si="112"/>
        <v>Text Value Not Recognized as Date</v>
      </c>
      <c r="AD545" s="2">
        <f t="shared" si="113"/>
        <v>0</v>
      </c>
      <c r="AE545" s="2">
        <f t="shared" si="114"/>
        <v>0</v>
      </c>
      <c r="AH545" t="str">
        <f t="shared" si="118"/>
        <v>Mira Das</v>
      </c>
      <c r="AI545" t="str">
        <f t="shared" si="118"/>
        <v>Consumer</v>
      </c>
      <c r="AJ545" t="str">
        <f t="shared" si="118"/>
        <v>East</v>
      </c>
      <c r="AK545" t="str">
        <f t="shared" si="117"/>
        <v>Bihar</v>
      </c>
      <c r="AL545" t="str">
        <f t="shared" si="117"/>
        <v>Patna</v>
      </c>
      <c r="AM545" t="str">
        <f t="shared" si="117"/>
        <v>Technology</v>
      </c>
      <c r="AN545" t="str">
        <f t="shared" si="104"/>
        <v>Copiers</v>
      </c>
      <c r="AO545" t="str">
        <f t="shared" si="115"/>
        <v>Same Day</v>
      </c>
      <c r="AP545" t="str">
        <f t="shared" si="116"/>
        <v>Paid</v>
      </c>
      <c r="AQ545" t="str">
        <f t="shared" si="116"/>
        <v>Completed</v>
      </c>
    </row>
    <row r="546" spans="1:43">
      <c r="A546" t="s">
        <v>1979</v>
      </c>
      <c r="B546" s="3">
        <v>45686</v>
      </c>
      <c r="C546" s="3">
        <v>45693</v>
      </c>
      <c r="D546" t="s">
        <v>1980</v>
      </c>
      <c r="E546" t="s">
        <v>148</v>
      </c>
      <c r="F546" t="s">
        <v>109</v>
      </c>
      <c r="G546" t="s">
        <v>140</v>
      </c>
      <c r="H546" t="s">
        <v>282</v>
      </c>
      <c r="I546" t="s">
        <v>283</v>
      </c>
      <c r="J546" t="s">
        <v>113</v>
      </c>
      <c r="K546" t="s">
        <v>133</v>
      </c>
      <c r="L546" t="s">
        <v>1981</v>
      </c>
      <c r="M546" t="s">
        <v>129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117</v>
      </c>
      <c r="U546" t="s">
        <v>44</v>
      </c>
      <c r="V546" s="2">
        <f t="shared" si="106"/>
        <v>0.25</v>
      </c>
      <c r="W546" s="2">
        <f t="shared" si="107"/>
        <v>21861.72</v>
      </c>
      <c r="X546" s="2">
        <f>W546-R546</f>
        <v>3397.380000000001</v>
      </c>
      <c r="Y546" s="2">
        <f t="shared" si="108"/>
        <v>0.1554031430280875</v>
      </c>
      <c r="Z546" s="2">
        <f t="shared" si="109"/>
        <v>7</v>
      </c>
      <c r="AA546" s="2">
        <f t="shared" si="110"/>
        <v>1</v>
      </c>
      <c r="AB546" s="2">
        <f t="shared" si="111"/>
        <v>2025</v>
      </c>
      <c r="AC546" s="2" t="str">
        <f t="shared" si="112"/>
        <v>Valid</v>
      </c>
      <c r="AD546" s="2">
        <f t="shared" si="113"/>
        <v>0</v>
      </c>
      <c r="AE546" s="2">
        <f t="shared" si="114"/>
        <v>0</v>
      </c>
      <c r="AH546" t="str">
        <f t="shared" si="118"/>
        <v>Ananya Rao</v>
      </c>
      <c r="AI546" t="str">
        <f t="shared" si="118"/>
        <v>Consumer</v>
      </c>
      <c r="AJ546" t="str">
        <f t="shared" si="118"/>
        <v>South</v>
      </c>
      <c r="AK546" t="str">
        <f t="shared" si="117"/>
        <v>Kerala</v>
      </c>
      <c r="AL546" t="str">
        <f t="shared" si="117"/>
        <v>Kochi</v>
      </c>
      <c r="AM546" t="str">
        <f t="shared" si="117"/>
        <v>Office Supplies</v>
      </c>
      <c r="AN546" t="str">
        <f t="shared" si="104"/>
        <v>Art</v>
      </c>
      <c r="AO546" t="str">
        <f t="shared" si="115"/>
        <v>Same Day</v>
      </c>
      <c r="AP546" t="str">
        <f t="shared" si="116"/>
        <v>Paid</v>
      </c>
      <c r="AQ546" t="str">
        <f t="shared" si="116"/>
        <v>Cancelled</v>
      </c>
    </row>
    <row r="547" spans="1:43">
      <c r="A547" t="s">
        <v>1982</v>
      </c>
      <c r="B547" s="3">
        <v>45439</v>
      </c>
      <c r="C547" s="3">
        <v>45442</v>
      </c>
      <c r="D547" t="s">
        <v>1983</v>
      </c>
      <c r="E547" t="s">
        <v>375</v>
      </c>
      <c r="F547" t="s">
        <v>122</v>
      </c>
      <c r="G547" t="s">
        <v>123</v>
      </c>
      <c r="H547" t="s">
        <v>335</v>
      </c>
      <c r="I547" t="s">
        <v>336</v>
      </c>
      <c r="J547" t="s">
        <v>113</v>
      </c>
      <c r="K547" t="s">
        <v>213</v>
      </c>
      <c r="L547" t="s">
        <v>1984</v>
      </c>
      <c r="M547" t="s">
        <v>129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117</v>
      </c>
      <c r="U547" t="s">
        <v>118</v>
      </c>
      <c r="V547" s="2">
        <f t="shared" si="106"/>
        <v>0.15</v>
      </c>
      <c r="W547" s="2">
        <f t="shared" si="107"/>
        <v>17260.116999999998</v>
      </c>
      <c r="X547" s="2">
        <f>W547-R547</f>
        <v>3746.6069999999982</v>
      </c>
      <c r="Y547" s="2">
        <f t="shared" si="108"/>
        <v>0.21706730029697935</v>
      </c>
      <c r="Z547" s="2">
        <f t="shared" si="109"/>
        <v>3</v>
      </c>
      <c r="AA547" s="2">
        <f t="shared" si="110"/>
        <v>5</v>
      </c>
      <c r="AB547" s="2">
        <f t="shared" si="111"/>
        <v>2024</v>
      </c>
      <c r="AC547" s="2" t="str">
        <f t="shared" si="112"/>
        <v>Valid</v>
      </c>
      <c r="AD547" s="2">
        <f t="shared" si="113"/>
        <v>0</v>
      </c>
      <c r="AE547" s="2">
        <f t="shared" si="114"/>
        <v>0</v>
      </c>
      <c r="AH547" t="str">
        <f t="shared" si="118"/>
        <v>Kabir Singh</v>
      </c>
      <c r="AI547" t="str">
        <f t="shared" si="118"/>
        <v>Small Business</v>
      </c>
      <c r="AJ547" t="str">
        <f t="shared" si="118"/>
        <v>East</v>
      </c>
      <c r="AK547" t="str">
        <f t="shared" si="117"/>
        <v>Jharkhand</v>
      </c>
      <c r="AL547" t="str">
        <f t="shared" si="117"/>
        <v>Ranchi</v>
      </c>
      <c r="AM547" t="str">
        <f t="shared" si="117"/>
        <v>Office Supplies</v>
      </c>
      <c r="AN547" t="str">
        <f t="shared" si="104"/>
        <v>Storage</v>
      </c>
      <c r="AO547" t="str">
        <f t="shared" si="115"/>
        <v>Same Day</v>
      </c>
      <c r="AP547" t="str">
        <f t="shared" si="116"/>
        <v>Paid</v>
      </c>
      <c r="AQ547" t="str">
        <f t="shared" si="116"/>
        <v>Completed</v>
      </c>
    </row>
    <row r="548" spans="1:43">
      <c r="A548" t="s">
        <v>1985</v>
      </c>
      <c r="B548" s="3">
        <v>45883</v>
      </c>
      <c r="C548" s="3">
        <v>45891</v>
      </c>
      <c r="D548" t="s">
        <v>1986</v>
      </c>
      <c r="E548" t="s">
        <v>139</v>
      </c>
      <c r="F548" t="s">
        <v>177</v>
      </c>
      <c r="G548" t="s">
        <v>149</v>
      </c>
      <c r="H548" t="s">
        <v>276</v>
      </c>
      <c r="I548" t="s">
        <v>277</v>
      </c>
      <c r="J548" t="s">
        <v>1987</v>
      </c>
      <c r="K548" t="s">
        <v>114</v>
      </c>
      <c r="L548" t="s">
        <v>1988</v>
      </c>
      <c r="M548" t="s">
        <v>135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117</v>
      </c>
      <c r="U548" t="s">
        <v>118</v>
      </c>
      <c r="V548" s="2">
        <f t="shared" si="106"/>
        <v>0.15</v>
      </c>
      <c r="W548" s="2">
        <f t="shared" si="107"/>
        <v>10911.322499999998</v>
      </c>
      <c r="X548" s="2">
        <f>W548-R548</f>
        <v>3944.8824999999988</v>
      </c>
      <c r="Y548" s="2">
        <f t="shared" si="108"/>
        <v>0.36154027158486052</v>
      </c>
      <c r="Z548" s="2">
        <f t="shared" si="109"/>
        <v>8</v>
      </c>
      <c r="AA548" s="2">
        <f t="shared" si="110"/>
        <v>8</v>
      </c>
      <c r="AB548" s="2">
        <f t="shared" si="111"/>
        <v>2025</v>
      </c>
      <c r="AC548" s="2" t="str">
        <f t="shared" si="112"/>
        <v>Valid</v>
      </c>
      <c r="AD548" s="2">
        <f t="shared" si="113"/>
        <v>0</v>
      </c>
      <c r="AE548" s="2">
        <f t="shared" si="114"/>
        <v>1</v>
      </c>
      <c r="AH548" t="str">
        <f t="shared" si="118"/>
        <v>Arjun Bose</v>
      </c>
      <c r="AI548" t="str">
        <f t="shared" si="118"/>
        <v>Corporate</v>
      </c>
      <c r="AJ548" t="str">
        <f t="shared" si="118"/>
        <v>West</v>
      </c>
      <c r="AK548" t="str">
        <f t="shared" si="117"/>
        <v>Gujarat</v>
      </c>
      <c r="AL548" t="str">
        <f t="shared" si="117"/>
        <v>Ahmedabad</v>
      </c>
      <c r="AM548" t="str">
        <f t="shared" si="117"/>
        <v>Office Supplies</v>
      </c>
      <c r="AN548" t="str">
        <f t="shared" si="104"/>
        <v>Paper</v>
      </c>
      <c r="AO548" t="str">
        <f t="shared" si="115"/>
        <v>First Class</v>
      </c>
      <c r="AP548" t="str">
        <f t="shared" si="116"/>
        <v>Paid</v>
      </c>
      <c r="AQ548" t="str">
        <f t="shared" si="116"/>
        <v>Completed</v>
      </c>
    </row>
    <row r="549" spans="1:43">
      <c r="A549" t="s">
        <v>1989</v>
      </c>
      <c r="B549" s="3">
        <v>45428</v>
      </c>
      <c r="C549" s="3">
        <v>45435</v>
      </c>
      <c r="D549" t="s">
        <v>1990</v>
      </c>
      <c r="E549" t="s">
        <v>165</v>
      </c>
      <c r="F549" t="s">
        <v>122</v>
      </c>
      <c r="G549" t="s">
        <v>110</v>
      </c>
      <c r="H549" t="s">
        <v>227</v>
      </c>
      <c r="I549" t="s">
        <v>228</v>
      </c>
      <c r="J549" t="s">
        <v>160</v>
      </c>
      <c r="K549" t="s">
        <v>166</v>
      </c>
      <c r="L549" t="s">
        <v>1991</v>
      </c>
      <c r="M549" t="s">
        <v>145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117</v>
      </c>
      <c r="U549" t="s">
        <v>118</v>
      </c>
      <c r="V549" s="2">
        <f t="shared" si="106"/>
        <v>0.1</v>
      </c>
      <c r="W549" s="2">
        <f t="shared" si="107"/>
        <v>30148.929</v>
      </c>
      <c r="X549" s="2">
        <f>W549-R549</f>
        <v>4993.8590000000004</v>
      </c>
      <c r="Y549" s="2">
        <f t="shared" si="108"/>
        <v>0.16563968159532302</v>
      </c>
      <c r="Z549" s="2">
        <f t="shared" si="109"/>
        <v>7</v>
      </c>
      <c r="AA549" s="2">
        <f t="shared" si="110"/>
        <v>5</v>
      </c>
      <c r="AB549" s="2">
        <f t="shared" si="111"/>
        <v>2024</v>
      </c>
      <c r="AC549" s="2" t="str">
        <f t="shared" si="112"/>
        <v>Valid</v>
      </c>
      <c r="AD549" s="2">
        <f t="shared" si="113"/>
        <v>0</v>
      </c>
      <c r="AE549" s="2">
        <f t="shared" si="114"/>
        <v>0</v>
      </c>
      <c r="AH549" t="str">
        <f t="shared" si="118"/>
        <v>Neha Gupta</v>
      </c>
      <c r="AI549" t="str">
        <f t="shared" si="118"/>
        <v>Small Business</v>
      </c>
      <c r="AJ549" t="str">
        <f t="shared" si="118"/>
        <v>North</v>
      </c>
      <c r="AK549" t="str">
        <f t="shared" si="117"/>
        <v>Uttar Pradesh</v>
      </c>
      <c r="AL549" t="str">
        <f t="shared" si="117"/>
        <v>Noida</v>
      </c>
      <c r="AM549" t="str">
        <f t="shared" si="117"/>
        <v>Technology</v>
      </c>
      <c r="AN549" t="str">
        <f t="shared" si="104"/>
        <v>Copiers</v>
      </c>
      <c r="AO549" t="str">
        <f t="shared" si="115"/>
        <v>Standard Class</v>
      </c>
      <c r="AP549" t="str">
        <f t="shared" si="116"/>
        <v>Paid</v>
      </c>
      <c r="AQ549" t="str">
        <f t="shared" si="116"/>
        <v>Completed</v>
      </c>
    </row>
    <row r="550" spans="1:43">
      <c r="A550" t="s">
        <v>1992</v>
      </c>
      <c r="B550" s="3">
        <v>45441</v>
      </c>
      <c r="C550" s="3" t="s">
        <v>308</v>
      </c>
      <c r="D550" t="s">
        <v>1993</v>
      </c>
      <c r="E550" t="s">
        <v>232</v>
      </c>
      <c r="F550" t="s">
        <v>177</v>
      </c>
      <c r="G550" t="s">
        <v>123</v>
      </c>
      <c r="H550" t="s">
        <v>237</v>
      </c>
      <c r="I550" t="s">
        <v>238</v>
      </c>
      <c r="J550" t="s">
        <v>126</v>
      </c>
      <c r="K550" t="s">
        <v>252</v>
      </c>
      <c r="L550" t="s">
        <v>1994</v>
      </c>
      <c r="M550" t="s">
        <v>129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199</v>
      </c>
      <c r="U550" t="s">
        <v>44</v>
      </c>
      <c r="V550" s="2">
        <f t="shared" si="106"/>
        <v>0</v>
      </c>
      <c r="W550" s="2">
        <f t="shared" si="107"/>
        <v>1072.01</v>
      </c>
      <c r="X550" s="2">
        <f>W550-R550</f>
        <v>219.39</v>
      </c>
      <c r="Y550" s="2">
        <f t="shared" si="108"/>
        <v>0.20465294167032022</v>
      </c>
      <c r="Z550" s="2" t="str">
        <f t="shared" si="109"/>
        <v/>
      </c>
      <c r="AA550" s="2">
        <f t="shared" si="110"/>
        <v>5</v>
      </c>
      <c r="AB550" s="2">
        <f t="shared" si="111"/>
        <v>2024</v>
      </c>
      <c r="AC550" s="2" t="str">
        <f t="shared" si="112"/>
        <v>Text Value Not Recognized as Date</v>
      </c>
      <c r="AD550" s="2">
        <f t="shared" si="113"/>
        <v>0</v>
      </c>
      <c r="AE550" s="2">
        <f t="shared" si="114"/>
        <v>0</v>
      </c>
      <c r="AH550" t="str">
        <f t="shared" si="118"/>
        <v>Rohan Mehta</v>
      </c>
      <c r="AI550" t="str">
        <f t="shared" si="118"/>
        <v>Corporate</v>
      </c>
      <c r="AJ550" t="str">
        <f t="shared" si="118"/>
        <v>East</v>
      </c>
      <c r="AK550" t="str">
        <f t="shared" si="117"/>
        <v>Bihar</v>
      </c>
      <c r="AL550" t="str">
        <f t="shared" si="117"/>
        <v>Patna</v>
      </c>
      <c r="AM550" t="str">
        <f t="shared" si="117"/>
        <v>Furniture</v>
      </c>
      <c r="AN550" t="str">
        <f t="shared" si="104"/>
        <v>Bookcases</v>
      </c>
      <c r="AO550" t="str">
        <f t="shared" si="115"/>
        <v>Same Day</v>
      </c>
      <c r="AP550" t="str">
        <f t="shared" si="116"/>
        <v>Pending</v>
      </c>
      <c r="AQ550" t="str">
        <f t="shared" si="116"/>
        <v>Cancelled</v>
      </c>
    </row>
    <row r="551" spans="1:43">
      <c r="A551" t="s">
        <v>1995</v>
      </c>
      <c r="B551" s="3">
        <v>45941</v>
      </c>
      <c r="C551" s="3">
        <v>45943</v>
      </c>
      <c r="D551" t="s">
        <v>1996</v>
      </c>
      <c r="E551" t="s">
        <v>121</v>
      </c>
      <c r="F551" t="s">
        <v>177</v>
      </c>
      <c r="G551" t="s">
        <v>140</v>
      </c>
      <c r="H551" t="s">
        <v>141</v>
      </c>
      <c r="I551" t="s">
        <v>142</v>
      </c>
      <c r="J551" t="s">
        <v>113</v>
      </c>
      <c r="K551" t="s">
        <v>133</v>
      </c>
      <c r="L551" t="s">
        <v>1997</v>
      </c>
      <c r="M551" t="s">
        <v>116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117</v>
      </c>
      <c r="U551" t="s">
        <v>118</v>
      </c>
      <c r="V551" s="2">
        <f t="shared" si="106"/>
        <v>0.1</v>
      </c>
      <c r="W551" s="2">
        <f t="shared" si="107"/>
        <v>10271.529</v>
      </c>
      <c r="X551" s="2">
        <f>W551-R551</f>
        <v>1999.2890000000007</v>
      </c>
      <c r="Y551" s="2">
        <f t="shared" si="108"/>
        <v>0.19464375751652949</v>
      </c>
      <c r="Z551" s="2">
        <f t="shared" si="109"/>
        <v>2</v>
      </c>
      <c r="AA551" s="2">
        <f t="shared" si="110"/>
        <v>10</v>
      </c>
      <c r="AB551" s="2">
        <f t="shared" si="111"/>
        <v>2025</v>
      </c>
      <c r="AC551" s="2" t="str">
        <f t="shared" si="112"/>
        <v>Conflicting Duplicate Order ID</v>
      </c>
      <c r="AD551" s="2">
        <f t="shared" si="113"/>
        <v>0</v>
      </c>
      <c r="AE551" s="2">
        <f t="shared" si="114"/>
        <v>0</v>
      </c>
      <c r="AH551" t="str">
        <f t="shared" si="118"/>
        <v>Mira Das</v>
      </c>
      <c r="AI551" t="str">
        <f t="shared" si="118"/>
        <v>Corporate</v>
      </c>
      <c r="AJ551" t="str">
        <f t="shared" si="118"/>
        <v>South</v>
      </c>
      <c r="AK551" t="str">
        <f t="shared" si="117"/>
        <v>Telangana</v>
      </c>
      <c r="AL551" t="str">
        <f t="shared" si="117"/>
        <v>Hyderabad</v>
      </c>
      <c r="AM551" t="str">
        <f t="shared" si="117"/>
        <v>Office Supplies</v>
      </c>
      <c r="AN551" t="str">
        <f t="shared" si="104"/>
        <v>Art</v>
      </c>
      <c r="AO551" t="str">
        <f t="shared" si="115"/>
        <v>Second Class</v>
      </c>
      <c r="AP551" t="str">
        <f t="shared" si="116"/>
        <v>Paid</v>
      </c>
      <c r="AQ551" t="str">
        <f t="shared" si="116"/>
        <v>Completed</v>
      </c>
    </row>
    <row r="552" spans="1:43">
      <c r="A552" t="s">
        <v>1998</v>
      </c>
      <c r="B552" s="3">
        <v>45330</v>
      </c>
      <c r="C552" s="3">
        <v>45514</v>
      </c>
      <c r="D552" t="s">
        <v>1999</v>
      </c>
      <c r="E552" t="s">
        <v>121</v>
      </c>
      <c r="F552" t="s">
        <v>182</v>
      </c>
      <c r="G552" t="s">
        <v>123</v>
      </c>
      <c r="H552" t="s">
        <v>124</v>
      </c>
      <c r="I552" t="s">
        <v>125</v>
      </c>
      <c r="J552" t="s">
        <v>160</v>
      </c>
      <c r="K552" t="s">
        <v>161</v>
      </c>
      <c r="L552" t="s">
        <v>2000</v>
      </c>
      <c r="M552" t="s">
        <v>145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117</v>
      </c>
      <c r="U552" t="s">
        <v>118</v>
      </c>
      <c r="V552" s="2">
        <f t="shared" si="106"/>
        <v>0.2</v>
      </c>
      <c r="W552" s="2">
        <f t="shared" si="107"/>
        <v>10206.912</v>
      </c>
      <c r="X552" s="2">
        <f>W552-R552</f>
        <v>3442.3820000000005</v>
      </c>
      <c r="Y552" s="2">
        <f t="shared" si="108"/>
        <v>0.33725988820125036</v>
      </c>
      <c r="Z552" s="2">
        <f t="shared" si="109"/>
        <v>184</v>
      </c>
      <c r="AA552" s="2">
        <f t="shared" si="110"/>
        <v>2</v>
      </c>
      <c r="AB552" s="2">
        <f t="shared" si="111"/>
        <v>2024</v>
      </c>
      <c r="AC552" s="2" t="str">
        <f t="shared" si="112"/>
        <v>Valid</v>
      </c>
      <c r="AD552" s="2">
        <f t="shared" si="113"/>
        <v>0</v>
      </c>
      <c r="AE552" s="2">
        <f t="shared" si="114"/>
        <v>0</v>
      </c>
      <c r="AH552" t="str">
        <f t="shared" si="118"/>
        <v>Mira Das</v>
      </c>
      <c r="AI552" t="str">
        <f t="shared" si="118"/>
        <v>Home Office</v>
      </c>
      <c r="AJ552" t="str">
        <f t="shared" si="118"/>
        <v>East</v>
      </c>
      <c r="AK552" t="str">
        <f t="shared" si="117"/>
        <v>Odisha</v>
      </c>
      <c r="AL552" t="str">
        <f t="shared" si="117"/>
        <v>Bhubaneswar</v>
      </c>
      <c r="AM552" t="str">
        <f t="shared" si="117"/>
        <v>Technology</v>
      </c>
      <c r="AN552" t="str">
        <f t="shared" si="104"/>
        <v>Accessories</v>
      </c>
      <c r="AO552" t="str">
        <f t="shared" si="115"/>
        <v>Standard Class</v>
      </c>
      <c r="AP552" t="str">
        <f t="shared" si="116"/>
        <v>Paid</v>
      </c>
      <c r="AQ552" t="str">
        <f t="shared" si="116"/>
        <v>Completed</v>
      </c>
    </row>
    <row r="553" spans="1:43">
      <c r="A553" t="s">
        <v>2001</v>
      </c>
      <c r="B553" s="3" t="s">
        <v>1589</v>
      </c>
      <c r="C553" s="3">
        <v>45349</v>
      </c>
      <c r="D553" t="s">
        <v>2002</v>
      </c>
      <c r="E553" t="s">
        <v>222</v>
      </c>
      <c r="F553" t="s">
        <v>109</v>
      </c>
      <c r="G553" t="s">
        <v>123</v>
      </c>
      <c r="H553" t="s">
        <v>335</v>
      </c>
      <c r="I553" t="s">
        <v>336</v>
      </c>
      <c r="J553" t="s">
        <v>126</v>
      </c>
      <c r="K553" t="s">
        <v>152</v>
      </c>
      <c r="L553" t="s">
        <v>2003</v>
      </c>
      <c r="M553" t="s">
        <v>116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117</v>
      </c>
      <c r="U553" t="s">
        <v>118</v>
      </c>
      <c r="V553" s="2">
        <f t="shared" si="106"/>
        <v>0.15</v>
      </c>
      <c r="W553" s="2">
        <f t="shared" si="107"/>
        <v>8027.6295</v>
      </c>
      <c r="X553" s="2">
        <f>W553-R553</f>
        <v>2531.5394999999999</v>
      </c>
      <c r="Y553" s="2">
        <f t="shared" si="108"/>
        <v>0.31535330572991688</v>
      </c>
      <c r="Z553" s="2" t="str">
        <f t="shared" si="109"/>
        <v/>
      </c>
      <c r="AA553" s="2" t="e">
        <f t="shared" si="110"/>
        <v>#VALUE!</v>
      </c>
      <c r="AB553" s="2" t="e">
        <f t="shared" si="111"/>
        <v>#VALUE!</v>
      </c>
      <c r="AC553" s="2" t="str">
        <f t="shared" si="112"/>
        <v>Text Value Not Recognized as Date</v>
      </c>
      <c r="AD553" s="2">
        <f t="shared" si="113"/>
        <v>0</v>
      </c>
      <c r="AE553" s="2">
        <f t="shared" si="114"/>
        <v>0</v>
      </c>
      <c r="AH553" t="str">
        <f t="shared" si="118"/>
        <v>Sneha Kapoor</v>
      </c>
      <c r="AI553" t="str">
        <f t="shared" si="118"/>
        <v>Consumer</v>
      </c>
      <c r="AJ553" t="str">
        <f t="shared" si="118"/>
        <v>East</v>
      </c>
      <c r="AK553" t="str">
        <f t="shared" si="117"/>
        <v>Jharkhand</v>
      </c>
      <c r="AL553" t="str">
        <f t="shared" si="117"/>
        <v>Ranchi</v>
      </c>
      <c r="AM553" t="str">
        <f t="shared" si="117"/>
        <v>Furniture</v>
      </c>
      <c r="AN553" t="str">
        <f t="shared" si="104"/>
        <v>Chairs</v>
      </c>
      <c r="AO553" t="str">
        <f t="shared" si="115"/>
        <v>Second Class</v>
      </c>
      <c r="AP553" t="str">
        <f t="shared" si="116"/>
        <v>Paid</v>
      </c>
      <c r="AQ553" t="str">
        <f t="shared" si="116"/>
        <v>Completed</v>
      </c>
    </row>
    <row r="554" spans="1:43">
      <c r="A554" t="s">
        <v>2004</v>
      </c>
      <c r="B554" s="3" t="s">
        <v>241</v>
      </c>
      <c r="C554" s="3">
        <v>45687</v>
      </c>
      <c r="D554" t="s">
        <v>2005</v>
      </c>
      <c r="E554" t="s">
        <v>148</v>
      </c>
      <c r="F554" t="s">
        <v>177</v>
      </c>
      <c r="G554" t="s">
        <v>123</v>
      </c>
      <c r="H554" t="s">
        <v>186</v>
      </c>
      <c r="I554" t="s">
        <v>187</v>
      </c>
      <c r="J554" t="s">
        <v>160</v>
      </c>
      <c r="K554" t="s">
        <v>166</v>
      </c>
      <c r="L554" t="s">
        <v>2006</v>
      </c>
      <c r="M554" t="s">
        <v>145</v>
      </c>
      <c r="N554">
        <v>8</v>
      </c>
      <c r="O554">
        <v>312.52999999999997</v>
      </c>
      <c r="P554" t="s">
        <v>586</v>
      </c>
      <c r="Q554">
        <v>1875.18</v>
      </c>
      <c r="R554">
        <v>1579.17</v>
      </c>
      <c r="S554">
        <v>296.01</v>
      </c>
      <c r="T554" t="s">
        <v>117</v>
      </c>
      <c r="U554" t="s">
        <v>118</v>
      </c>
      <c r="V554" s="2" t="str">
        <f t="shared" si="106"/>
        <v>70%</v>
      </c>
      <c r="W554" s="2">
        <f t="shared" si="107"/>
        <v>750.072</v>
      </c>
      <c r="X554" s="2">
        <f>W554-R554</f>
        <v>-829.09800000000007</v>
      </c>
      <c r="Y554" s="2">
        <f t="shared" si="108"/>
        <v>-1.1053578856429784</v>
      </c>
      <c r="Z554" s="2" t="str">
        <f t="shared" si="109"/>
        <v/>
      </c>
      <c r="AA554" s="2" t="e">
        <f t="shared" si="110"/>
        <v>#VALUE!</v>
      </c>
      <c r="AB554" s="2" t="e">
        <f t="shared" si="111"/>
        <v>#VALUE!</v>
      </c>
      <c r="AC554" s="2" t="str">
        <f t="shared" si="112"/>
        <v>Text Value Not Recognized as Date</v>
      </c>
      <c r="AD554" s="2">
        <f t="shared" si="113"/>
        <v>1</v>
      </c>
      <c r="AE554" s="2">
        <f t="shared" si="114"/>
        <v>1</v>
      </c>
      <c r="AH554" t="str">
        <f t="shared" si="118"/>
        <v>Ananya Rao</v>
      </c>
      <c r="AI554" t="str">
        <f t="shared" si="118"/>
        <v>Corporate</v>
      </c>
      <c r="AJ554" t="str">
        <f t="shared" si="118"/>
        <v>East</v>
      </c>
      <c r="AK554" t="str">
        <f t="shared" si="117"/>
        <v>West Bengal</v>
      </c>
      <c r="AL554" t="str">
        <f t="shared" si="117"/>
        <v>Kolkata</v>
      </c>
      <c r="AM554" t="str">
        <f t="shared" si="117"/>
        <v>Technology</v>
      </c>
      <c r="AN554" t="str">
        <f t="shared" si="117"/>
        <v>Copiers</v>
      </c>
      <c r="AO554" t="str">
        <f t="shared" si="115"/>
        <v>Standard Class</v>
      </c>
      <c r="AP554" t="str">
        <f t="shared" si="116"/>
        <v>Paid</v>
      </c>
      <c r="AQ554" t="str">
        <f t="shared" si="116"/>
        <v>Completed</v>
      </c>
    </row>
    <row r="555" spans="1:43">
      <c r="A555" t="s">
        <v>2007</v>
      </c>
      <c r="B555" s="3">
        <v>45772</v>
      </c>
      <c r="C555" s="3">
        <v>45775</v>
      </c>
      <c r="D555" t="s">
        <v>2008</v>
      </c>
      <c r="E555" t="s">
        <v>218</v>
      </c>
      <c r="F555" t="s">
        <v>122</v>
      </c>
      <c r="G555" t="s">
        <v>149</v>
      </c>
      <c r="H555" t="s">
        <v>276</v>
      </c>
      <c r="I555" t="s">
        <v>277</v>
      </c>
      <c r="J555" t="s">
        <v>113</v>
      </c>
      <c r="K555" t="s">
        <v>213</v>
      </c>
      <c r="L555" t="s">
        <v>2009</v>
      </c>
      <c r="M555" t="s">
        <v>135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117</v>
      </c>
      <c r="U555" t="s">
        <v>118</v>
      </c>
      <c r="V555" s="2">
        <f t="shared" si="106"/>
        <v>0.25</v>
      </c>
      <c r="W555" s="2">
        <f t="shared" si="107"/>
        <v>8735.2425000000003</v>
      </c>
      <c r="X555" s="2">
        <f>W555-R555</f>
        <v>2115.1725000000006</v>
      </c>
      <c r="Y555" s="2">
        <f t="shared" si="108"/>
        <v>0.24214239043735769</v>
      </c>
      <c r="Z555" s="2">
        <f t="shared" si="109"/>
        <v>3</v>
      </c>
      <c r="AA555" s="2">
        <f t="shared" si="110"/>
        <v>4</v>
      </c>
      <c r="AB555" s="2">
        <f t="shared" si="111"/>
        <v>2025</v>
      </c>
      <c r="AC555" s="2" t="str">
        <f t="shared" si="112"/>
        <v>Valid</v>
      </c>
      <c r="AD555" s="2">
        <f t="shared" si="113"/>
        <v>0</v>
      </c>
      <c r="AE555" s="2">
        <f t="shared" si="114"/>
        <v>0</v>
      </c>
      <c r="AH555" t="str">
        <f t="shared" si="118"/>
        <v>Aarav Sharma</v>
      </c>
      <c r="AI555" t="str">
        <f t="shared" si="118"/>
        <v>Small Business</v>
      </c>
      <c r="AJ555" t="str">
        <f t="shared" si="118"/>
        <v>West</v>
      </c>
      <c r="AK555" t="str">
        <f t="shared" si="117"/>
        <v>Gujarat</v>
      </c>
      <c r="AL555" t="str">
        <f t="shared" si="117"/>
        <v>Ahmedabad</v>
      </c>
      <c r="AM555" t="str">
        <f t="shared" si="117"/>
        <v>Office Supplies</v>
      </c>
      <c r="AN555" t="str">
        <f t="shared" si="117"/>
        <v>Storage</v>
      </c>
      <c r="AO555" t="str">
        <f t="shared" si="115"/>
        <v>First Class</v>
      </c>
      <c r="AP555" t="str">
        <f t="shared" si="116"/>
        <v>Paid</v>
      </c>
      <c r="AQ555" t="str">
        <f t="shared" si="116"/>
        <v>Completed</v>
      </c>
    </row>
    <row r="556" spans="1:43">
      <c r="A556" t="s">
        <v>2010</v>
      </c>
      <c r="B556" s="3">
        <v>45577</v>
      </c>
      <c r="C556" s="3">
        <v>45582</v>
      </c>
      <c r="D556" t="s">
        <v>2011</v>
      </c>
      <c r="E556" t="s">
        <v>139</v>
      </c>
      <c r="F556" t="s">
        <v>109</v>
      </c>
      <c r="H556" t="s">
        <v>335</v>
      </c>
      <c r="I556" t="s">
        <v>336</v>
      </c>
      <c r="J556" t="s">
        <v>126</v>
      </c>
      <c r="K556" t="s">
        <v>143</v>
      </c>
      <c r="L556" t="s">
        <v>2012</v>
      </c>
      <c r="M556" t="s">
        <v>145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117</v>
      </c>
      <c r="U556" t="s">
        <v>118</v>
      </c>
      <c r="V556" s="2">
        <f t="shared" si="106"/>
        <v>0.05</v>
      </c>
      <c r="W556" s="2">
        <f t="shared" si="107"/>
        <v>4070.636</v>
      </c>
      <c r="X556" s="2">
        <f>W556-R556</f>
        <v>1239.0160000000001</v>
      </c>
      <c r="Y556" s="2">
        <f t="shared" si="108"/>
        <v>0.30437897173807732</v>
      </c>
      <c r="Z556" s="2">
        <f t="shared" si="109"/>
        <v>5</v>
      </c>
      <c r="AA556" s="2">
        <f t="shared" si="110"/>
        <v>10</v>
      </c>
      <c r="AB556" s="2">
        <f t="shared" si="111"/>
        <v>2024</v>
      </c>
      <c r="AC556" s="2" t="str">
        <f t="shared" si="112"/>
        <v>Missing region</v>
      </c>
      <c r="AD556" s="2">
        <f t="shared" si="113"/>
        <v>0</v>
      </c>
      <c r="AE556" s="2">
        <f t="shared" si="114"/>
        <v>0</v>
      </c>
      <c r="AH556" t="str">
        <f t="shared" si="118"/>
        <v>Arjun Bose</v>
      </c>
      <c r="AI556" t="str">
        <f t="shared" si="118"/>
        <v>Consumer</v>
      </c>
      <c r="AJ556" t="s">
        <v>306</v>
      </c>
      <c r="AK556" t="str">
        <f t="shared" si="117"/>
        <v>Jharkhand</v>
      </c>
      <c r="AL556" t="str">
        <f t="shared" si="117"/>
        <v>Ranchi</v>
      </c>
      <c r="AM556" t="str">
        <f t="shared" si="117"/>
        <v>Furniture</v>
      </c>
      <c r="AN556" t="str">
        <f t="shared" si="117"/>
        <v>Furnishings</v>
      </c>
      <c r="AO556" t="str">
        <f t="shared" si="115"/>
        <v>Standard Class</v>
      </c>
      <c r="AP556" t="str">
        <f t="shared" si="116"/>
        <v>Paid</v>
      </c>
      <c r="AQ556" t="str">
        <f t="shared" si="116"/>
        <v>Completed</v>
      </c>
    </row>
    <row r="557" spans="1:43">
      <c r="A557" t="s">
        <v>2013</v>
      </c>
      <c r="B557" s="3">
        <v>45749</v>
      </c>
      <c r="C557" s="3">
        <v>45698</v>
      </c>
      <c r="D557" t="s">
        <v>2014</v>
      </c>
      <c r="E557" t="s">
        <v>148</v>
      </c>
      <c r="F557" t="s">
        <v>122</v>
      </c>
      <c r="G557" t="s">
        <v>140</v>
      </c>
      <c r="H557" t="s">
        <v>141</v>
      </c>
      <c r="I557" t="s">
        <v>142</v>
      </c>
      <c r="J557" t="s">
        <v>113</v>
      </c>
      <c r="K557" t="s">
        <v>213</v>
      </c>
      <c r="L557" t="s">
        <v>2015</v>
      </c>
      <c r="M557" t="s">
        <v>145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117</v>
      </c>
      <c r="U557" t="s">
        <v>118</v>
      </c>
      <c r="V557" s="2">
        <f t="shared" si="106"/>
        <v>0.05</v>
      </c>
      <c r="W557" s="2">
        <f t="shared" si="107"/>
        <v>5943.9599999999991</v>
      </c>
      <c r="X557" s="2">
        <f>W557-R557</f>
        <v>2339.8199999999993</v>
      </c>
      <c r="Y557" s="2">
        <f t="shared" si="108"/>
        <v>0.39364665980255581</v>
      </c>
      <c r="Z557" s="2">
        <f t="shared" si="109"/>
        <v>-51</v>
      </c>
      <c r="AA557" s="2">
        <f t="shared" si="110"/>
        <v>4</v>
      </c>
      <c r="AB557" s="2">
        <f t="shared" si="111"/>
        <v>2025</v>
      </c>
      <c r="AC557" s="2" t="str">
        <f t="shared" si="112"/>
        <v>Invalid shipping record</v>
      </c>
      <c r="AD557" s="2">
        <f t="shared" si="113"/>
        <v>0</v>
      </c>
      <c r="AE557" s="2">
        <f t="shared" si="114"/>
        <v>0</v>
      </c>
      <c r="AH557" t="str">
        <f t="shared" si="118"/>
        <v>Ananya Rao</v>
      </c>
      <c r="AI557" t="str">
        <f t="shared" si="118"/>
        <v>Small Business</v>
      </c>
      <c r="AJ557" t="str">
        <f t="shared" si="118"/>
        <v>South</v>
      </c>
      <c r="AK557" t="str">
        <f t="shared" si="117"/>
        <v>Telangana</v>
      </c>
      <c r="AL557" t="str">
        <f t="shared" si="117"/>
        <v>Hyderabad</v>
      </c>
      <c r="AM557" t="str">
        <f t="shared" si="117"/>
        <v>Office Supplies</v>
      </c>
      <c r="AN557" t="str">
        <f t="shared" si="117"/>
        <v>Storage</v>
      </c>
      <c r="AO557" t="str">
        <f t="shared" si="115"/>
        <v>Standard Class</v>
      </c>
      <c r="AP557" t="str">
        <f t="shared" si="116"/>
        <v>Paid</v>
      </c>
      <c r="AQ557" t="str">
        <f t="shared" si="116"/>
        <v>Completed</v>
      </c>
    </row>
    <row r="558" spans="1:43">
      <c r="A558" t="s">
        <v>2016</v>
      </c>
      <c r="B558" s="3">
        <v>45466</v>
      </c>
      <c r="C558" s="3">
        <v>45472</v>
      </c>
      <c r="D558" t="s">
        <v>2017</v>
      </c>
      <c r="E558" t="s">
        <v>165</v>
      </c>
      <c r="F558" t="s">
        <v>109</v>
      </c>
      <c r="G558" t="s">
        <v>110</v>
      </c>
      <c r="H558" t="s">
        <v>344</v>
      </c>
      <c r="I558" t="s">
        <v>345</v>
      </c>
      <c r="J558" t="s">
        <v>126</v>
      </c>
      <c r="K558" t="s">
        <v>127</v>
      </c>
      <c r="L558" t="s">
        <v>2018</v>
      </c>
      <c r="M558" t="s">
        <v>135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117</v>
      </c>
      <c r="U558" t="s">
        <v>190</v>
      </c>
      <c r="V558" s="2">
        <f t="shared" si="106"/>
        <v>0</v>
      </c>
      <c r="W558" s="2">
        <f t="shared" si="107"/>
        <v>4426.66</v>
      </c>
      <c r="X558" s="2">
        <f>W558-R558</f>
        <v>1391.46</v>
      </c>
      <c r="Y558" s="2">
        <f t="shared" si="108"/>
        <v>0.31433631677156143</v>
      </c>
      <c r="Z558" s="2">
        <f t="shared" si="109"/>
        <v>6</v>
      </c>
      <c r="AA558" s="2">
        <f t="shared" si="110"/>
        <v>6</v>
      </c>
      <c r="AB558" s="2">
        <f t="shared" si="111"/>
        <v>2024</v>
      </c>
      <c r="AC558" s="2" t="str">
        <f t="shared" si="112"/>
        <v>Valid</v>
      </c>
      <c r="AD558" s="2">
        <f t="shared" si="113"/>
        <v>0</v>
      </c>
      <c r="AE558" s="2">
        <f t="shared" si="114"/>
        <v>1</v>
      </c>
      <c r="AH558" t="str">
        <f t="shared" si="118"/>
        <v>Neha Gupta</v>
      </c>
      <c r="AI558" t="str">
        <f t="shared" si="118"/>
        <v>Consumer</v>
      </c>
      <c r="AJ558" t="str">
        <f t="shared" si="118"/>
        <v>North</v>
      </c>
      <c r="AK558" t="str">
        <f t="shared" si="117"/>
        <v>Haryana</v>
      </c>
      <c r="AL558" t="str">
        <f t="shared" si="117"/>
        <v>Gurugram</v>
      </c>
      <c r="AM558" t="str">
        <f t="shared" si="117"/>
        <v>Furniture</v>
      </c>
      <c r="AN558" t="str">
        <f t="shared" si="117"/>
        <v>Tables</v>
      </c>
      <c r="AO558" t="str">
        <f t="shared" si="115"/>
        <v>First Class</v>
      </c>
      <c r="AP558" t="str">
        <f t="shared" si="116"/>
        <v>Paid</v>
      </c>
      <c r="AQ558" t="str">
        <f t="shared" si="116"/>
        <v>Returned</v>
      </c>
    </row>
    <row r="559" spans="1:43">
      <c r="A559" t="s">
        <v>2019</v>
      </c>
      <c r="B559" s="3">
        <v>45420</v>
      </c>
      <c r="C559" s="3" t="s">
        <v>2020</v>
      </c>
      <c r="D559" t="s">
        <v>2021</v>
      </c>
      <c r="E559" t="s">
        <v>157</v>
      </c>
      <c r="F559" t="s">
        <v>182</v>
      </c>
      <c r="G559" t="s">
        <v>110</v>
      </c>
      <c r="H559" t="s">
        <v>344</v>
      </c>
      <c r="I559" t="s">
        <v>345</v>
      </c>
      <c r="J559" t="s">
        <v>160</v>
      </c>
      <c r="K559" t="s">
        <v>266</v>
      </c>
      <c r="L559" t="s">
        <v>2022</v>
      </c>
      <c r="M559" t="s">
        <v>135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117</v>
      </c>
      <c r="U559" t="s">
        <v>44</v>
      </c>
      <c r="V559" s="2">
        <f t="shared" si="106"/>
        <v>0.05</v>
      </c>
      <c r="W559" s="2">
        <f t="shared" si="107"/>
        <v>32228.882999999998</v>
      </c>
      <c r="X559" s="2">
        <f>W559-R559</f>
        <v>7257.5229999999974</v>
      </c>
      <c r="Y559" s="2">
        <f t="shared" si="108"/>
        <v>0.22518692317074712</v>
      </c>
      <c r="Z559" s="2" t="str">
        <f t="shared" si="109"/>
        <v/>
      </c>
      <c r="AA559" s="2">
        <f t="shared" si="110"/>
        <v>5</v>
      </c>
      <c r="AB559" s="2">
        <f t="shared" si="111"/>
        <v>2024</v>
      </c>
      <c r="AC559" s="2" t="str">
        <f t="shared" si="112"/>
        <v>Text Value Not Recognized as Date</v>
      </c>
      <c r="AD559" s="2">
        <f t="shared" si="113"/>
        <v>0</v>
      </c>
      <c r="AE559" s="2">
        <f t="shared" si="114"/>
        <v>0</v>
      </c>
      <c r="AH559" t="str">
        <f t="shared" si="118"/>
        <v>Vikram Iyer</v>
      </c>
      <c r="AI559" t="str">
        <f t="shared" si="118"/>
        <v>Home Office</v>
      </c>
      <c r="AJ559" t="str">
        <f t="shared" si="118"/>
        <v>North</v>
      </c>
      <c r="AK559" t="str">
        <f t="shared" si="117"/>
        <v>Haryana</v>
      </c>
      <c r="AL559" t="str">
        <f t="shared" si="117"/>
        <v>Gurugram</v>
      </c>
      <c r="AM559" t="str">
        <f t="shared" si="117"/>
        <v>Technology</v>
      </c>
      <c r="AN559" t="str">
        <f t="shared" si="117"/>
        <v>Phones</v>
      </c>
      <c r="AO559" t="str">
        <f t="shared" si="115"/>
        <v>First Class</v>
      </c>
      <c r="AP559" t="str">
        <f t="shared" si="116"/>
        <v>Paid</v>
      </c>
      <c r="AQ559" t="str">
        <f t="shared" si="116"/>
        <v>Cancelled</v>
      </c>
    </row>
    <row r="560" spans="1:43">
      <c r="A560" t="s">
        <v>2023</v>
      </c>
      <c r="B560" s="3">
        <v>45904</v>
      </c>
      <c r="C560" s="3">
        <v>45904</v>
      </c>
      <c r="D560" t="s">
        <v>2024</v>
      </c>
      <c r="E560" t="s">
        <v>176</v>
      </c>
      <c r="F560" t="s">
        <v>177</v>
      </c>
      <c r="G560" t="s">
        <v>110</v>
      </c>
      <c r="H560" t="s">
        <v>211</v>
      </c>
      <c r="I560" t="s">
        <v>212</v>
      </c>
      <c r="J560" t="s">
        <v>160</v>
      </c>
      <c r="K560" t="s">
        <v>385</v>
      </c>
      <c r="L560" t="s">
        <v>2025</v>
      </c>
      <c r="M560" t="s">
        <v>135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117</v>
      </c>
      <c r="U560" t="s">
        <v>118</v>
      </c>
      <c r="V560" s="2">
        <f t="shared" si="106"/>
        <v>0.2</v>
      </c>
      <c r="W560" s="2">
        <f t="shared" si="107"/>
        <v>19711.68</v>
      </c>
      <c r="X560" s="2">
        <f>W560-R560</f>
        <v>5249.880000000001</v>
      </c>
      <c r="Y560" s="2">
        <f t="shared" si="108"/>
        <v>0.26633346320557155</v>
      </c>
      <c r="Z560" s="2">
        <f t="shared" si="109"/>
        <v>0</v>
      </c>
      <c r="AA560" s="2">
        <f t="shared" si="110"/>
        <v>9</v>
      </c>
      <c r="AB560" s="2">
        <f t="shared" si="111"/>
        <v>2025</v>
      </c>
      <c r="AC560" s="2" t="str">
        <f t="shared" si="112"/>
        <v>Valid</v>
      </c>
      <c r="AD560" s="2">
        <f t="shared" si="113"/>
        <v>0</v>
      </c>
      <c r="AE560" s="2">
        <f t="shared" si="114"/>
        <v>0</v>
      </c>
      <c r="AH560" t="str">
        <f t="shared" si="118"/>
        <v>Aditi Sen</v>
      </c>
      <c r="AI560" t="str">
        <f t="shared" si="118"/>
        <v>Corporate</v>
      </c>
      <c r="AJ560" t="str">
        <f t="shared" si="118"/>
        <v>North</v>
      </c>
      <c r="AK560" t="str">
        <f t="shared" si="117"/>
        <v>Punjab</v>
      </c>
      <c r="AL560" t="str">
        <f t="shared" si="117"/>
        <v>Ludhiana</v>
      </c>
      <c r="AM560" t="str">
        <f t="shared" si="117"/>
        <v>Technology</v>
      </c>
      <c r="AN560" t="str">
        <f t="shared" si="117"/>
        <v>Machines</v>
      </c>
      <c r="AO560" t="str">
        <f t="shared" si="115"/>
        <v>First Class</v>
      </c>
      <c r="AP560" t="str">
        <f t="shared" si="116"/>
        <v>Paid</v>
      </c>
      <c r="AQ560" t="str">
        <f t="shared" si="116"/>
        <v>Completed</v>
      </c>
    </row>
    <row r="561" spans="1:43">
      <c r="A561" t="s">
        <v>2026</v>
      </c>
      <c r="B561" s="3">
        <v>45930</v>
      </c>
      <c r="C561" s="3">
        <v>45937</v>
      </c>
      <c r="D561" t="s">
        <v>2027</v>
      </c>
      <c r="E561" t="s">
        <v>256</v>
      </c>
      <c r="F561" t="s">
        <v>177</v>
      </c>
      <c r="G561" t="s">
        <v>123</v>
      </c>
      <c r="H561" t="s">
        <v>237</v>
      </c>
      <c r="I561" t="s">
        <v>238</v>
      </c>
      <c r="J561" t="s">
        <v>160</v>
      </c>
      <c r="K561" t="s">
        <v>166</v>
      </c>
      <c r="L561" t="s">
        <v>2028</v>
      </c>
      <c r="M561" t="s">
        <v>116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117</v>
      </c>
      <c r="U561" t="s">
        <v>190</v>
      </c>
      <c r="V561" s="2">
        <f t="shared" si="106"/>
        <v>0.1</v>
      </c>
      <c r="W561" s="2">
        <f t="shared" si="107"/>
        <v>14750.190000000002</v>
      </c>
      <c r="X561" s="2">
        <f>W561-R561</f>
        <v>5267.6100000000024</v>
      </c>
      <c r="Y561" s="2">
        <f t="shared" si="108"/>
        <v>0.35712150148574368</v>
      </c>
      <c r="Z561" s="2">
        <f t="shared" si="109"/>
        <v>7</v>
      </c>
      <c r="AA561" s="2">
        <f t="shared" si="110"/>
        <v>9</v>
      </c>
      <c r="AB561" s="2">
        <f t="shared" si="111"/>
        <v>2025</v>
      </c>
      <c r="AC561" s="2" t="str">
        <f t="shared" si="112"/>
        <v>Valid</v>
      </c>
      <c r="AD561" s="2">
        <f t="shared" si="113"/>
        <v>0</v>
      </c>
      <c r="AE561" s="2">
        <f t="shared" si="114"/>
        <v>0</v>
      </c>
      <c r="AH561" t="str">
        <f t="shared" si="118"/>
        <v>Diya Patel</v>
      </c>
      <c r="AI561" t="str">
        <f t="shared" si="118"/>
        <v>Corporate</v>
      </c>
      <c r="AJ561" t="str">
        <f t="shared" si="118"/>
        <v>East</v>
      </c>
      <c r="AK561" t="str">
        <f t="shared" si="117"/>
        <v>Bihar</v>
      </c>
      <c r="AL561" t="str">
        <f t="shared" si="117"/>
        <v>Patna</v>
      </c>
      <c r="AM561" t="str">
        <f t="shared" si="117"/>
        <v>Technology</v>
      </c>
      <c r="AN561" t="str">
        <f t="shared" si="117"/>
        <v>Copiers</v>
      </c>
      <c r="AO561" t="str">
        <f t="shared" si="115"/>
        <v>Second Class</v>
      </c>
      <c r="AP561" t="str">
        <f t="shared" si="116"/>
        <v>Paid</v>
      </c>
      <c r="AQ561" t="str">
        <f t="shared" si="116"/>
        <v>Returned</v>
      </c>
    </row>
    <row r="562" spans="1:43">
      <c r="A562" t="s">
        <v>2029</v>
      </c>
      <c r="B562" s="3">
        <v>45307</v>
      </c>
      <c r="C562" s="3" t="s">
        <v>852</v>
      </c>
      <c r="D562" t="s">
        <v>2030</v>
      </c>
      <c r="E562" t="s">
        <v>139</v>
      </c>
      <c r="F562" t="s">
        <v>109</v>
      </c>
      <c r="G562" t="s">
        <v>149</v>
      </c>
      <c r="H562" t="s">
        <v>287</v>
      </c>
      <c r="I562" t="s">
        <v>288</v>
      </c>
      <c r="J562" t="s">
        <v>113</v>
      </c>
      <c r="K562" t="s">
        <v>213</v>
      </c>
      <c r="L562" t="s">
        <v>2031</v>
      </c>
      <c r="M562" t="s">
        <v>145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117</v>
      </c>
      <c r="U562" t="s">
        <v>44</v>
      </c>
      <c r="V562" s="2">
        <f t="shared" si="106"/>
        <v>0</v>
      </c>
      <c r="W562" s="2">
        <f t="shared" si="107"/>
        <v>1130.1199999999999</v>
      </c>
      <c r="X562" s="2">
        <f>W562-R562</f>
        <v>281.49999999999989</v>
      </c>
      <c r="Y562" s="2">
        <f t="shared" si="108"/>
        <v>0.249088592361873</v>
      </c>
      <c r="Z562" s="2" t="str">
        <f t="shared" si="109"/>
        <v/>
      </c>
      <c r="AA562" s="2">
        <f t="shared" si="110"/>
        <v>1</v>
      </c>
      <c r="AB562" s="2">
        <f t="shared" si="111"/>
        <v>2024</v>
      </c>
      <c r="AC562" s="2" t="str">
        <f t="shared" si="112"/>
        <v>Text Value Not Recognized as Date</v>
      </c>
      <c r="AD562" s="2">
        <f t="shared" si="113"/>
        <v>0</v>
      </c>
      <c r="AE562" s="2">
        <f t="shared" si="114"/>
        <v>0</v>
      </c>
      <c r="AH562" t="str">
        <f t="shared" si="118"/>
        <v>Arjun Bose</v>
      </c>
      <c r="AI562" t="str">
        <f t="shared" si="118"/>
        <v>Consumer</v>
      </c>
      <c r="AJ562" t="str">
        <f t="shared" si="118"/>
        <v>West</v>
      </c>
      <c r="AK562" t="str">
        <f t="shared" si="117"/>
        <v>Goa</v>
      </c>
      <c r="AL562" t="str">
        <f t="shared" si="117"/>
        <v>Panaji</v>
      </c>
      <c r="AM562" t="str">
        <f t="shared" si="117"/>
        <v>Office Supplies</v>
      </c>
      <c r="AN562" t="str">
        <f t="shared" si="117"/>
        <v>Storage</v>
      </c>
      <c r="AO562" t="str">
        <f t="shared" si="115"/>
        <v>Standard Class</v>
      </c>
      <c r="AP562" t="str">
        <f t="shared" si="116"/>
        <v>Paid</v>
      </c>
      <c r="AQ562" t="str">
        <f t="shared" si="116"/>
        <v>Cancelled</v>
      </c>
    </row>
    <row r="563" spans="1:43">
      <c r="A563" t="s">
        <v>2032</v>
      </c>
      <c r="B563" s="3">
        <v>45852</v>
      </c>
      <c r="C563" s="3">
        <v>45856</v>
      </c>
      <c r="D563" t="s">
        <v>2033</v>
      </c>
      <c r="E563" t="s">
        <v>176</v>
      </c>
      <c r="F563" t="s">
        <v>109</v>
      </c>
      <c r="G563" t="s">
        <v>110</v>
      </c>
      <c r="H563" t="s">
        <v>211</v>
      </c>
      <c r="I563" t="s">
        <v>212</v>
      </c>
      <c r="J563" t="s">
        <v>160</v>
      </c>
      <c r="K563" t="s">
        <v>166</v>
      </c>
      <c r="L563" t="s">
        <v>2034</v>
      </c>
      <c r="M563" t="s">
        <v>135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199</v>
      </c>
      <c r="U563" t="s">
        <v>190</v>
      </c>
      <c r="V563" s="2">
        <f t="shared" si="106"/>
        <v>0</v>
      </c>
      <c r="W563" s="2">
        <f t="shared" si="107"/>
        <v>2900.88</v>
      </c>
      <c r="X563" s="2">
        <f>W563-R563</f>
        <v>509.0300000000002</v>
      </c>
      <c r="Y563" s="2">
        <f t="shared" si="108"/>
        <v>0.17547433882132324</v>
      </c>
      <c r="Z563" s="2">
        <f t="shared" si="109"/>
        <v>4</v>
      </c>
      <c r="AA563" s="2">
        <f t="shared" si="110"/>
        <v>7</v>
      </c>
      <c r="AB563" s="2">
        <f t="shared" si="111"/>
        <v>2025</v>
      </c>
      <c r="AC563" s="2" t="str">
        <f t="shared" si="112"/>
        <v>Valid</v>
      </c>
      <c r="AD563" s="2">
        <f t="shared" si="113"/>
        <v>0</v>
      </c>
      <c r="AE563" s="2">
        <f t="shared" si="114"/>
        <v>0</v>
      </c>
      <c r="AH563" t="str">
        <f t="shared" si="118"/>
        <v>Aditi Sen</v>
      </c>
      <c r="AI563" t="str">
        <f t="shared" si="118"/>
        <v>Consumer</v>
      </c>
      <c r="AJ563" t="str">
        <f t="shared" si="118"/>
        <v>North</v>
      </c>
      <c r="AK563" t="str">
        <f t="shared" si="117"/>
        <v>Punjab</v>
      </c>
      <c r="AL563" t="str">
        <f t="shared" si="117"/>
        <v>Ludhiana</v>
      </c>
      <c r="AM563" t="str">
        <f t="shared" si="117"/>
        <v>Technology</v>
      </c>
      <c r="AN563" t="str">
        <f t="shared" si="117"/>
        <v>Copiers</v>
      </c>
      <c r="AO563" t="str">
        <f t="shared" si="115"/>
        <v>First Class</v>
      </c>
      <c r="AP563" t="str">
        <f t="shared" si="116"/>
        <v>Pending</v>
      </c>
      <c r="AQ563" t="str">
        <f t="shared" si="116"/>
        <v>Returned</v>
      </c>
    </row>
    <row r="564" spans="1:43">
      <c r="A564" t="s">
        <v>2035</v>
      </c>
      <c r="B564" s="3">
        <v>45422</v>
      </c>
      <c r="C564" s="3">
        <v>45428</v>
      </c>
      <c r="D564" t="s">
        <v>2036</v>
      </c>
      <c r="E564" t="s">
        <v>108</v>
      </c>
      <c r="F564" t="s">
        <v>109</v>
      </c>
      <c r="G564" t="s">
        <v>110</v>
      </c>
      <c r="H564" t="s">
        <v>211</v>
      </c>
      <c r="I564" t="s">
        <v>212</v>
      </c>
      <c r="J564" t="s">
        <v>113</v>
      </c>
      <c r="K564" t="s">
        <v>246</v>
      </c>
      <c r="L564" t="s">
        <v>2037</v>
      </c>
      <c r="M564" t="s">
        <v>129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248</v>
      </c>
      <c r="U564" t="s">
        <v>190</v>
      </c>
      <c r="V564" s="2">
        <f t="shared" si="106"/>
        <v>0.2</v>
      </c>
      <c r="W564" s="2">
        <f t="shared" si="107"/>
        <v>680.62400000000014</v>
      </c>
      <c r="X564" s="2">
        <f>W564-R564</f>
        <v>217.13400000000013</v>
      </c>
      <c r="Y564" s="2">
        <f t="shared" si="108"/>
        <v>0.31902195632243363</v>
      </c>
      <c r="Z564" s="2">
        <f t="shared" si="109"/>
        <v>6</v>
      </c>
      <c r="AA564" s="2">
        <f t="shared" si="110"/>
        <v>5</v>
      </c>
      <c r="AB564" s="2">
        <f t="shared" si="111"/>
        <v>2024</v>
      </c>
      <c r="AC564" s="2" t="str">
        <f t="shared" si="112"/>
        <v>Valid</v>
      </c>
      <c r="AD564" s="2">
        <f t="shared" si="113"/>
        <v>0</v>
      </c>
      <c r="AE564" s="2">
        <f t="shared" si="114"/>
        <v>0</v>
      </c>
      <c r="AH564" t="str">
        <f t="shared" si="118"/>
        <v>Karan Malhotra</v>
      </c>
      <c r="AI564" t="str">
        <f t="shared" si="118"/>
        <v>Consumer</v>
      </c>
      <c r="AJ564" t="str">
        <f t="shared" si="118"/>
        <v>North</v>
      </c>
      <c r="AK564" t="str">
        <f t="shared" si="117"/>
        <v>Punjab</v>
      </c>
      <c r="AL564" t="str">
        <f t="shared" si="117"/>
        <v>Ludhiana</v>
      </c>
      <c r="AM564" t="str">
        <f t="shared" si="117"/>
        <v>Office Supplies</v>
      </c>
      <c r="AN564" t="str">
        <f t="shared" si="117"/>
        <v>Binders</v>
      </c>
      <c r="AO564" t="str">
        <f t="shared" si="115"/>
        <v>Same Day</v>
      </c>
      <c r="AP564" t="str">
        <f t="shared" si="116"/>
        <v>Failed</v>
      </c>
      <c r="AQ564" t="str">
        <f t="shared" si="116"/>
        <v>Returned</v>
      </c>
    </row>
    <row r="565" spans="1:43">
      <c r="A565" t="s">
        <v>2038</v>
      </c>
      <c r="B565" s="3">
        <v>45418</v>
      </c>
      <c r="C565" s="3">
        <v>45631</v>
      </c>
      <c r="D565" t="s">
        <v>2039</v>
      </c>
      <c r="E565" t="s">
        <v>139</v>
      </c>
      <c r="F565" t="s">
        <v>177</v>
      </c>
      <c r="G565" t="s">
        <v>149</v>
      </c>
      <c r="H565" t="s">
        <v>287</v>
      </c>
      <c r="I565" t="s">
        <v>288</v>
      </c>
      <c r="J565" t="s">
        <v>126</v>
      </c>
      <c r="K565" t="s">
        <v>127</v>
      </c>
      <c r="L565" t="s">
        <v>2040</v>
      </c>
      <c r="M565" t="s">
        <v>145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199</v>
      </c>
      <c r="U565" t="s">
        <v>44</v>
      </c>
      <c r="V565" s="2">
        <f t="shared" si="106"/>
        <v>0.2</v>
      </c>
      <c r="W565" s="2">
        <f t="shared" si="107"/>
        <v>5694.9840000000004</v>
      </c>
      <c r="X565" s="2">
        <f>W565-R565</f>
        <v>1076.6540000000005</v>
      </c>
      <c r="Y565" s="2">
        <f t="shared" si="108"/>
        <v>0.1890530333360024</v>
      </c>
      <c r="Z565" s="2">
        <f t="shared" si="109"/>
        <v>213</v>
      </c>
      <c r="AA565" s="2">
        <f t="shared" si="110"/>
        <v>5</v>
      </c>
      <c r="AB565" s="2">
        <f t="shared" si="111"/>
        <v>2024</v>
      </c>
      <c r="AC565" s="2" t="str">
        <f t="shared" si="112"/>
        <v>Valid</v>
      </c>
      <c r="AD565" s="2">
        <f t="shared" si="113"/>
        <v>0</v>
      </c>
      <c r="AE565" s="2">
        <f t="shared" si="114"/>
        <v>0</v>
      </c>
      <c r="AH565" t="str">
        <f t="shared" si="118"/>
        <v>Arjun Bose</v>
      </c>
      <c r="AI565" t="str">
        <f t="shared" si="118"/>
        <v>Corporate</v>
      </c>
      <c r="AJ565" t="str">
        <f t="shared" si="118"/>
        <v>West</v>
      </c>
      <c r="AK565" t="str">
        <f t="shared" si="117"/>
        <v>Goa</v>
      </c>
      <c r="AL565" t="str">
        <f t="shared" si="117"/>
        <v>Panaji</v>
      </c>
      <c r="AM565" t="str">
        <f t="shared" si="117"/>
        <v>Furniture</v>
      </c>
      <c r="AN565" t="str">
        <f t="shared" si="117"/>
        <v>Tables</v>
      </c>
      <c r="AO565" t="str">
        <f t="shared" si="115"/>
        <v>Standard Class</v>
      </c>
      <c r="AP565" t="str">
        <f t="shared" si="116"/>
        <v>Pending</v>
      </c>
      <c r="AQ565" t="str">
        <f t="shared" si="116"/>
        <v>Cancelled</v>
      </c>
    </row>
    <row r="566" spans="1:43">
      <c r="A566" t="s">
        <v>2041</v>
      </c>
      <c r="B566" s="3">
        <v>45606</v>
      </c>
      <c r="C566" s="3" t="s">
        <v>2042</v>
      </c>
      <c r="D566" t="s">
        <v>2043</v>
      </c>
      <c r="E566" t="s">
        <v>222</v>
      </c>
      <c r="F566" t="s">
        <v>177</v>
      </c>
      <c r="G566" t="s">
        <v>140</v>
      </c>
      <c r="H566" t="s">
        <v>171</v>
      </c>
      <c r="I566" t="s">
        <v>172</v>
      </c>
      <c r="J566" t="s">
        <v>126</v>
      </c>
      <c r="K566" t="s">
        <v>127</v>
      </c>
      <c r="L566" t="s">
        <v>2044</v>
      </c>
      <c r="M566" t="s">
        <v>135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117</v>
      </c>
      <c r="U566" t="s">
        <v>118</v>
      </c>
      <c r="V566" s="2">
        <f t="shared" si="106"/>
        <v>0.2</v>
      </c>
      <c r="W566" s="2">
        <f t="shared" si="107"/>
        <v>1474.1440000000002</v>
      </c>
      <c r="X566" s="2">
        <f>W566-R566</f>
        <v>505.6840000000002</v>
      </c>
      <c r="Y566" s="2">
        <f t="shared" si="108"/>
        <v>0.34303568715132315</v>
      </c>
      <c r="Z566" s="2" t="str">
        <f t="shared" si="109"/>
        <v/>
      </c>
      <c r="AA566" s="2">
        <f t="shared" si="110"/>
        <v>11</v>
      </c>
      <c r="AB566" s="2">
        <f t="shared" si="111"/>
        <v>2024</v>
      </c>
      <c r="AC566" s="2" t="str">
        <f t="shared" si="112"/>
        <v>Text Value Not Recognized as Date</v>
      </c>
      <c r="AD566" s="2">
        <f t="shared" si="113"/>
        <v>0</v>
      </c>
      <c r="AE566" s="2">
        <f t="shared" si="114"/>
        <v>0</v>
      </c>
      <c r="AH566" t="str">
        <f t="shared" si="118"/>
        <v>Sneha Kapoor</v>
      </c>
      <c r="AI566" t="str">
        <f t="shared" si="118"/>
        <v>Corporate</v>
      </c>
      <c r="AJ566" t="str">
        <f t="shared" si="118"/>
        <v>South</v>
      </c>
      <c r="AK566" t="str">
        <f t="shared" si="117"/>
        <v>Andhra Pradesh</v>
      </c>
      <c r="AL566" t="str">
        <f t="shared" si="117"/>
        <v>Vijayawada</v>
      </c>
      <c r="AM566" t="str">
        <f t="shared" si="117"/>
        <v>Furniture</v>
      </c>
      <c r="AN566" t="str">
        <f t="shared" si="117"/>
        <v>Tables</v>
      </c>
      <c r="AO566" t="str">
        <f t="shared" si="115"/>
        <v>First Class</v>
      </c>
      <c r="AP566" t="str">
        <f t="shared" si="116"/>
        <v>Paid</v>
      </c>
      <c r="AQ566" t="str">
        <f t="shared" si="116"/>
        <v>Completed</v>
      </c>
    </row>
    <row r="567" spans="1:43">
      <c r="A567" t="s">
        <v>2045</v>
      </c>
      <c r="B567" s="3">
        <v>45876</v>
      </c>
      <c r="C567" s="3" t="s">
        <v>280</v>
      </c>
      <c r="D567" t="s">
        <v>2046</v>
      </c>
      <c r="E567" t="s">
        <v>121</v>
      </c>
      <c r="F567" t="s">
        <v>177</v>
      </c>
      <c r="G567" t="s">
        <v>110</v>
      </c>
      <c r="H567" t="s">
        <v>465</v>
      </c>
      <c r="I567" t="s">
        <v>466</v>
      </c>
      <c r="J567" t="s">
        <v>160</v>
      </c>
      <c r="K567" t="s">
        <v>266</v>
      </c>
      <c r="L567" t="s">
        <v>2047</v>
      </c>
      <c r="M567" t="s">
        <v>145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189</v>
      </c>
      <c r="U567" t="s">
        <v>44</v>
      </c>
      <c r="V567" s="2">
        <f t="shared" si="106"/>
        <v>0.2</v>
      </c>
      <c r="W567" s="2">
        <f t="shared" si="107"/>
        <v>9224.9279999999999</v>
      </c>
      <c r="X567" s="2">
        <f>W567-R567</f>
        <v>2219.7280000000001</v>
      </c>
      <c r="Y567" s="2">
        <f t="shared" si="108"/>
        <v>0.24062279944081949</v>
      </c>
      <c r="Z567" s="2" t="str">
        <f t="shared" si="109"/>
        <v/>
      </c>
      <c r="AA567" s="2">
        <f t="shared" si="110"/>
        <v>8</v>
      </c>
      <c r="AB567" s="2">
        <f t="shared" si="111"/>
        <v>2025</v>
      </c>
      <c r="AC567" s="2" t="str">
        <f t="shared" si="112"/>
        <v>Text Value Not Recognized as Date</v>
      </c>
      <c r="AD567" s="2">
        <f t="shared" si="113"/>
        <v>0</v>
      </c>
      <c r="AE567" s="2">
        <f t="shared" si="114"/>
        <v>0</v>
      </c>
      <c r="AH567" t="str">
        <f t="shared" si="118"/>
        <v>Mira Das</v>
      </c>
      <c r="AI567" t="str">
        <f t="shared" si="118"/>
        <v>Corporate</v>
      </c>
      <c r="AJ567" t="str">
        <f t="shared" si="118"/>
        <v>North</v>
      </c>
      <c r="AK567" t="str">
        <f t="shared" si="117"/>
        <v>Delhi</v>
      </c>
      <c r="AL567" t="str">
        <f t="shared" si="117"/>
        <v>New Delhi</v>
      </c>
      <c r="AM567" t="str">
        <f t="shared" si="117"/>
        <v>Technology</v>
      </c>
      <c r="AN567" t="str">
        <f t="shared" si="117"/>
        <v>Phones</v>
      </c>
      <c r="AO567" t="str">
        <f t="shared" si="115"/>
        <v>Standard Class</v>
      </c>
      <c r="AP567" t="str">
        <f t="shared" si="116"/>
        <v>Refunded</v>
      </c>
      <c r="AQ567" t="str">
        <f t="shared" si="116"/>
        <v>Cancelled</v>
      </c>
    </row>
    <row r="568" spans="1:43">
      <c r="A568" t="s">
        <v>2048</v>
      </c>
      <c r="B568" s="3">
        <v>45515</v>
      </c>
      <c r="C568" s="3">
        <v>45523</v>
      </c>
      <c r="D568" t="s">
        <v>2049</v>
      </c>
      <c r="E568" t="s">
        <v>222</v>
      </c>
      <c r="F568" t="s">
        <v>122</v>
      </c>
      <c r="G568" t="s">
        <v>149</v>
      </c>
      <c r="H568" t="s">
        <v>150</v>
      </c>
      <c r="I568" t="s">
        <v>151</v>
      </c>
      <c r="J568" t="s">
        <v>113</v>
      </c>
      <c r="K568" t="s">
        <v>114</v>
      </c>
      <c r="L568" t="s">
        <v>2050</v>
      </c>
      <c r="M568" t="s">
        <v>129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248</v>
      </c>
      <c r="U568" t="s">
        <v>190</v>
      </c>
      <c r="V568" s="2">
        <f t="shared" si="106"/>
        <v>0.1</v>
      </c>
      <c r="W568" s="2">
        <f t="shared" si="107"/>
        <v>4712.2020000000002</v>
      </c>
      <c r="X568" s="2">
        <f>W568-R568</f>
        <v>860.29200000000037</v>
      </c>
      <c r="Y568" s="2">
        <f t="shared" si="108"/>
        <v>0.18256687637754077</v>
      </c>
      <c r="Z568" s="2">
        <f t="shared" si="109"/>
        <v>8</v>
      </c>
      <c r="AA568" s="2">
        <f t="shared" si="110"/>
        <v>8</v>
      </c>
      <c r="AB568" s="2">
        <f t="shared" si="111"/>
        <v>2024</v>
      </c>
      <c r="AC568" s="2" t="str">
        <f t="shared" si="112"/>
        <v>Valid</v>
      </c>
      <c r="AD568" s="2">
        <f t="shared" si="113"/>
        <v>0</v>
      </c>
      <c r="AE568" s="2">
        <f t="shared" si="114"/>
        <v>0</v>
      </c>
      <c r="AH568" t="str">
        <f t="shared" si="118"/>
        <v>Sneha Kapoor</v>
      </c>
      <c r="AI568" t="str">
        <f t="shared" si="118"/>
        <v>Small Business</v>
      </c>
      <c r="AJ568" t="str">
        <f t="shared" si="118"/>
        <v>West</v>
      </c>
      <c r="AK568" t="str">
        <f t="shared" si="117"/>
        <v>Maharashtra</v>
      </c>
      <c r="AL568" t="str">
        <f t="shared" si="117"/>
        <v>Mumbai</v>
      </c>
      <c r="AM568" t="str">
        <f t="shared" si="117"/>
        <v>Office Supplies</v>
      </c>
      <c r="AN568" t="str">
        <f t="shared" si="117"/>
        <v>Paper</v>
      </c>
      <c r="AO568" t="str">
        <f t="shared" si="115"/>
        <v>Same Day</v>
      </c>
      <c r="AP568" t="str">
        <f t="shared" si="116"/>
        <v>Failed</v>
      </c>
      <c r="AQ568" t="str">
        <f t="shared" si="116"/>
        <v>Returned</v>
      </c>
    </row>
    <row r="569" spans="1:43">
      <c r="A569" t="s">
        <v>2051</v>
      </c>
      <c r="B569" s="3">
        <v>45328</v>
      </c>
      <c r="C569" s="3">
        <v>45567</v>
      </c>
      <c r="D569" t="s">
        <v>2052</v>
      </c>
      <c r="E569" t="s">
        <v>139</v>
      </c>
      <c r="F569" t="s">
        <v>182</v>
      </c>
      <c r="G569" t="s">
        <v>110</v>
      </c>
      <c r="H569" t="s">
        <v>227</v>
      </c>
      <c r="I569" t="s">
        <v>228</v>
      </c>
      <c r="J569" t="s">
        <v>126</v>
      </c>
      <c r="K569" t="s">
        <v>143</v>
      </c>
      <c r="L569" t="s">
        <v>739</v>
      </c>
      <c r="M569" t="s">
        <v>129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117</v>
      </c>
      <c r="U569" t="s">
        <v>118</v>
      </c>
      <c r="V569" s="2">
        <f t="shared" si="106"/>
        <v>0.05</v>
      </c>
      <c r="W569" s="2">
        <f t="shared" si="107"/>
        <v>1305.357</v>
      </c>
      <c r="X569" s="2">
        <f>W569-R569</f>
        <v>573.46699999999998</v>
      </c>
      <c r="Y569" s="2">
        <f t="shared" si="108"/>
        <v>0.4393181328939133</v>
      </c>
      <c r="Z569" s="2">
        <f t="shared" si="109"/>
        <v>239</v>
      </c>
      <c r="AA569" s="2">
        <f t="shared" si="110"/>
        <v>2</v>
      </c>
      <c r="AB569" s="2">
        <f t="shared" si="111"/>
        <v>2024</v>
      </c>
      <c r="AC569" s="2" t="str">
        <f t="shared" si="112"/>
        <v>Valid</v>
      </c>
      <c r="AD569" s="2">
        <f t="shared" si="113"/>
        <v>0</v>
      </c>
      <c r="AE569" s="2">
        <f t="shared" si="114"/>
        <v>0</v>
      </c>
      <c r="AH569" t="str">
        <f t="shared" si="118"/>
        <v>Arjun Bose</v>
      </c>
      <c r="AI569" t="str">
        <f t="shared" si="118"/>
        <v>Home Office</v>
      </c>
      <c r="AJ569" t="str">
        <f t="shared" si="118"/>
        <v>North</v>
      </c>
      <c r="AK569" t="str">
        <f t="shared" si="117"/>
        <v>Uttar Pradesh</v>
      </c>
      <c r="AL569" t="str">
        <f t="shared" si="117"/>
        <v>Noida</v>
      </c>
      <c r="AM569" t="str">
        <f t="shared" si="117"/>
        <v>Furniture</v>
      </c>
      <c r="AN569" t="str">
        <f t="shared" si="117"/>
        <v>Furnishings</v>
      </c>
      <c r="AO569" t="str">
        <f t="shared" si="115"/>
        <v>Same Day</v>
      </c>
      <c r="AP569" t="str">
        <f t="shared" si="116"/>
        <v>Paid</v>
      </c>
      <c r="AQ569" t="str">
        <f t="shared" si="116"/>
        <v>Completed</v>
      </c>
    </row>
    <row r="570" spans="1:43">
      <c r="A570" t="s">
        <v>2053</v>
      </c>
      <c r="B570" s="3">
        <v>45312</v>
      </c>
      <c r="C570" s="3">
        <v>45315</v>
      </c>
      <c r="D570" t="s">
        <v>2054</v>
      </c>
      <c r="E570" t="s">
        <v>375</v>
      </c>
      <c r="F570" t="s">
        <v>177</v>
      </c>
      <c r="G570" t="s">
        <v>110</v>
      </c>
      <c r="H570" t="s">
        <v>211</v>
      </c>
      <c r="I570" t="s">
        <v>212</v>
      </c>
      <c r="J570" t="s">
        <v>160</v>
      </c>
      <c r="K570" t="s">
        <v>385</v>
      </c>
      <c r="L570" t="s">
        <v>2055</v>
      </c>
      <c r="M570" t="s">
        <v>129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117</v>
      </c>
      <c r="U570" t="s">
        <v>118</v>
      </c>
      <c r="V570" s="2">
        <f t="shared" si="106"/>
        <v>0.25</v>
      </c>
      <c r="W570" s="2">
        <f t="shared" si="107"/>
        <v>2854.7250000000004</v>
      </c>
      <c r="X570" s="2">
        <f>W570-R570</f>
        <v>886.60500000000047</v>
      </c>
      <c r="Y570" s="2">
        <f t="shared" si="108"/>
        <v>0.31057457373302172</v>
      </c>
      <c r="Z570" s="2">
        <f t="shared" si="109"/>
        <v>3</v>
      </c>
      <c r="AA570" s="2">
        <f t="shared" si="110"/>
        <v>1</v>
      </c>
      <c r="AB570" s="2">
        <f t="shared" si="111"/>
        <v>2024</v>
      </c>
      <c r="AC570" s="2" t="str">
        <f t="shared" si="112"/>
        <v>Valid</v>
      </c>
      <c r="AD570" s="2">
        <f t="shared" si="113"/>
        <v>0</v>
      </c>
      <c r="AE570" s="2">
        <f t="shared" si="114"/>
        <v>0</v>
      </c>
      <c r="AH570" t="str">
        <f t="shared" si="118"/>
        <v>Kabir Singh</v>
      </c>
      <c r="AI570" t="str">
        <f t="shared" si="118"/>
        <v>Corporate</v>
      </c>
      <c r="AJ570" t="str">
        <f t="shared" si="118"/>
        <v>North</v>
      </c>
      <c r="AK570" t="str">
        <f t="shared" si="117"/>
        <v>Punjab</v>
      </c>
      <c r="AL570" t="str">
        <f t="shared" si="117"/>
        <v>Ludhiana</v>
      </c>
      <c r="AM570" t="str">
        <f t="shared" si="117"/>
        <v>Technology</v>
      </c>
      <c r="AN570" t="str">
        <f t="shared" si="117"/>
        <v>Machines</v>
      </c>
      <c r="AO570" t="str">
        <f t="shared" si="115"/>
        <v>Same Day</v>
      </c>
      <c r="AP570" t="str">
        <f t="shared" si="116"/>
        <v>Paid</v>
      </c>
      <c r="AQ570" t="str">
        <f t="shared" si="116"/>
        <v>Completed</v>
      </c>
    </row>
    <row r="571" spans="1:43">
      <c r="A571" t="s">
        <v>2056</v>
      </c>
      <c r="B571" s="3">
        <v>45908</v>
      </c>
      <c r="C571" s="3">
        <v>45910</v>
      </c>
      <c r="D571" t="s">
        <v>2057</v>
      </c>
      <c r="E571" t="s">
        <v>207</v>
      </c>
      <c r="F571" t="s">
        <v>182</v>
      </c>
      <c r="G571" t="s">
        <v>149</v>
      </c>
      <c r="H571" t="s">
        <v>150</v>
      </c>
      <c r="I571" t="s">
        <v>151</v>
      </c>
      <c r="J571" t="s">
        <v>126</v>
      </c>
      <c r="K571" t="s">
        <v>143</v>
      </c>
      <c r="L571" t="s">
        <v>2058</v>
      </c>
      <c r="M571" t="s">
        <v>145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189</v>
      </c>
      <c r="U571" t="s">
        <v>190</v>
      </c>
      <c r="V571" s="2">
        <f t="shared" si="106"/>
        <v>0.25</v>
      </c>
      <c r="W571" s="2">
        <f t="shared" si="107"/>
        <v>14630.264999999999</v>
      </c>
      <c r="X571" s="2">
        <f>W571-R571</f>
        <v>2723.9049999999988</v>
      </c>
      <c r="Y571" s="2">
        <f t="shared" si="108"/>
        <v>0.18618288868998606</v>
      </c>
      <c r="Z571" s="2">
        <f t="shared" si="109"/>
        <v>2</v>
      </c>
      <c r="AA571" s="2">
        <f t="shared" si="110"/>
        <v>9</v>
      </c>
      <c r="AB571" s="2">
        <f t="shared" si="111"/>
        <v>2025</v>
      </c>
      <c r="AC571" s="2" t="str">
        <f t="shared" si="112"/>
        <v>Valid</v>
      </c>
      <c r="AD571" s="2">
        <f t="shared" si="113"/>
        <v>0</v>
      </c>
      <c r="AE571" s="2">
        <f t="shared" si="114"/>
        <v>0</v>
      </c>
      <c r="AH571" t="str">
        <f t="shared" si="118"/>
        <v>Rahul Verma</v>
      </c>
      <c r="AI571" t="str">
        <f t="shared" si="118"/>
        <v>Home Office</v>
      </c>
      <c r="AJ571" t="str">
        <f t="shared" si="118"/>
        <v>West</v>
      </c>
      <c r="AK571" t="str">
        <f t="shared" si="117"/>
        <v>Maharashtra</v>
      </c>
      <c r="AL571" t="str">
        <f t="shared" si="117"/>
        <v>Mumbai</v>
      </c>
      <c r="AM571" t="str">
        <f t="shared" si="117"/>
        <v>Furniture</v>
      </c>
      <c r="AN571" t="str">
        <f t="shared" si="117"/>
        <v>Furnishings</v>
      </c>
      <c r="AO571" t="str">
        <f t="shared" si="115"/>
        <v>Standard Class</v>
      </c>
      <c r="AP571" t="str">
        <f t="shared" si="116"/>
        <v>Refunded</v>
      </c>
      <c r="AQ571" t="str">
        <f t="shared" si="116"/>
        <v>Returned</v>
      </c>
    </row>
    <row r="572" spans="1:43">
      <c r="A572" t="s">
        <v>2059</v>
      </c>
      <c r="B572" s="3">
        <v>45887</v>
      </c>
      <c r="C572" s="3">
        <v>45891</v>
      </c>
      <c r="D572" t="s">
        <v>2060</v>
      </c>
      <c r="E572" t="s">
        <v>139</v>
      </c>
      <c r="F572" t="s">
        <v>109</v>
      </c>
      <c r="G572" t="s">
        <v>123</v>
      </c>
      <c r="H572" t="s">
        <v>335</v>
      </c>
      <c r="I572" t="s">
        <v>336</v>
      </c>
      <c r="J572" t="s">
        <v>126</v>
      </c>
      <c r="K572" t="s">
        <v>143</v>
      </c>
      <c r="L572" t="s">
        <v>2061</v>
      </c>
      <c r="M572" t="s">
        <v>116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248</v>
      </c>
      <c r="U572" t="s">
        <v>190</v>
      </c>
      <c r="V572" s="2">
        <f t="shared" si="106"/>
        <v>0.25</v>
      </c>
      <c r="W572" s="2">
        <f t="shared" si="107"/>
        <v>8879.49</v>
      </c>
      <c r="X572" s="2">
        <f>W572-R572</f>
        <v>2534.92</v>
      </c>
      <c r="Y572" s="2">
        <f t="shared" si="108"/>
        <v>0.28548035979543873</v>
      </c>
      <c r="Z572" s="2">
        <f t="shared" si="109"/>
        <v>4</v>
      </c>
      <c r="AA572" s="2">
        <f t="shared" si="110"/>
        <v>8</v>
      </c>
      <c r="AB572" s="2">
        <f t="shared" si="111"/>
        <v>2025</v>
      </c>
      <c r="AC572" s="2" t="str">
        <f t="shared" si="112"/>
        <v>Valid</v>
      </c>
      <c r="AD572" s="2">
        <f t="shared" si="113"/>
        <v>0</v>
      </c>
      <c r="AE572" s="2">
        <f t="shared" si="114"/>
        <v>0</v>
      </c>
      <c r="AH572" t="str">
        <f t="shared" si="118"/>
        <v>Arjun Bose</v>
      </c>
      <c r="AI572" t="str">
        <f t="shared" si="118"/>
        <v>Consumer</v>
      </c>
      <c r="AJ572" t="str">
        <f t="shared" si="118"/>
        <v>East</v>
      </c>
      <c r="AK572" t="str">
        <f t="shared" si="117"/>
        <v>Jharkhand</v>
      </c>
      <c r="AL572" t="str">
        <f t="shared" si="117"/>
        <v>Ranchi</v>
      </c>
      <c r="AM572" t="str">
        <f t="shared" si="117"/>
        <v>Furniture</v>
      </c>
      <c r="AN572" t="str">
        <f t="shared" si="117"/>
        <v>Furnishings</v>
      </c>
      <c r="AO572" t="str">
        <f t="shared" si="115"/>
        <v>Second Class</v>
      </c>
      <c r="AP572" t="str">
        <f t="shared" si="116"/>
        <v>Failed</v>
      </c>
      <c r="AQ572" t="str">
        <f t="shared" si="116"/>
        <v>Returned</v>
      </c>
    </row>
    <row r="573" spans="1:43">
      <c r="A573" t="s">
        <v>2062</v>
      </c>
      <c r="B573" s="3">
        <v>45698</v>
      </c>
      <c r="C573" s="3">
        <v>45702</v>
      </c>
      <c r="D573" t="s">
        <v>2063</v>
      </c>
      <c r="E573" t="s">
        <v>203</v>
      </c>
      <c r="F573" t="s">
        <v>122</v>
      </c>
      <c r="G573" t="s">
        <v>110</v>
      </c>
      <c r="H573" t="s">
        <v>227</v>
      </c>
      <c r="I573" t="s">
        <v>228</v>
      </c>
      <c r="J573" t="s">
        <v>160</v>
      </c>
      <c r="K573" t="s">
        <v>266</v>
      </c>
      <c r="L573" t="s">
        <v>2064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248</v>
      </c>
      <c r="U573" t="s">
        <v>190</v>
      </c>
      <c r="V573" s="2">
        <f t="shared" si="106"/>
        <v>0</v>
      </c>
      <c r="W573" s="2">
        <f t="shared" si="107"/>
        <v>21381.45</v>
      </c>
      <c r="X573" s="2">
        <f>W573-R573</f>
        <v>8141.2400000000016</v>
      </c>
      <c r="Y573" s="2">
        <f t="shared" si="108"/>
        <v>0.38076182859441249</v>
      </c>
      <c r="Z573" s="2">
        <f t="shared" si="109"/>
        <v>4</v>
      </c>
      <c r="AA573" s="2">
        <f t="shared" si="110"/>
        <v>2</v>
      </c>
      <c r="AB573" s="2">
        <f t="shared" si="111"/>
        <v>2025</v>
      </c>
      <c r="AC573" s="2" t="str">
        <f t="shared" si="112"/>
        <v>Conflicting Duplicate Order ID</v>
      </c>
      <c r="AD573" s="2">
        <f t="shared" si="113"/>
        <v>0</v>
      </c>
      <c r="AE573" s="2">
        <f t="shared" si="114"/>
        <v>0</v>
      </c>
      <c r="AH573" t="str">
        <f t="shared" si="118"/>
        <v>Priya Menon</v>
      </c>
      <c r="AI573" t="str">
        <f t="shared" si="118"/>
        <v>Small Business</v>
      </c>
      <c r="AJ573" t="str">
        <f t="shared" si="118"/>
        <v>North</v>
      </c>
      <c r="AK573" t="str">
        <f t="shared" si="117"/>
        <v>Uttar Pradesh</v>
      </c>
      <c r="AL573" t="str">
        <f t="shared" si="117"/>
        <v>Noida</v>
      </c>
      <c r="AM573" t="str">
        <f t="shared" si="117"/>
        <v>Technology</v>
      </c>
      <c r="AN573" t="str">
        <f t="shared" si="117"/>
        <v>Phones</v>
      </c>
      <c r="AO573" t="s">
        <v>306</v>
      </c>
      <c r="AP573" t="str">
        <f t="shared" si="116"/>
        <v>Failed</v>
      </c>
      <c r="AQ573" t="str">
        <f t="shared" si="116"/>
        <v>Returned</v>
      </c>
    </row>
    <row r="574" spans="1:43">
      <c r="A574" t="s">
        <v>2065</v>
      </c>
      <c r="B574" s="3">
        <v>45293</v>
      </c>
      <c r="C574" s="3">
        <v>45536</v>
      </c>
      <c r="D574" t="s">
        <v>2066</v>
      </c>
      <c r="E574" t="s">
        <v>256</v>
      </c>
      <c r="F574" t="s">
        <v>177</v>
      </c>
      <c r="G574" t="s">
        <v>110</v>
      </c>
      <c r="H574" t="s">
        <v>465</v>
      </c>
      <c r="I574" t="s">
        <v>466</v>
      </c>
      <c r="J574" t="s">
        <v>160</v>
      </c>
      <c r="K574" t="s">
        <v>266</v>
      </c>
      <c r="L574" t="s">
        <v>2067</v>
      </c>
      <c r="M574" t="s">
        <v>145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117</v>
      </c>
      <c r="U574" t="s">
        <v>118</v>
      </c>
      <c r="V574" s="2">
        <f t="shared" si="106"/>
        <v>0.2</v>
      </c>
      <c r="W574" s="2">
        <f t="shared" si="107"/>
        <v>1774.944</v>
      </c>
      <c r="X574" s="2">
        <f>W574-R574</f>
        <v>767.54399999999998</v>
      </c>
      <c r="Y574" s="2">
        <f t="shared" si="108"/>
        <v>0.43243279787982042</v>
      </c>
      <c r="Z574" s="2">
        <f t="shared" si="109"/>
        <v>243</v>
      </c>
      <c r="AA574" s="2">
        <f t="shared" si="110"/>
        <v>1</v>
      </c>
      <c r="AB574" s="2">
        <f t="shared" si="111"/>
        <v>2024</v>
      </c>
      <c r="AC574" s="2" t="str">
        <f t="shared" si="112"/>
        <v>Valid</v>
      </c>
      <c r="AD574" s="2">
        <f t="shared" si="113"/>
        <v>0</v>
      </c>
      <c r="AE574" s="2">
        <f t="shared" si="114"/>
        <v>0</v>
      </c>
      <c r="AH574" t="str">
        <f t="shared" si="118"/>
        <v>Diya Patel</v>
      </c>
      <c r="AI574" t="str">
        <f t="shared" si="118"/>
        <v>Corporate</v>
      </c>
      <c r="AJ574" t="str">
        <f t="shared" si="118"/>
        <v>North</v>
      </c>
      <c r="AK574" t="str">
        <f t="shared" si="117"/>
        <v>Delhi</v>
      </c>
      <c r="AL574" t="str">
        <f t="shared" si="117"/>
        <v>New Delhi</v>
      </c>
      <c r="AM574" t="str">
        <f t="shared" si="117"/>
        <v>Technology</v>
      </c>
      <c r="AN574" t="str">
        <f t="shared" si="117"/>
        <v>Phones</v>
      </c>
      <c r="AO574" t="str">
        <f t="shared" si="115"/>
        <v>Standard Class</v>
      </c>
      <c r="AP574" t="str">
        <f t="shared" si="116"/>
        <v>Paid</v>
      </c>
      <c r="AQ574" t="str">
        <f t="shared" si="116"/>
        <v>Completed</v>
      </c>
    </row>
    <row r="575" spans="1:43">
      <c r="A575" t="s">
        <v>2068</v>
      </c>
      <c r="B575" s="3">
        <v>45922</v>
      </c>
      <c r="C575" s="3">
        <v>45926</v>
      </c>
      <c r="D575" t="s">
        <v>2069</v>
      </c>
      <c r="E575" t="s">
        <v>132</v>
      </c>
      <c r="F575" t="s">
        <v>109</v>
      </c>
      <c r="G575" t="s">
        <v>140</v>
      </c>
      <c r="H575" t="s">
        <v>171</v>
      </c>
      <c r="I575" t="s">
        <v>172</v>
      </c>
      <c r="J575" t="s">
        <v>160</v>
      </c>
      <c r="K575" t="s">
        <v>266</v>
      </c>
      <c r="L575" t="s">
        <v>2070</v>
      </c>
      <c r="M575" t="s">
        <v>145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117</v>
      </c>
      <c r="U575" t="s">
        <v>118</v>
      </c>
      <c r="V575" s="2">
        <f t="shared" si="106"/>
        <v>0</v>
      </c>
      <c r="W575" s="2">
        <f t="shared" si="107"/>
        <v>573.65</v>
      </c>
      <c r="X575" s="2">
        <f>W575-R575</f>
        <v>250.97999999999996</v>
      </c>
      <c r="Y575" s="2">
        <f t="shared" si="108"/>
        <v>0.43751416368866031</v>
      </c>
      <c r="Z575" s="2">
        <f t="shared" si="109"/>
        <v>4</v>
      </c>
      <c r="AA575" s="2">
        <f t="shared" si="110"/>
        <v>9</v>
      </c>
      <c r="AB575" s="2">
        <f t="shared" si="111"/>
        <v>2025</v>
      </c>
      <c r="AC575" s="2" t="str">
        <f t="shared" si="112"/>
        <v>Valid</v>
      </c>
      <c r="AD575" s="2">
        <f t="shared" si="113"/>
        <v>0</v>
      </c>
      <c r="AE575" s="2">
        <f t="shared" si="114"/>
        <v>0</v>
      </c>
      <c r="AH575" t="str">
        <f t="shared" si="118"/>
        <v>Isha Nair</v>
      </c>
      <c r="AI575" t="str">
        <f t="shared" si="118"/>
        <v>Consumer</v>
      </c>
      <c r="AJ575" t="str">
        <f t="shared" si="118"/>
        <v>South</v>
      </c>
      <c r="AK575" t="str">
        <f t="shared" si="117"/>
        <v>Andhra Pradesh</v>
      </c>
      <c r="AL575" t="str">
        <f t="shared" si="117"/>
        <v>Vijayawada</v>
      </c>
      <c r="AM575" t="str">
        <f t="shared" si="117"/>
        <v>Technology</v>
      </c>
      <c r="AN575" t="str">
        <f t="shared" si="117"/>
        <v>Phones</v>
      </c>
      <c r="AO575" t="str">
        <f t="shared" si="115"/>
        <v>Standard Class</v>
      </c>
      <c r="AP575" t="str">
        <f t="shared" si="116"/>
        <v>Paid</v>
      </c>
      <c r="AQ575" t="str">
        <f t="shared" si="116"/>
        <v>Completed</v>
      </c>
    </row>
    <row r="576" spans="1:43">
      <c r="A576" t="s">
        <v>2071</v>
      </c>
      <c r="B576" s="3">
        <v>45342</v>
      </c>
      <c r="C576" s="3" t="s">
        <v>1263</v>
      </c>
      <c r="D576" t="s">
        <v>969</v>
      </c>
      <c r="E576" t="s">
        <v>256</v>
      </c>
      <c r="F576" t="s">
        <v>182</v>
      </c>
      <c r="G576" t="s">
        <v>110</v>
      </c>
      <c r="H576" t="s">
        <v>211</v>
      </c>
      <c r="I576" t="s">
        <v>212</v>
      </c>
      <c r="J576" t="s">
        <v>160</v>
      </c>
      <c r="K576" t="s">
        <v>385</v>
      </c>
      <c r="L576" t="s">
        <v>2072</v>
      </c>
      <c r="M576" t="s">
        <v>145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117</v>
      </c>
      <c r="U576" t="s">
        <v>118</v>
      </c>
      <c r="V576" s="2">
        <f t="shared" si="106"/>
        <v>0</v>
      </c>
      <c r="W576" s="2">
        <f t="shared" si="107"/>
        <v>5423.2</v>
      </c>
      <c r="X576" s="2">
        <f>W576-R576</f>
        <v>1350.7599999999998</v>
      </c>
      <c r="Y576" s="2">
        <f t="shared" si="108"/>
        <v>0.24907065938929043</v>
      </c>
      <c r="Z576" s="2" t="str">
        <f t="shared" si="109"/>
        <v/>
      </c>
      <c r="AA576" s="2">
        <f t="shared" si="110"/>
        <v>2</v>
      </c>
      <c r="AB576" s="2">
        <f t="shared" si="111"/>
        <v>2024</v>
      </c>
      <c r="AC576" s="2" t="str">
        <f t="shared" si="112"/>
        <v>Text Value Not Recognized as Date</v>
      </c>
      <c r="AD576" s="2">
        <f t="shared" si="113"/>
        <v>0</v>
      </c>
      <c r="AE576" s="2">
        <f t="shared" si="114"/>
        <v>0</v>
      </c>
      <c r="AH576" t="str">
        <f t="shared" si="118"/>
        <v>Diya Patel</v>
      </c>
      <c r="AI576" t="str">
        <f t="shared" si="118"/>
        <v>Home Office</v>
      </c>
      <c r="AJ576" t="str">
        <f t="shared" si="118"/>
        <v>North</v>
      </c>
      <c r="AK576" t="str">
        <f t="shared" si="117"/>
        <v>Punjab</v>
      </c>
      <c r="AL576" t="str">
        <f t="shared" si="117"/>
        <v>Ludhiana</v>
      </c>
      <c r="AM576" t="str">
        <f t="shared" si="117"/>
        <v>Technology</v>
      </c>
      <c r="AN576" t="str">
        <f t="shared" si="117"/>
        <v>Machines</v>
      </c>
      <c r="AO576" t="str">
        <f t="shared" si="115"/>
        <v>Standard Class</v>
      </c>
      <c r="AP576" t="str">
        <f t="shared" si="116"/>
        <v>Paid</v>
      </c>
      <c r="AQ576" t="str">
        <f t="shared" si="116"/>
        <v>Completed</v>
      </c>
    </row>
    <row r="577" spans="1:43">
      <c r="A577" t="s">
        <v>2073</v>
      </c>
      <c r="B577" s="3">
        <v>45727</v>
      </c>
      <c r="C577" s="3">
        <v>45730</v>
      </c>
      <c r="D577" t="s">
        <v>2074</v>
      </c>
      <c r="E577" t="s">
        <v>222</v>
      </c>
      <c r="F577" t="s">
        <v>182</v>
      </c>
      <c r="G577" t="s">
        <v>140</v>
      </c>
      <c r="H577" t="s">
        <v>282</v>
      </c>
      <c r="I577" t="s">
        <v>283</v>
      </c>
      <c r="J577" t="s">
        <v>126</v>
      </c>
      <c r="K577" t="s">
        <v>143</v>
      </c>
      <c r="L577" t="s">
        <v>2075</v>
      </c>
      <c r="M577" t="s">
        <v>129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248</v>
      </c>
      <c r="U577" t="s">
        <v>190</v>
      </c>
      <c r="V577" s="2">
        <f t="shared" si="106"/>
        <v>0.2</v>
      </c>
      <c r="W577" s="2">
        <f t="shared" si="107"/>
        <v>3983.424</v>
      </c>
      <c r="X577" s="2">
        <f>W577-R577</f>
        <v>808.51400000000012</v>
      </c>
      <c r="Y577" s="2">
        <f t="shared" si="108"/>
        <v>0.2029696060474607</v>
      </c>
      <c r="Z577" s="2">
        <f t="shared" si="109"/>
        <v>3</v>
      </c>
      <c r="AA577" s="2">
        <f t="shared" si="110"/>
        <v>3</v>
      </c>
      <c r="AB577" s="2">
        <f t="shared" si="111"/>
        <v>2025</v>
      </c>
      <c r="AC577" s="2" t="str">
        <f t="shared" si="112"/>
        <v>Valid</v>
      </c>
      <c r="AD577" s="2">
        <f t="shared" si="113"/>
        <v>0</v>
      </c>
      <c r="AE577" s="2">
        <f t="shared" si="114"/>
        <v>0</v>
      </c>
      <c r="AH577" t="str">
        <f t="shared" si="118"/>
        <v>Sneha Kapoor</v>
      </c>
      <c r="AI577" t="str">
        <f t="shared" si="118"/>
        <v>Home Office</v>
      </c>
      <c r="AJ577" t="str">
        <f t="shared" si="118"/>
        <v>South</v>
      </c>
      <c r="AK577" t="str">
        <f t="shared" si="117"/>
        <v>Kerala</v>
      </c>
      <c r="AL577" t="str">
        <f t="shared" si="117"/>
        <v>Kochi</v>
      </c>
      <c r="AM577" t="str">
        <f t="shared" si="117"/>
        <v>Furniture</v>
      </c>
      <c r="AN577" t="str">
        <f t="shared" si="117"/>
        <v>Furnishings</v>
      </c>
      <c r="AO577" t="str">
        <f t="shared" si="115"/>
        <v>Same Day</v>
      </c>
      <c r="AP577" t="str">
        <f t="shared" si="116"/>
        <v>Failed</v>
      </c>
      <c r="AQ577" t="str">
        <f t="shared" si="116"/>
        <v>Returned</v>
      </c>
    </row>
    <row r="578" spans="1:43">
      <c r="A578" t="s">
        <v>2076</v>
      </c>
      <c r="B578" s="3" t="s">
        <v>2077</v>
      </c>
      <c r="C578" s="3">
        <v>45345</v>
      </c>
      <c r="D578" t="s">
        <v>2078</v>
      </c>
      <c r="E578" t="s">
        <v>232</v>
      </c>
      <c r="F578" t="s">
        <v>182</v>
      </c>
      <c r="H578" t="s">
        <v>237</v>
      </c>
      <c r="I578" t="s">
        <v>238</v>
      </c>
      <c r="J578" t="s">
        <v>113</v>
      </c>
      <c r="K578" t="s">
        <v>246</v>
      </c>
      <c r="L578" t="s">
        <v>2079</v>
      </c>
      <c r="M578" t="s">
        <v>145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189</v>
      </c>
      <c r="U578" t="s">
        <v>190</v>
      </c>
      <c r="V578" s="2">
        <f t="shared" si="106"/>
        <v>0</v>
      </c>
      <c r="W578" s="2">
        <f t="shared" si="107"/>
        <v>23530.14</v>
      </c>
      <c r="X578" s="2">
        <f>W578-R578</f>
        <v>3992.3499999999985</v>
      </c>
      <c r="Y578" s="2">
        <f t="shared" si="108"/>
        <v>0.16966962372514566</v>
      </c>
      <c r="Z578" s="2" t="str">
        <f t="shared" si="109"/>
        <v/>
      </c>
      <c r="AA578" s="2" t="e">
        <f t="shared" si="110"/>
        <v>#VALUE!</v>
      </c>
      <c r="AB578" s="2" t="e">
        <f t="shared" si="111"/>
        <v>#VALUE!</v>
      </c>
      <c r="AC578" s="2" t="str">
        <f t="shared" si="112"/>
        <v>Missing region</v>
      </c>
      <c r="AD578" s="2">
        <f t="shared" si="113"/>
        <v>0</v>
      </c>
      <c r="AE578" s="2">
        <f t="shared" si="114"/>
        <v>0</v>
      </c>
      <c r="AH578" t="str">
        <f t="shared" si="118"/>
        <v>Rohan Mehta</v>
      </c>
      <c r="AI578" t="str">
        <f t="shared" si="118"/>
        <v>Home Office</v>
      </c>
      <c r="AJ578" t="s">
        <v>306</v>
      </c>
      <c r="AK578" t="str">
        <f t="shared" si="117"/>
        <v>Bihar</v>
      </c>
      <c r="AL578" t="str">
        <f t="shared" si="117"/>
        <v>Patna</v>
      </c>
      <c r="AM578" t="str">
        <f t="shared" si="117"/>
        <v>Office Supplies</v>
      </c>
      <c r="AN578" t="str">
        <f t="shared" si="117"/>
        <v>Binders</v>
      </c>
      <c r="AO578" t="str">
        <f t="shared" si="115"/>
        <v>Standard Class</v>
      </c>
      <c r="AP578" t="str">
        <f t="shared" si="116"/>
        <v>Refunded</v>
      </c>
      <c r="AQ578" t="str">
        <f t="shared" si="116"/>
        <v>Returned</v>
      </c>
    </row>
    <row r="579" spans="1:43">
      <c r="A579" t="s">
        <v>2080</v>
      </c>
      <c r="B579" s="3">
        <v>45897</v>
      </c>
      <c r="C579" s="3">
        <v>45903</v>
      </c>
      <c r="D579" t="s">
        <v>2081</v>
      </c>
      <c r="E579" t="s">
        <v>203</v>
      </c>
      <c r="F579" t="s">
        <v>177</v>
      </c>
      <c r="G579" t="s">
        <v>149</v>
      </c>
      <c r="H579" t="s">
        <v>158</v>
      </c>
      <c r="I579" t="s">
        <v>159</v>
      </c>
      <c r="J579" t="s">
        <v>126</v>
      </c>
      <c r="K579" t="s">
        <v>143</v>
      </c>
      <c r="L579" t="s">
        <v>2082</v>
      </c>
      <c r="M579" t="s">
        <v>145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117</v>
      </c>
      <c r="U579" t="s">
        <v>118</v>
      </c>
      <c r="V579" s="2">
        <f t="shared" ref="V579:V642" si="119">IF(ISBLANK(P579), 0, P579)</f>
        <v>0</v>
      </c>
      <c r="W579" s="2">
        <f t="shared" ref="W579:W642" si="120">N579 * O579 * (1 - P579)</f>
        <v>1879.1499999999999</v>
      </c>
      <c r="X579" s="2">
        <f>W579-R579</f>
        <v>744.24999999999977</v>
      </c>
      <c r="Y579" s="2">
        <f t="shared" ref="Y579:Y642" si="121">IFERROR(X579 / W579, 0)</f>
        <v>0.39605672777585599</v>
      </c>
      <c r="Z579" s="2">
        <f t="shared" ref="Z579:Z642" si="122">IF(OR(ISBLANK(B579), ISBLANK(C579), ISTEXT(B579), ISTEXT(C579)), "", C579 - B579)</f>
        <v>6</v>
      </c>
      <c r="AA579" s="2">
        <f t="shared" ref="AA579:AA642" si="123">MONTH(B579)</f>
        <v>8</v>
      </c>
      <c r="AB579" s="2">
        <f t="shared" ref="AB579:AB642" si="124">YEAR(B579)</f>
        <v>2025</v>
      </c>
      <c r="AC579" s="2" t="str">
        <f t="shared" ref="AC579:AC642" si="125">IF(COUNTIF(A:A, A579) &gt; 1, "Conflicting Duplicate Order ID",
 IF(OR(G579="Unknown", ISBLANK(G579)), "Missing region",
 IF(OR(M579="Unknown", ISBLANK(M579)), "Missing ship_mode",
 IF(OR(ISBLANK(B579), ISBLANK(C579)), "Missing Date",
 IF(OR(ISTEXT(B579), ISTEXT(C579)), "Text Value Not Recognized as Date",
 IF(C579 &lt; B579, "Invalid shipping record",
 IF(P579 &lt; 0, "Invalid",
 IF(P579 &gt; 0.7, "Invalid",
 "Valid"))))))))</f>
        <v>Valid</v>
      </c>
      <c r="AD579" s="2">
        <f t="shared" ref="AD579:AD642" si="126">IF(ABS(Q579 - W579) &gt; 0.01, 1, 0)</f>
        <v>0</v>
      </c>
      <c r="AE579" s="2">
        <f t="shared" ref="AE579:AE642" si="127">IF(ABS(S579 - X579) &gt; 0.01, 1, 0)</f>
        <v>0</v>
      </c>
      <c r="AH579" t="str">
        <f t="shared" si="118"/>
        <v>Priya Menon</v>
      </c>
      <c r="AI579" t="str">
        <f t="shared" si="118"/>
        <v>Corporate</v>
      </c>
      <c r="AJ579" t="str">
        <f t="shared" si="118"/>
        <v>West</v>
      </c>
      <c r="AK579" t="str">
        <f t="shared" si="117"/>
        <v>Madhya Pradesh</v>
      </c>
      <c r="AL579" t="str">
        <f t="shared" si="117"/>
        <v>Indore</v>
      </c>
      <c r="AM579" t="str">
        <f t="shared" si="117"/>
        <v>Furniture</v>
      </c>
      <c r="AN579" t="str">
        <f t="shared" si="117"/>
        <v>Furnishings</v>
      </c>
      <c r="AO579" t="str">
        <f t="shared" ref="AO579:AO642" si="128">PROPER(TRIM(M579))</f>
        <v>Standard Class</v>
      </c>
      <c r="AP579" t="str">
        <f t="shared" ref="AP579:AQ642" si="129">PROPER(TRIM(T579))</f>
        <v>Paid</v>
      </c>
      <c r="AQ579" t="str">
        <f t="shared" si="129"/>
        <v>Completed</v>
      </c>
    </row>
    <row r="580" spans="1:43">
      <c r="A580" t="s">
        <v>2083</v>
      </c>
      <c r="B580" s="3">
        <v>45343</v>
      </c>
      <c r="C580" s="3" t="s">
        <v>2084</v>
      </c>
      <c r="D580" t="s">
        <v>407</v>
      </c>
      <c r="E580" t="s">
        <v>165</v>
      </c>
      <c r="F580" t="s">
        <v>122</v>
      </c>
      <c r="G580" t="s">
        <v>149</v>
      </c>
      <c r="H580" t="s">
        <v>276</v>
      </c>
      <c r="I580" t="s">
        <v>277</v>
      </c>
      <c r="J580" t="s">
        <v>160</v>
      </c>
      <c r="K580" t="s">
        <v>166</v>
      </c>
      <c r="L580" t="s">
        <v>2085</v>
      </c>
      <c r="M580" t="s">
        <v>135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117</v>
      </c>
      <c r="U580" t="s">
        <v>118</v>
      </c>
      <c r="V580" s="2">
        <f t="shared" si="119"/>
        <v>0.05</v>
      </c>
      <c r="W580" s="2">
        <f t="shared" si="120"/>
        <v>15011.805</v>
      </c>
      <c r="X580" s="2">
        <f>W580-R580</f>
        <v>5351.4449999999997</v>
      </c>
      <c r="Y580" s="2">
        <f t="shared" si="121"/>
        <v>0.35648244831317749</v>
      </c>
      <c r="Z580" s="2" t="str">
        <f t="shared" si="122"/>
        <v/>
      </c>
      <c r="AA580" s="2">
        <f t="shared" si="123"/>
        <v>2</v>
      </c>
      <c r="AB580" s="2">
        <f t="shared" si="124"/>
        <v>2024</v>
      </c>
      <c r="AC580" s="2" t="str">
        <f t="shared" si="125"/>
        <v>Text Value Not Recognized as Date</v>
      </c>
      <c r="AD580" s="2">
        <f t="shared" si="126"/>
        <v>0</v>
      </c>
      <c r="AE580" s="2">
        <f t="shared" si="127"/>
        <v>0</v>
      </c>
      <c r="AH580" t="str">
        <f t="shared" si="118"/>
        <v>Neha Gupta</v>
      </c>
      <c r="AI580" t="str">
        <f t="shared" si="118"/>
        <v>Small Business</v>
      </c>
      <c r="AJ580" t="str">
        <f t="shared" si="118"/>
        <v>West</v>
      </c>
      <c r="AK580" t="str">
        <f t="shared" si="117"/>
        <v>Gujarat</v>
      </c>
      <c r="AL580" t="str">
        <f t="shared" si="117"/>
        <v>Ahmedabad</v>
      </c>
      <c r="AM580" t="str">
        <f t="shared" si="117"/>
        <v>Technology</v>
      </c>
      <c r="AN580" t="str">
        <f t="shared" si="117"/>
        <v>Copiers</v>
      </c>
      <c r="AO580" t="str">
        <f t="shared" si="128"/>
        <v>First Class</v>
      </c>
      <c r="AP580" t="str">
        <f t="shared" si="129"/>
        <v>Paid</v>
      </c>
      <c r="AQ580" t="str">
        <f t="shared" si="129"/>
        <v>Completed</v>
      </c>
    </row>
    <row r="581" spans="1:43">
      <c r="A581" t="s">
        <v>2086</v>
      </c>
      <c r="B581" s="3" t="s">
        <v>2087</v>
      </c>
      <c r="C581" s="3">
        <v>45467</v>
      </c>
      <c r="D581" t="s">
        <v>2088</v>
      </c>
      <c r="E581" t="s">
        <v>218</v>
      </c>
      <c r="F581" t="s">
        <v>122</v>
      </c>
      <c r="G581" t="s">
        <v>140</v>
      </c>
      <c r="H581" t="s">
        <v>357</v>
      </c>
      <c r="I581" t="s">
        <v>358</v>
      </c>
      <c r="J581" t="s">
        <v>113</v>
      </c>
      <c r="K581" t="s">
        <v>213</v>
      </c>
      <c r="L581" t="s">
        <v>2089</v>
      </c>
      <c r="M581" t="s">
        <v>129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117</v>
      </c>
      <c r="U581" t="s">
        <v>118</v>
      </c>
      <c r="V581" s="2">
        <f t="shared" si="119"/>
        <v>0</v>
      </c>
      <c r="W581" s="2">
        <f t="shared" si="120"/>
        <v>3202.41</v>
      </c>
      <c r="X581" s="2">
        <f>W581-R581</f>
        <v>593.9699999999998</v>
      </c>
      <c r="Y581" s="2">
        <f t="shared" si="121"/>
        <v>0.18547593843386695</v>
      </c>
      <c r="Z581" s="2" t="str">
        <f t="shared" si="122"/>
        <v/>
      </c>
      <c r="AA581" s="2" t="e">
        <f t="shared" si="123"/>
        <v>#VALUE!</v>
      </c>
      <c r="AB581" s="2" t="e">
        <f t="shared" si="124"/>
        <v>#VALUE!</v>
      </c>
      <c r="AC581" s="2" t="str">
        <f t="shared" si="125"/>
        <v>Text Value Not Recognized as Date</v>
      </c>
      <c r="AD581" s="2">
        <f t="shared" si="126"/>
        <v>0</v>
      </c>
      <c r="AE581" s="2">
        <f t="shared" si="127"/>
        <v>0</v>
      </c>
      <c r="AH581" t="str">
        <f t="shared" si="118"/>
        <v>Aarav Sharma</v>
      </c>
      <c r="AI581" t="str">
        <f t="shared" si="118"/>
        <v>Small Business</v>
      </c>
      <c r="AJ581" t="str">
        <f t="shared" si="118"/>
        <v>South</v>
      </c>
      <c r="AK581" t="str">
        <f t="shared" si="117"/>
        <v>Tamil Nadu</v>
      </c>
      <c r="AL581" t="str">
        <f t="shared" si="117"/>
        <v>Chennai</v>
      </c>
      <c r="AM581" t="str">
        <f t="shared" si="117"/>
        <v>Office Supplies</v>
      </c>
      <c r="AN581" t="str">
        <f t="shared" si="117"/>
        <v>Storage</v>
      </c>
      <c r="AO581" t="str">
        <f t="shared" si="128"/>
        <v>Same Day</v>
      </c>
      <c r="AP581" t="str">
        <f t="shared" si="129"/>
        <v>Paid</v>
      </c>
      <c r="AQ581" t="str">
        <f t="shared" si="129"/>
        <v>Completed</v>
      </c>
    </row>
    <row r="582" spans="1:43">
      <c r="A582" t="s">
        <v>2090</v>
      </c>
      <c r="B582" s="3">
        <v>45811</v>
      </c>
      <c r="C582" s="3">
        <v>45729</v>
      </c>
      <c r="D582" t="s">
        <v>2091</v>
      </c>
      <c r="E582" t="s">
        <v>375</v>
      </c>
      <c r="F582" t="s">
        <v>109</v>
      </c>
      <c r="G582" t="s">
        <v>140</v>
      </c>
      <c r="H582" t="s">
        <v>282</v>
      </c>
      <c r="I582" t="s">
        <v>283</v>
      </c>
      <c r="J582" t="s">
        <v>126</v>
      </c>
      <c r="K582" t="s">
        <v>152</v>
      </c>
      <c r="L582" t="s">
        <v>2092</v>
      </c>
      <c r="M582" t="s">
        <v>145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248</v>
      </c>
      <c r="U582" t="s">
        <v>190</v>
      </c>
      <c r="V582" s="2">
        <f t="shared" si="119"/>
        <v>0.15</v>
      </c>
      <c r="W582" s="2">
        <f t="shared" si="120"/>
        <v>417.48599999999999</v>
      </c>
      <c r="X582" s="2">
        <f>W582-R582</f>
        <v>155.81599999999997</v>
      </c>
      <c r="Y582" s="2">
        <f t="shared" si="121"/>
        <v>0.37322449136018926</v>
      </c>
      <c r="Z582" s="2">
        <f t="shared" si="122"/>
        <v>-82</v>
      </c>
      <c r="AA582" s="2">
        <f t="shared" si="123"/>
        <v>6</v>
      </c>
      <c r="AB582" s="2">
        <f t="shared" si="124"/>
        <v>2025</v>
      </c>
      <c r="AC582" s="2" t="str">
        <f t="shared" si="125"/>
        <v>Invalid shipping record</v>
      </c>
      <c r="AD582" s="2">
        <f t="shared" si="126"/>
        <v>0</v>
      </c>
      <c r="AE582" s="2">
        <f t="shared" si="127"/>
        <v>0</v>
      </c>
      <c r="AH582" t="str">
        <f t="shared" si="118"/>
        <v>Kabir Singh</v>
      </c>
      <c r="AI582" t="str">
        <f t="shared" si="118"/>
        <v>Consumer</v>
      </c>
      <c r="AJ582" t="str">
        <f t="shared" si="118"/>
        <v>South</v>
      </c>
      <c r="AK582" t="str">
        <f t="shared" si="117"/>
        <v>Kerala</v>
      </c>
      <c r="AL582" t="str">
        <f t="shared" si="117"/>
        <v>Kochi</v>
      </c>
      <c r="AM582" t="str">
        <f t="shared" si="117"/>
        <v>Furniture</v>
      </c>
      <c r="AN582" t="str">
        <f t="shared" si="117"/>
        <v>Chairs</v>
      </c>
      <c r="AO582" t="str">
        <f t="shared" si="128"/>
        <v>Standard Class</v>
      </c>
      <c r="AP582" t="str">
        <f t="shared" si="129"/>
        <v>Failed</v>
      </c>
      <c r="AQ582" t="str">
        <f t="shared" si="129"/>
        <v>Returned</v>
      </c>
    </row>
    <row r="583" spans="1:43">
      <c r="A583" t="s">
        <v>2093</v>
      </c>
      <c r="B583" s="3">
        <v>45878</v>
      </c>
      <c r="C583" s="3">
        <v>45879</v>
      </c>
      <c r="D583" t="s">
        <v>2094</v>
      </c>
      <c r="E583" t="s">
        <v>165</v>
      </c>
      <c r="F583" t="s">
        <v>109</v>
      </c>
      <c r="G583" t="s">
        <v>110</v>
      </c>
      <c r="H583" t="s">
        <v>465</v>
      </c>
      <c r="I583" t="s">
        <v>466</v>
      </c>
      <c r="J583" t="s">
        <v>113</v>
      </c>
      <c r="K583" t="s">
        <v>133</v>
      </c>
      <c r="L583" t="s">
        <v>2095</v>
      </c>
      <c r="M583" t="s">
        <v>116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189</v>
      </c>
      <c r="U583" t="s">
        <v>190</v>
      </c>
      <c r="V583" s="2">
        <f t="shared" si="119"/>
        <v>0</v>
      </c>
      <c r="W583" s="2">
        <f t="shared" si="120"/>
        <v>16323.8</v>
      </c>
      <c r="X583" s="2">
        <f>W583-R583</f>
        <v>6358.0099999999984</v>
      </c>
      <c r="Y583" s="2">
        <f t="shared" si="121"/>
        <v>0.38949325524693995</v>
      </c>
      <c r="Z583" s="2">
        <f t="shared" si="122"/>
        <v>1</v>
      </c>
      <c r="AA583" s="2">
        <f t="shared" si="123"/>
        <v>8</v>
      </c>
      <c r="AB583" s="2">
        <f t="shared" si="124"/>
        <v>2025</v>
      </c>
      <c r="AC583" s="2" t="str">
        <f t="shared" si="125"/>
        <v>Valid</v>
      </c>
      <c r="AD583" s="2">
        <f t="shared" si="126"/>
        <v>0</v>
      </c>
      <c r="AE583" s="2">
        <f t="shared" si="127"/>
        <v>0</v>
      </c>
      <c r="AH583" t="str">
        <f t="shared" si="118"/>
        <v>Neha Gupta</v>
      </c>
      <c r="AI583" t="str">
        <f t="shared" si="118"/>
        <v>Consumer</v>
      </c>
      <c r="AJ583" t="str">
        <f t="shared" si="118"/>
        <v>North</v>
      </c>
      <c r="AK583" t="str">
        <f t="shared" si="117"/>
        <v>Delhi</v>
      </c>
      <c r="AL583" t="str">
        <f t="shared" si="117"/>
        <v>New Delhi</v>
      </c>
      <c r="AM583" t="str">
        <f t="shared" si="117"/>
        <v>Office Supplies</v>
      </c>
      <c r="AN583" t="str">
        <f t="shared" si="117"/>
        <v>Art</v>
      </c>
      <c r="AO583" t="str">
        <f t="shared" si="128"/>
        <v>Second Class</v>
      </c>
      <c r="AP583" t="str">
        <f t="shared" si="129"/>
        <v>Refunded</v>
      </c>
      <c r="AQ583" t="str">
        <f t="shared" si="129"/>
        <v>Returned</v>
      </c>
    </row>
    <row r="584" spans="1:43">
      <c r="A584" t="s">
        <v>2096</v>
      </c>
      <c r="B584" s="3">
        <v>45580</v>
      </c>
      <c r="C584" s="3">
        <v>45585</v>
      </c>
      <c r="D584" t="s">
        <v>2097</v>
      </c>
      <c r="E584" t="s">
        <v>148</v>
      </c>
      <c r="F584" t="s">
        <v>109</v>
      </c>
      <c r="G584" t="s">
        <v>123</v>
      </c>
      <c r="H584" t="s">
        <v>124</v>
      </c>
      <c r="I584" t="s">
        <v>125</v>
      </c>
      <c r="J584" t="s">
        <v>113</v>
      </c>
      <c r="K584" t="s">
        <v>133</v>
      </c>
      <c r="L584" t="s">
        <v>2098</v>
      </c>
      <c r="M584" t="s">
        <v>135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199</v>
      </c>
      <c r="U584" t="s">
        <v>190</v>
      </c>
      <c r="V584" s="2">
        <f t="shared" si="119"/>
        <v>0</v>
      </c>
      <c r="W584" s="2">
        <f t="shared" si="120"/>
        <v>3356.2</v>
      </c>
      <c r="X584" s="2">
        <f>W584-R584</f>
        <v>1150.48</v>
      </c>
      <c r="Y584" s="2">
        <f t="shared" si="121"/>
        <v>0.34279244383528995</v>
      </c>
      <c r="Z584" s="2">
        <f t="shared" si="122"/>
        <v>5</v>
      </c>
      <c r="AA584" s="2">
        <f t="shared" si="123"/>
        <v>10</v>
      </c>
      <c r="AB584" s="2">
        <f t="shared" si="124"/>
        <v>2024</v>
      </c>
      <c r="AC584" s="2" t="str">
        <f t="shared" si="125"/>
        <v>Valid</v>
      </c>
      <c r="AD584" s="2">
        <f t="shared" si="126"/>
        <v>0</v>
      </c>
      <c r="AE584" s="2">
        <f t="shared" si="127"/>
        <v>0</v>
      </c>
      <c r="AH584" t="str">
        <f t="shared" si="118"/>
        <v>Ananya Rao</v>
      </c>
      <c r="AI584" t="str">
        <f t="shared" si="118"/>
        <v>Consumer</v>
      </c>
      <c r="AJ584" t="str">
        <f t="shared" si="118"/>
        <v>East</v>
      </c>
      <c r="AK584" t="str">
        <f t="shared" si="117"/>
        <v>Odisha</v>
      </c>
      <c r="AL584" t="str">
        <f t="shared" si="117"/>
        <v>Bhubaneswar</v>
      </c>
      <c r="AM584" t="str">
        <f t="shared" si="117"/>
        <v>Office Supplies</v>
      </c>
      <c r="AN584" t="str">
        <f t="shared" si="117"/>
        <v>Art</v>
      </c>
      <c r="AO584" t="str">
        <f t="shared" si="128"/>
        <v>First Class</v>
      </c>
      <c r="AP584" t="str">
        <f t="shared" si="129"/>
        <v>Pending</v>
      </c>
      <c r="AQ584" t="str">
        <f t="shared" si="129"/>
        <v>Returned</v>
      </c>
    </row>
    <row r="585" spans="1:43">
      <c r="A585" t="s">
        <v>2099</v>
      </c>
      <c r="B585" s="3">
        <v>45350</v>
      </c>
      <c r="C585" s="3">
        <v>45350</v>
      </c>
      <c r="D585" t="s">
        <v>2100</v>
      </c>
      <c r="E585" t="s">
        <v>232</v>
      </c>
      <c r="F585" t="s">
        <v>122</v>
      </c>
      <c r="G585" t="s">
        <v>123</v>
      </c>
      <c r="H585" t="s">
        <v>186</v>
      </c>
      <c r="I585" t="s">
        <v>187</v>
      </c>
      <c r="J585" t="s">
        <v>113</v>
      </c>
      <c r="K585" t="s">
        <v>213</v>
      </c>
      <c r="L585" t="s">
        <v>2101</v>
      </c>
      <c r="M585" t="s">
        <v>135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248</v>
      </c>
      <c r="U585" t="s">
        <v>190</v>
      </c>
      <c r="V585" s="2">
        <f t="shared" si="119"/>
        <v>0.2</v>
      </c>
      <c r="W585" s="2">
        <f t="shared" si="120"/>
        <v>2101.4720000000002</v>
      </c>
      <c r="X585" s="2">
        <f>W585-R585</f>
        <v>883.64200000000028</v>
      </c>
      <c r="Y585" s="2">
        <f t="shared" si="121"/>
        <v>0.42048716328364127</v>
      </c>
      <c r="Z585" s="2">
        <f t="shared" si="122"/>
        <v>0</v>
      </c>
      <c r="AA585" s="2">
        <f t="shared" si="123"/>
        <v>2</v>
      </c>
      <c r="AB585" s="2">
        <f t="shared" si="124"/>
        <v>2024</v>
      </c>
      <c r="AC585" s="2" t="str">
        <f t="shared" si="125"/>
        <v>Valid</v>
      </c>
      <c r="AD585" s="2">
        <f t="shared" si="126"/>
        <v>0</v>
      </c>
      <c r="AE585" s="2">
        <f t="shared" si="127"/>
        <v>0</v>
      </c>
      <c r="AH585" t="str">
        <f t="shared" si="118"/>
        <v>Rohan Mehta</v>
      </c>
      <c r="AI585" t="str">
        <f t="shared" si="118"/>
        <v>Small Business</v>
      </c>
      <c r="AJ585" t="str">
        <f t="shared" si="118"/>
        <v>East</v>
      </c>
      <c r="AK585" t="str">
        <f t="shared" si="117"/>
        <v>West Bengal</v>
      </c>
      <c r="AL585" t="str">
        <f t="shared" si="117"/>
        <v>Kolkata</v>
      </c>
      <c r="AM585" t="str">
        <f t="shared" si="117"/>
        <v>Office Supplies</v>
      </c>
      <c r="AN585" t="str">
        <f t="shared" si="117"/>
        <v>Storage</v>
      </c>
      <c r="AO585" t="str">
        <f t="shared" si="128"/>
        <v>First Class</v>
      </c>
      <c r="AP585" t="str">
        <f t="shared" si="129"/>
        <v>Failed</v>
      </c>
      <c r="AQ585" t="str">
        <f t="shared" si="129"/>
        <v>Returned</v>
      </c>
    </row>
    <row r="586" spans="1:43">
      <c r="A586" t="s">
        <v>2102</v>
      </c>
      <c r="B586" s="3">
        <v>45508</v>
      </c>
      <c r="C586" s="3">
        <v>45573</v>
      </c>
      <c r="D586" t="s">
        <v>2103</v>
      </c>
      <c r="E586" t="s">
        <v>157</v>
      </c>
      <c r="F586" t="s">
        <v>109</v>
      </c>
      <c r="G586" t="s">
        <v>123</v>
      </c>
      <c r="H586" t="s">
        <v>237</v>
      </c>
      <c r="I586" t="s">
        <v>238</v>
      </c>
      <c r="J586" t="s">
        <v>113</v>
      </c>
      <c r="K586" t="s">
        <v>133</v>
      </c>
      <c r="L586" t="s">
        <v>2104</v>
      </c>
      <c r="M586" t="s">
        <v>129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199</v>
      </c>
      <c r="U586" t="s">
        <v>190</v>
      </c>
      <c r="V586" s="2">
        <f t="shared" si="119"/>
        <v>0.15</v>
      </c>
      <c r="W586" s="2">
        <f t="shared" si="120"/>
        <v>837.19049999999993</v>
      </c>
      <c r="X586" s="2">
        <f>W586-R586</f>
        <v>253.40049999999997</v>
      </c>
      <c r="Y586" s="2">
        <f t="shared" si="121"/>
        <v>0.30267961712417901</v>
      </c>
      <c r="Z586" s="2">
        <f t="shared" si="122"/>
        <v>65</v>
      </c>
      <c r="AA586" s="2">
        <f t="shared" si="123"/>
        <v>8</v>
      </c>
      <c r="AB586" s="2">
        <f t="shared" si="124"/>
        <v>2024</v>
      </c>
      <c r="AC586" s="2" t="str">
        <f t="shared" si="125"/>
        <v>Valid</v>
      </c>
      <c r="AD586" s="2">
        <f t="shared" si="126"/>
        <v>0</v>
      </c>
      <c r="AE586" s="2">
        <f t="shared" si="127"/>
        <v>0</v>
      </c>
      <c r="AH586" t="str">
        <f t="shared" si="118"/>
        <v>Vikram Iyer</v>
      </c>
      <c r="AI586" t="str">
        <f t="shared" si="118"/>
        <v>Consumer</v>
      </c>
      <c r="AJ586" t="str">
        <f t="shared" si="118"/>
        <v>East</v>
      </c>
      <c r="AK586" t="str">
        <f t="shared" si="117"/>
        <v>Bihar</v>
      </c>
      <c r="AL586" t="str">
        <f t="shared" si="117"/>
        <v>Patna</v>
      </c>
      <c r="AM586" t="str">
        <f t="shared" si="117"/>
        <v>Office Supplies</v>
      </c>
      <c r="AN586" t="str">
        <f t="shared" si="117"/>
        <v>Art</v>
      </c>
      <c r="AO586" t="str">
        <f t="shared" si="128"/>
        <v>Same Day</v>
      </c>
      <c r="AP586" t="str">
        <f t="shared" si="129"/>
        <v>Pending</v>
      </c>
      <c r="AQ586" t="str">
        <f t="shared" si="129"/>
        <v>Returned</v>
      </c>
    </row>
    <row r="587" spans="1:43">
      <c r="A587" t="s">
        <v>2105</v>
      </c>
      <c r="B587" s="3">
        <v>45830</v>
      </c>
      <c r="C587" s="3">
        <v>45833</v>
      </c>
      <c r="D587" t="s">
        <v>2106</v>
      </c>
      <c r="E587" t="s">
        <v>256</v>
      </c>
      <c r="F587" t="s">
        <v>122</v>
      </c>
      <c r="G587" t="s">
        <v>846</v>
      </c>
      <c r="H587" t="s">
        <v>150</v>
      </c>
      <c r="I587" t="s">
        <v>151</v>
      </c>
      <c r="J587" t="s">
        <v>160</v>
      </c>
      <c r="K587" t="s">
        <v>266</v>
      </c>
      <c r="L587" t="s">
        <v>2107</v>
      </c>
      <c r="M587" t="s">
        <v>135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117</v>
      </c>
      <c r="U587" t="s">
        <v>118</v>
      </c>
      <c r="V587" s="2">
        <f t="shared" si="119"/>
        <v>0</v>
      </c>
      <c r="W587" s="2">
        <f t="shared" si="120"/>
        <v>27629.279999999999</v>
      </c>
      <c r="X587" s="2">
        <f>W587-R587</f>
        <v>5602.7999999999993</v>
      </c>
      <c r="Y587" s="2">
        <f t="shared" si="121"/>
        <v>0.20278487170132553</v>
      </c>
      <c r="Z587" s="2">
        <f t="shared" si="122"/>
        <v>3</v>
      </c>
      <c r="AA587" s="2">
        <f t="shared" si="123"/>
        <v>6</v>
      </c>
      <c r="AB587" s="2">
        <f t="shared" si="124"/>
        <v>2025</v>
      </c>
      <c r="AC587" s="2" t="str">
        <f t="shared" si="125"/>
        <v>Valid</v>
      </c>
      <c r="AD587" s="2">
        <f t="shared" si="126"/>
        <v>0</v>
      </c>
      <c r="AE587" s="2">
        <f t="shared" si="127"/>
        <v>0</v>
      </c>
      <c r="AH587" t="str">
        <f t="shared" si="118"/>
        <v>Diya Patel</v>
      </c>
      <c r="AI587" t="str">
        <f t="shared" si="118"/>
        <v>Small Business</v>
      </c>
      <c r="AJ587" t="str">
        <f t="shared" si="118"/>
        <v>West</v>
      </c>
      <c r="AK587" t="str">
        <f t="shared" si="117"/>
        <v>Maharashtra</v>
      </c>
      <c r="AL587" t="str">
        <f t="shared" si="117"/>
        <v>Mumbai</v>
      </c>
      <c r="AM587" t="str">
        <f t="shared" si="117"/>
        <v>Technology</v>
      </c>
      <c r="AN587" t="str">
        <f t="shared" si="117"/>
        <v>Phones</v>
      </c>
      <c r="AO587" t="str">
        <f t="shared" si="128"/>
        <v>First Class</v>
      </c>
      <c r="AP587" t="str">
        <f t="shared" si="129"/>
        <v>Paid</v>
      </c>
      <c r="AQ587" t="str">
        <f t="shared" si="129"/>
        <v>Completed</v>
      </c>
    </row>
    <row r="588" spans="1:43">
      <c r="A588" t="s">
        <v>2108</v>
      </c>
      <c r="B588" s="3">
        <v>45995</v>
      </c>
      <c r="C588" s="3">
        <v>45759</v>
      </c>
      <c r="D588" t="s">
        <v>2109</v>
      </c>
      <c r="E588" t="s">
        <v>121</v>
      </c>
      <c r="F588" t="s">
        <v>182</v>
      </c>
      <c r="G588" t="s">
        <v>110</v>
      </c>
      <c r="H588" t="s">
        <v>211</v>
      </c>
      <c r="I588" t="s">
        <v>212</v>
      </c>
      <c r="J588" t="s">
        <v>113</v>
      </c>
      <c r="K588" t="s">
        <v>246</v>
      </c>
      <c r="L588" t="s">
        <v>2110</v>
      </c>
      <c r="M588" t="s">
        <v>116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117</v>
      </c>
      <c r="U588" t="s">
        <v>118</v>
      </c>
      <c r="V588" s="2">
        <f t="shared" si="119"/>
        <v>0.2</v>
      </c>
      <c r="W588" s="2">
        <f t="shared" si="120"/>
        <v>7471.52</v>
      </c>
      <c r="X588" s="2">
        <f>W588-R588</f>
        <v>1287.2000000000007</v>
      </c>
      <c r="Y588" s="2">
        <f t="shared" si="121"/>
        <v>0.17228087457438387</v>
      </c>
      <c r="Z588" s="2">
        <f t="shared" si="122"/>
        <v>-236</v>
      </c>
      <c r="AA588" s="2">
        <f t="shared" si="123"/>
        <v>12</v>
      </c>
      <c r="AB588" s="2">
        <f t="shared" si="124"/>
        <v>2025</v>
      </c>
      <c r="AC588" s="2" t="str">
        <f t="shared" si="125"/>
        <v>Invalid shipping record</v>
      </c>
      <c r="AD588" s="2">
        <f t="shared" si="126"/>
        <v>0</v>
      </c>
      <c r="AE588" s="2">
        <f t="shared" si="127"/>
        <v>0</v>
      </c>
      <c r="AH588" t="str">
        <f t="shared" si="118"/>
        <v>Mira Das</v>
      </c>
      <c r="AI588" t="str">
        <f t="shared" si="118"/>
        <v>Home Office</v>
      </c>
      <c r="AJ588" t="str">
        <f t="shared" si="118"/>
        <v>North</v>
      </c>
      <c r="AK588" t="str">
        <f t="shared" si="117"/>
        <v>Punjab</v>
      </c>
      <c r="AL588" t="str">
        <f t="shared" si="117"/>
        <v>Ludhiana</v>
      </c>
      <c r="AM588" t="str">
        <f t="shared" si="117"/>
        <v>Office Supplies</v>
      </c>
      <c r="AN588" t="str">
        <f t="shared" si="117"/>
        <v>Binders</v>
      </c>
      <c r="AO588" t="str">
        <f t="shared" si="128"/>
        <v>Second Class</v>
      </c>
      <c r="AP588" t="str">
        <f t="shared" si="129"/>
        <v>Paid</v>
      </c>
      <c r="AQ588" t="str">
        <f t="shared" si="129"/>
        <v>Completed</v>
      </c>
    </row>
    <row r="589" spans="1:43">
      <c r="A589" t="s">
        <v>2111</v>
      </c>
      <c r="B589" s="3" t="s">
        <v>2112</v>
      </c>
      <c r="C589" s="3">
        <v>45869</v>
      </c>
      <c r="D589" t="s">
        <v>2113</v>
      </c>
      <c r="E589" t="s">
        <v>375</v>
      </c>
      <c r="F589" t="s">
        <v>182</v>
      </c>
      <c r="G589" t="s">
        <v>149</v>
      </c>
      <c r="H589" t="s">
        <v>158</v>
      </c>
      <c r="I589" t="s">
        <v>159</v>
      </c>
      <c r="J589" t="s">
        <v>160</v>
      </c>
      <c r="K589" t="s">
        <v>161</v>
      </c>
      <c r="L589" t="s">
        <v>2114</v>
      </c>
      <c r="M589" t="s">
        <v>135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189</v>
      </c>
      <c r="U589" t="s">
        <v>44</v>
      </c>
      <c r="V589" s="2">
        <f t="shared" si="119"/>
        <v>0.15</v>
      </c>
      <c r="W589" s="2">
        <f t="shared" si="120"/>
        <v>3615.7640000000001</v>
      </c>
      <c r="X589" s="2">
        <f>W589-R589</f>
        <v>664.24400000000014</v>
      </c>
      <c r="Y589" s="2">
        <f t="shared" si="121"/>
        <v>0.18370778623826114</v>
      </c>
      <c r="Z589" s="2" t="str">
        <f t="shared" si="122"/>
        <v/>
      </c>
      <c r="AA589" s="2" t="e">
        <f t="shared" si="123"/>
        <v>#VALUE!</v>
      </c>
      <c r="AB589" s="2" t="e">
        <f t="shared" si="124"/>
        <v>#VALUE!</v>
      </c>
      <c r="AC589" s="2" t="str">
        <f t="shared" si="125"/>
        <v>Text Value Not Recognized as Date</v>
      </c>
      <c r="AD589" s="2">
        <f t="shared" si="126"/>
        <v>0</v>
      </c>
      <c r="AE589" s="2">
        <f t="shared" si="127"/>
        <v>0</v>
      </c>
      <c r="AH589" t="str">
        <f t="shared" si="118"/>
        <v>Kabir Singh</v>
      </c>
      <c r="AI589" t="str">
        <f t="shared" si="118"/>
        <v>Home Office</v>
      </c>
      <c r="AJ589" t="str">
        <f t="shared" si="118"/>
        <v>West</v>
      </c>
      <c r="AK589" t="str">
        <f t="shared" si="117"/>
        <v>Madhya Pradesh</v>
      </c>
      <c r="AL589" t="str">
        <f t="shared" si="117"/>
        <v>Indore</v>
      </c>
      <c r="AM589" t="str">
        <f t="shared" si="117"/>
        <v>Technology</v>
      </c>
      <c r="AN589" t="str">
        <f t="shared" si="117"/>
        <v>Accessories</v>
      </c>
      <c r="AO589" t="str">
        <f t="shared" si="128"/>
        <v>First Class</v>
      </c>
      <c r="AP589" t="str">
        <f t="shared" si="129"/>
        <v>Refunded</v>
      </c>
      <c r="AQ589" t="str">
        <f t="shared" si="129"/>
        <v>Cancelled</v>
      </c>
    </row>
    <row r="590" spans="1:43">
      <c r="A590" t="s">
        <v>2115</v>
      </c>
      <c r="B590" s="3">
        <v>45727</v>
      </c>
      <c r="C590" s="3">
        <v>45731</v>
      </c>
      <c r="D590" t="s">
        <v>2116</v>
      </c>
      <c r="E590" t="s">
        <v>218</v>
      </c>
      <c r="F590" t="s">
        <v>182</v>
      </c>
      <c r="G590" t="s">
        <v>140</v>
      </c>
      <c r="H590" t="s">
        <v>270</v>
      </c>
      <c r="I590" t="s">
        <v>271</v>
      </c>
      <c r="J590" t="s">
        <v>160</v>
      </c>
      <c r="K590" t="s">
        <v>161</v>
      </c>
      <c r="L590" t="s">
        <v>2117</v>
      </c>
      <c r="M590" t="s">
        <v>116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189</v>
      </c>
      <c r="U590" t="s">
        <v>44</v>
      </c>
      <c r="V590" s="2">
        <f t="shared" si="119"/>
        <v>0.1</v>
      </c>
      <c r="W590" s="2">
        <f t="shared" si="120"/>
        <v>32013.791999999998</v>
      </c>
      <c r="X590" s="2">
        <f>W590-R590</f>
        <v>11116.911999999997</v>
      </c>
      <c r="Y590" s="2">
        <f t="shared" si="121"/>
        <v>0.34725383359771933</v>
      </c>
      <c r="Z590" s="2">
        <f t="shared" si="122"/>
        <v>4</v>
      </c>
      <c r="AA590" s="2">
        <f t="shared" si="123"/>
        <v>3</v>
      </c>
      <c r="AB590" s="2">
        <f t="shared" si="124"/>
        <v>2025</v>
      </c>
      <c r="AC590" s="2" t="str">
        <f t="shared" si="125"/>
        <v>Valid</v>
      </c>
      <c r="AD590" s="2">
        <f t="shared" si="126"/>
        <v>0</v>
      </c>
      <c r="AE590" s="2">
        <f t="shared" si="127"/>
        <v>0</v>
      </c>
      <c r="AH590" t="str">
        <f t="shared" si="118"/>
        <v>Aarav Sharma</v>
      </c>
      <c r="AI590" t="str">
        <f t="shared" si="118"/>
        <v>Home Office</v>
      </c>
      <c r="AJ590" t="str">
        <f t="shared" si="118"/>
        <v>South</v>
      </c>
      <c r="AK590" t="str">
        <f t="shared" si="117"/>
        <v>Karnataka</v>
      </c>
      <c r="AL590" t="str">
        <f t="shared" si="117"/>
        <v>Bengaluru</v>
      </c>
      <c r="AM590" t="str">
        <f t="shared" si="117"/>
        <v>Technology</v>
      </c>
      <c r="AN590" t="str">
        <f t="shared" si="117"/>
        <v>Accessories</v>
      </c>
      <c r="AO590" t="str">
        <f t="shared" si="128"/>
        <v>Second Class</v>
      </c>
      <c r="AP590" t="str">
        <f t="shared" si="129"/>
        <v>Refunded</v>
      </c>
      <c r="AQ590" t="str">
        <f t="shared" si="129"/>
        <v>Cancelled</v>
      </c>
    </row>
    <row r="591" spans="1:43">
      <c r="A591" t="s">
        <v>2118</v>
      </c>
      <c r="B591" s="3">
        <v>45632</v>
      </c>
      <c r="C591" s="3">
        <v>45638</v>
      </c>
      <c r="D591" t="s">
        <v>2119</v>
      </c>
      <c r="E591" t="s">
        <v>232</v>
      </c>
      <c r="F591" t="s">
        <v>177</v>
      </c>
      <c r="G591" t="s">
        <v>110</v>
      </c>
      <c r="H591" t="s">
        <v>227</v>
      </c>
      <c r="I591" t="s">
        <v>228</v>
      </c>
      <c r="J591" t="s">
        <v>160</v>
      </c>
      <c r="K591" t="s">
        <v>266</v>
      </c>
      <c r="L591" t="s">
        <v>2120</v>
      </c>
      <c r="M591" t="s">
        <v>135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117</v>
      </c>
      <c r="U591" t="s">
        <v>118</v>
      </c>
      <c r="V591" s="2">
        <f t="shared" si="119"/>
        <v>0</v>
      </c>
      <c r="W591" s="2">
        <f t="shared" si="120"/>
        <v>1574.25</v>
      </c>
      <c r="X591" s="2">
        <f>W591-R591</f>
        <v>248.13000000000011</v>
      </c>
      <c r="Y591" s="2">
        <f t="shared" si="121"/>
        <v>0.15761791329204389</v>
      </c>
      <c r="Z591" s="2">
        <f t="shared" si="122"/>
        <v>6</v>
      </c>
      <c r="AA591" s="2">
        <f t="shared" si="123"/>
        <v>12</v>
      </c>
      <c r="AB591" s="2">
        <f t="shared" si="124"/>
        <v>2024</v>
      </c>
      <c r="AC591" s="2" t="str">
        <f t="shared" si="125"/>
        <v>Valid</v>
      </c>
      <c r="AD591" s="2">
        <f t="shared" si="126"/>
        <v>0</v>
      </c>
      <c r="AE591" s="2">
        <f t="shared" si="127"/>
        <v>0</v>
      </c>
      <c r="AH591" t="str">
        <f t="shared" si="118"/>
        <v>Rohan Mehta</v>
      </c>
      <c r="AI591" t="str">
        <f t="shared" si="118"/>
        <v>Corporate</v>
      </c>
      <c r="AJ591" t="str">
        <f t="shared" si="118"/>
        <v>North</v>
      </c>
      <c r="AK591" t="str">
        <f t="shared" si="117"/>
        <v>Uttar Pradesh</v>
      </c>
      <c r="AL591" t="str">
        <f t="shared" si="117"/>
        <v>Noida</v>
      </c>
      <c r="AM591" t="str">
        <f t="shared" si="117"/>
        <v>Technology</v>
      </c>
      <c r="AN591" t="str">
        <f t="shared" si="117"/>
        <v>Phones</v>
      </c>
      <c r="AO591" t="str">
        <f t="shared" si="128"/>
        <v>First Class</v>
      </c>
      <c r="AP591" t="str">
        <f t="shared" si="129"/>
        <v>Paid</v>
      </c>
      <c r="AQ591" t="str">
        <f t="shared" si="129"/>
        <v>Completed</v>
      </c>
    </row>
    <row r="592" spans="1:43">
      <c r="A592" t="s">
        <v>2121</v>
      </c>
      <c r="B592" s="3" t="s">
        <v>308</v>
      </c>
      <c r="C592" s="3">
        <v>45441</v>
      </c>
      <c r="D592" t="s">
        <v>2122</v>
      </c>
      <c r="E592" t="s">
        <v>218</v>
      </c>
      <c r="F592" t="s">
        <v>182</v>
      </c>
      <c r="G592" t="s">
        <v>110</v>
      </c>
      <c r="H592" t="s">
        <v>465</v>
      </c>
      <c r="I592" t="s">
        <v>466</v>
      </c>
      <c r="J592" t="s">
        <v>126</v>
      </c>
      <c r="K592" t="s">
        <v>152</v>
      </c>
      <c r="L592" t="s">
        <v>2123</v>
      </c>
      <c r="M592" t="s">
        <v>129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199</v>
      </c>
      <c r="U592" t="s">
        <v>44</v>
      </c>
      <c r="V592" s="2">
        <f t="shared" si="119"/>
        <v>0</v>
      </c>
      <c r="W592" s="2">
        <f t="shared" si="120"/>
        <v>20582.099999999999</v>
      </c>
      <c r="X592" s="2">
        <f>W592-R592</f>
        <v>4684.4499999999989</v>
      </c>
      <c r="Y592" s="2">
        <f t="shared" si="121"/>
        <v>0.22759825285077806</v>
      </c>
      <c r="Z592" s="2" t="str">
        <f t="shared" si="122"/>
        <v/>
      </c>
      <c r="AA592" s="2" t="e">
        <f t="shared" si="123"/>
        <v>#VALUE!</v>
      </c>
      <c r="AB592" s="2" t="e">
        <f t="shared" si="124"/>
        <v>#VALUE!</v>
      </c>
      <c r="AC592" s="2" t="str">
        <f t="shared" si="125"/>
        <v>Text Value Not Recognized as Date</v>
      </c>
      <c r="AD592" s="2">
        <f t="shared" si="126"/>
        <v>0</v>
      </c>
      <c r="AE592" s="2">
        <f t="shared" si="127"/>
        <v>0</v>
      </c>
      <c r="AH592" t="str">
        <f t="shared" si="118"/>
        <v>Aarav Sharma</v>
      </c>
      <c r="AI592" t="str">
        <f t="shared" si="118"/>
        <v>Home Office</v>
      </c>
      <c r="AJ592" t="str">
        <f t="shared" si="118"/>
        <v>North</v>
      </c>
      <c r="AK592" t="str">
        <f t="shared" si="117"/>
        <v>Delhi</v>
      </c>
      <c r="AL592" t="str">
        <f t="shared" si="117"/>
        <v>New Delhi</v>
      </c>
      <c r="AM592" t="str">
        <f t="shared" si="117"/>
        <v>Furniture</v>
      </c>
      <c r="AN592" t="str">
        <f t="shared" si="117"/>
        <v>Chairs</v>
      </c>
      <c r="AO592" t="str">
        <f t="shared" si="128"/>
        <v>Same Day</v>
      </c>
      <c r="AP592" t="str">
        <f t="shared" si="129"/>
        <v>Pending</v>
      </c>
      <c r="AQ592" t="str">
        <f t="shared" si="129"/>
        <v>Cancelled</v>
      </c>
    </row>
    <row r="593" spans="1:43">
      <c r="A593" t="s">
        <v>2124</v>
      </c>
      <c r="B593" s="3">
        <v>45344</v>
      </c>
      <c r="C593" s="3" t="s">
        <v>2125</v>
      </c>
      <c r="D593" t="s">
        <v>2126</v>
      </c>
      <c r="E593" t="s">
        <v>222</v>
      </c>
      <c r="F593" t="s">
        <v>109</v>
      </c>
      <c r="G593" t="s">
        <v>140</v>
      </c>
      <c r="H593" t="s">
        <v>270</v>
      </c>
      <c r="I593" t="s">
        <v>271</v>
      </c>
      <c r="J593" t="s">
        <v>160</v>
      </c>
      <c r="K593" t="s">
        <v>166</v>
      </c>
      <c r="L593" t="s">
        <v>2127</v>
      </c>
      <c r="M593" t="s">
        <v>135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248</v>
      </c>
      <c r="U593" t="s">
        <v>190</v>
      </c>
      <c r="V593" s="2">
        <f t="shared" si="119"/>
        <v>0</v>
      </c>
      <c r="W593" s="2">
        <f t="shared" si="120"/>
        <v>10635.24</v>
      </c>
      <c r="X593" s="2">
        <f>W593-R593</f>
        <v>4603.3599999999997</v>
      </c>
      <c r="Y593" s="2">
        <f t="shared" si="121"/>
        <v>0.43284025560307055</v>
      </c>
      <c r="Z593" s="2" t="str">
        <f t="shared" si="122"/>
        <v/>
      </c>
      <c r="AA593" s="2">
        <f t="shared" si="123"/>
        <v>2</v>
      </c>
      <c r="AB593" s="2">
        <f t="shared" si="124"/>
        <v>2024</v>
      </c>
      <c r="AC593" s="2" t="str">
        <f t="shared" si="125"/>
        <v>Text Value Not Recognized as Date</v>
      </c>
      <c r="AD593" s="2">
        <f t="shared" si="126"/>
        <v>0</v>
      </c>
      <c r="AE593" s="2">
        <f t="shared" si="127"/>
        <v>0</v>
      </c>
      <c r="AH593" t="str">
        <f t="shared" si="118"/>
        <v>Sneha Kapoor</v>
      </c>
      <c r="AI593" t="str">
        <f t="shared" si="118"/>
        <v>Consumer</v>
      </c>
      <c r="AJ593" t="str">
        <f t="shared" si="118"/>
        <v>South</v>
      </c>
      <c r="AK593" t="str">
        <f t="shared" si="117"/>
        <v>Karnataka</v>
      </c>
      <c r="AL593" t="str">
        <f t="shared" si="117"/>
        <v>Bengaluru</v>
      </c>
      <c r="AM593" t="str">
        <f t="shared" si="117"/>
        <v>Technology</v>
      </c>
      <c r="AN593" t="str">
        <f t="shared" si="117"/>
        <v>Copiers</v>
      </c>
      <c r="AO593" t="str">
        <f t="shared" si="128"/>
        <v>First Class</v>
      </c>
      <c r="AP593" t="str">
        <f t="shared" si="129"/>
        <v>Failed</v>
      </c>
      <c r="AQ593" t="str">
        <f t="shared" si="129"/>
        <v>Returned</v>
      </c>
    </row>
    <row r="594" spans="1:43">
      <c r="A594" t="s">
        <v>2128</v>
      </c>
      <c r="B594" s="3">
        <v>45385</v>
      </c>
      <c r="C594" s="3">
        <v>45360</v>
      </c>
      <c r="D594" t="s">
        <v>2129</v>
      </c>
      <c r="E594" t="s">
        <v>121</v>
      </c>
      <c r="F594" t="s">
        <v>109</v>
      </c>
      <c r="G594" t="s">
        <v>123</v>
      </c>
      <c r="H594" t="s">
        <v>186</v>
      </c>
      <c r="I594" t="s">
        <v>187</v>
      </c>
      <c r="J594" t="s">
        <v>160</v>
      </c>
      <c r="K594" t="s">
        <v>161</v>
      </c>
      <c r="L594" t="s">
        <v>2130</v>
      </c>
      <c r="M594" t="s">
        <v>129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117</v>
      </c>
      <c r="U594" t="s">
        <v>118</v>
      </c>
      <c r="V594" s="2">
        <f t="shared" si="119"/>
        <v>0.15</v>
      </c>
      <c r="W594" s="2">
        <f t="shared" si="120"/>
        <v>29929.588</v>
      </c>
      <c r="X594" s="2">
        <f>W594-R594</f>
        <v>7493.5580000000009</v>
      </c>
      <c r="Y594" s="2">
        <f t="shared" si="121"/>
        <v>0.25037290857461858</v>
      </c>
      <c r="Z594" s="2">
        <f t="shared" si="122"/>
        <v>-25</v>
      </c>
      <c r="AA594" s="2">
        <f t="shared" si="123"/>
        <v>4</v>
      </c>
      <c r="AB594" s="2">
        <f t="shared" si="124"/>
        <v>2024</v>
      </c>
      <c r="AC594" s="2" t="str">
        <f t="shared" si="125"/>
        <v>Invalid shipping record</v>
      </c>
      <c r="AD594" s="2">
        <f t="shared" si="126"/>
        <v>0</v>
      </c>
      <c r="AE594" s="2">
        <f t="shared" si="127"/>
        <v>0</v>
      </c>
      <c r="AH594" t="str">
        <f t="shared" si="118"/>
        <v>Mira Das</v>
      </c>
      <c r="AI594" t="str">
        <f t="shared" si="118"/>
        <v>Consumer</v>
      </c>
      <c r="AJ594" t="str">
        <f t="shared" si="118"/>
        <v>East</v>
      </c>
      <c r="AK594" t="str">
        <f t="shared" si="117"/>
        <v>West Bengal</v>
      </c>
      <c r="AL594" t="str">
        <f t="shared" si="117"/>
        <v>Kolkata</v>
      </c>
      <c r="AM594" t="str">
        <f t="shared" si="117"/>
        <v>Technology</v>
      </c>
      <c r="AN594" t="str">
        <f t="shared" si="117"/>
        <v>Accessories</v>
      </c>
      <c r="AO594" t="str">
        <f t="shared" si="128"/>
        <v>Same Day</v>
      </c>
      <c r="AP594" t="str">
        <f t="shared" si="129"/>
        <v>Paid</v>
      </c>
      <c r="AQ594" t="str">
        <f t="shared" si="129"/>
        <v>Completed</v>
      </c>
    </row>
    <row r="595" spans="1:43">
      <c r="A595" t="s">
        <v>2131</v>
      </c>
      <c r="B595" s="3">
        <v>45927</v>
      </c>
      <c r="C595" s="3">
        <v>45929</v>
      </c>
      <c r="D595" t="s">
        <v>1911</v>
      </c>
      <c r="E595" t="s">
        <v>139</v>
      </c>
      <c r="F595" t="s">
        <v>182</v>
      </c>
      <c r="G595" t="s">
        <v>110</v>
      </c>
      <c r="H595" t="s">
        <v>227</v>
      </c>
      <c r="I595" t="s">
        <v>228</v>
      </c>
      <c r="J595" t="s">
        <v>126</v>
      </c>
      <c r="K595" t="s">
        <v>127</v>
      </c>
      <c r="L595" t="s">
        <v>2132</v>
      </c>
      <c r="M595" t="s">
        <v>116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117</v>
      </c>
      <c r="U595" t="s">
        <v>118</v>
      </c>
      <c r="V595" s="2">
        <f t="shared" si="119"/>
        <v>0.25</v>
      </c>
      <c r="W595" s="2">
        <f t="shared" si="120"/>
        <v>27675.7425</v>
      </c>
      <c r="X595" s="2">
        <f>W595-R595</f>
        <v>12104.6625</v>
      </c>
      <c r="Y595" s="2">
        <f t="shared" si="121"/>
        <v>0.4373744444254748</v>
      </c>
      <c r="Z595" s="2">
        <f t="shared" si="122"/>
        <v>2</v>
      </c>
      <c r="AA595" s="2">
        <f t="shared" si="123"/>
        <v>9</v>
      </c>
      <c r="AB595" s="2">
        <f t="shared" si="124"/>
        <v>2025</v>
      </c>
      <c r="AC595" s="2" t="str">
        <f t="shared" si="125"/>
        <v>Valid</v>
      </c>
      <c r="AD595" s="2">
        <f t="shared" si="126"/>
        <v>0</v>
      </c>
      <c r="AE595" s="2">
        <f t="shared" si="127"/>
        <v>0</v>
      </c>
      <c r="AH595" t="str">
        <f t="shared" si="118"/>
        <v>Arjun Bose</v>
      </c>
      <c r="AI595" t="str">
        <f t="shared" si="118"/>
        <v>Home Office</v>
      </c>
      <c r="AJ595" t="str">
        <f t="shared" si="118"/>
        <v>North</v>
      </c>
      <c r="AK595" t="str">
        <f t="shared" si="117"/>
        <v>Uttar Pradesh</v>
      </c>
      <c r="AL595" t="str">
        <f t="shared" si="117"/>
        <v>Noida</v>
      </c>
      <c r="AM595" t="str">
        <f t="shared" si="117"/>
        <v>Furniture</v>
      </c>
      <c r="AN595" t="str">
        <f t="shared" si="117"/>
        <v>Tables</v>
      </c>
      <c r="AO595" t="str">
        <f t="shared" si="128"/>
        <v>Second Class</v>
      </c>
      <c r="AP595" t="str">
        <f t="shared" si="129"/>
        <v>Paid</v>
      </c>
      <c r="AQ595" t="str">
        <f t="shared" si="129"/>
        <v>Completed</v>
      </c>
    </row>
    <row r="596" spans="1:43">
      <c r="A596" t="s">
        <v>2133</v>
      </c>
      <c r="B596" s="3">
        <v>45554</v>
      </c>
      <c r="C596" s="3">
        <v>45556</v>
      </c>
      <c r="D596" t="s">
        <v>2134</v>
      </c>
      <c r="E596" t="s">
        <v>108</v>
      </c>
      <c r="F596" t="s">
        <v>122</v>
      </c>
      <c r="G596" t="s">
        <v>123</v>
      </c>
      <c r="H596" t="s">
        <v>186</v>
      </c>
      <c r="I596" t="s">
        <v>187</v>
      </c>
      <c r="J596" t="s">
        <v>126</v>
      </c>
      <c r="K596" t="s">
        <v>152</v>
      </c>
      <c r="L596" t="s">
        <v>2135</v>
      </c>
      <c r="M596" t="s">
        <v>135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117</v>
      </c>
      <c r="U596" t="s">
        <v>118</v>
      </c>
      <c r="V596" s="2">
        <f t="shared" si="119"/>
        <v>0</v>
      </c>
      <c r="W596" s="2">
        <f t="shared" si="120"/>
        <v>11945.28</v>
      </c>
      <c r="X596" s="2">
        <f>W596-R596</f>
        <v>2244.9700000000012</v>
      </c>
      <c r="Y596" s="2">
        <f t="shared" si="121"/>
        <v>0.18793782983739193</v>
      </c>
      <c r="Z596" s="2">
        <f t="shared" si="122"/>
        <v>2</v>
      </c>
      <c r="AA596" s="2">
        <f t="shared" si="123"/>
        <v>9</v>
      </c>
      <c r="AB596" s="2">
        <f t="shared" si="124"/>
        <v>2024</v>
      </c>
      <c r="AC596" s="2" t="str">
        <f t="shared" si="125"/>
        <v>Valid</v>
      </c>
      <c r="AD596" s="2">
        <f t="shared" si="126"/>
        <v>0</v>
      </c>
      <c r="AE596" s="2">
        <f t="shared" si="127"/>
        <v>0</v>
      </c>
      <c r="AH596" t="str">
        <f t="shared" si="118"/>
        <v>Karan Malhotra</v>
      </c>
      <c r="AI596" t="str">
        <f t="shared" si="118"/>
        <v>Small Business</v>
      </c>
      <c r="AJ596" t="str">
        <f t="shared" si="118"/>
        <v>East</v>
      </c>
      <c r="AK596" t="str">
        <f t="shared" si="117"/>
        <v>West Bengal</v>
      </c>
      <c r="AL596" t="str">
        <f t="shared" si="117"/>
        <v>Kolkata</v>
      </c>
      <c r="AM596" t="str">
        <f t="shared" si="117"/>
        <v>Furniture</v>
      </c>
      <c r="AN596" t="str">
        <f t="shared" si="117"/>
        <v>Chairs</v>
      </c>
      <c r="AO596" t="str">
        <f t="shared" si="128"/>
        <v>First Class</v>
      </c>
      <c r="AP596" t="str">
        <f t="shared" si="129"/>
        <v>Paid</v>
      </c>
      <c r="AQ596" t="str">
        <f t="shared" si="129"/>
        <v>Completed</v>
      </c>
    </row>
    <row r="597" spans="1:43">
      <c r="A597" t="s">
        <v>2136</v>
      </c>
      <c r="B597" s="3">
        <v>45699</v>
      </c>
      <c r="C597" s="3" t="s">
        <v>2137</v>
      </c>
      <c r="D597" t="s">
        <v>2138</v>
      </c>
      <c r="E597" t="s">
        <v>121</v>
      </c>
      <c r="F597" t="s">
        <v>177</v>
      </c>
      <c r="G597" t="s">
        <v>110</v>
      </c>
      <c r="H597" t="s">
        <v>227</v>
      </c>
      <c r="I597" t="s">
        <v>228</v>
      </c>
      <c r="J597" t="s">
        <v>160</v>
      </c>
      <c r="K597" t="s">
        <v>266</v>
      </c>
      <c r="L597" t="s">
        <v>2139</v>
      </c>
      <c r="M597" t="s">
        <v>135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117</v>
      </c>
      <c r="U597" t="s">
        <v>118</v>
      </c>
      <c r="V597" s="2">
        <f t="shared" si="119"/>
        <v>0.1</v>
      </c>
      <c r="W597" s="2">
        <f t="shared" si="120"/>
        <v>13144.031999999999</v>
      </c>
      <c r="X597" s="2">
        <f>W597-R597</f>
        <v>3380.0319999999992</v>
      </c>
      <c r="Y597" s="2">
        <f t="shared" si="121"/>
        <v>0.25715336055176974</v>
      </c>
      <c r="Z597" s="2" t="str">
        <f t="shared" si="122"/>
        <v/>
      </c>
      <c r="AA597" s="2">
        <f t="shared" si="123"/>
        <v>2</v>
      </c>
      <c r="AB597" s="2">
        <f t="shared" si="124"/>
        <v>2025</v>
      </c>
      <c r="AC597" s="2" t="str">
        <f t="shared" si="125"/>
        <v>Text Value Not Recognized as Date</v>
      </c>
      <c r="AD597" s="2">
        <f t="shared" si="126"/>
        <v>0</v>
      </c>
      <c r="AE597" s="2">
        <f t="shared" si="127"/>
        <v>0</v>
      </c>
      <c r="AH597" t="str">
        <f t="shared" si="118"/>
        <v>Mira Das</v>
      </c>
      <c r="AI597" t="str">
        <f t="shared" si="118"/>
        <v>Corporate</v>
      </c>
      <c r="AJ597" t="str">
        <f t="shared" si="118"/>
        <v>North</v>
      </c>
      <c r="AK597" t="str">
        <f t="shared" si="117"/>
        <v>Uttar Pradesh</v>
      </c>
      <c r="AL597" t="str">
        <f t="shared" si="117"/>
        <v>Noida</v>
      </c>
      <c r="AM597" t="str">
        <f t="shared" si="117"/>
        <v>Technology</v>
      </c>
      <c r="AN597" t="str">
        <f t="shared" si="117"/>
        <v>Phones</v>
      </c>
      <c r="AO597" t="str">
        <f t="shared" si="128"/>
        <v>First Class</v>
      </c>
      <c r="AP597" t="str">
        <f t="shared" si="129"/>
        <v>Paid</v>
      </c>
      <c r="AQ597" t="str">
        <f t="shared" si="129"/>
        <v>Completed</v>
      </c>
    </row>
    <row r="598" spans="1:43">
      <c r="A598" t="s">
        <v>2140</v>
      </c>
      <c r="B598" s="3">
        <v>45392</v>
      </c>
      <c r="C598" s="3">
        <v>45398</v>
      </c>
      <c r="D598" t="s">
        <v>2141</v>
      </c>
      <c r="E598" t="s">
        <v>176</v>
      </c>
      <c r="F598" t="s">
        <v>109</v>
      </c>
      <c r="G598" t="s">
        <v>140</v>
      </c>
      <c r="H598" t="s">
        <v>282</v>
      </c>
      <c r="I598" t="s">
        <v>283</v>
      </c>
      <c r="J598" t="s">
        <v>126</v>
      </c>
      <c r="K598" t="s">
        <v>152</v>
      </c>
      <c r="L598" t="s">
        <v>2142</v>
      </c>
      <c r="M598" t="s">
        <v>116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117</v>
      </c>
      <c r="U598" t="s">
        <v>118</v>
      </c>
      <c r="V598" s="2">
        <f t="shared" si="119"/>
        <v>0.25</v>
      </c>
      <c r="W598" s="2">
        <f t="shared" si="120"/>
        <v>18382.005000000005</v>
      </c>
      <c r="X598" s="2">
        <f>W598-R598</f>
        <v>5273.8050000000039</v>
      </c>
      <c r="Y598" s="2">
        <f t="shared" si="121"/>
        <v>0.28690042245119629</v>
      </c>
      <c r="Z598" s="2">
        <f t="shared" si="122"/>
        <v>6</v>
      </c>
      <c r="AA598" s="2">
        <f t="shared" si="123"/>
        <v>4</v>
      </c>
      <c r="AB598" s="2">
        <f t="shared" si="124"/>
        <v>2024</v>
      </c>
      <c r="AC598" s="2" t="str">
        <f t="shared" si="125"/>
        <v>Valid</v>
      </c>
      <c r="AD598" s="2">
        <f t="shared" si="126"/>
        <v>0</v>
      </c>
      <c r="AE598" s="2">
        <f t="shared" si="127"/>
        <v>0</v>
      </c>
      <c r="AH598" t="str">
        <f t="shared" si="118"/>
        <v>Aditi Sen</v>
      </c>
      <c r="AI598" t="str">
        <f t="shared" si="118"/>
        <v>Consumer</v>
      </c>
      <c r="AJ598" t="str">
        <f t="shared" si="118"/>
        <v>South</v>
      </c>
      <c r="AK598" t="str">
        <f t="shared" si="118"/>
        <v>Kerala</v>
      </c>
      <c r="AL598" t="str">
        <f t="shared" si="118"/>
        <v>Kochi</v>
      </c>
      <c r="AM598" t="str">
        <f t="shared" si="118"/>
        <v>Furniture</v>
      </c>
      <c r="AN598" t="str">
        <f t="shared" si="118"/>
        <v>Chairs</v>
      </c>
      <c r="AO598" t="str">
        <f t="shared" si="128"/>
        <v>Second Class</v>
      </c>
      <c r="AP598" t="str">
        <f t="shared" si="129"/>
        <v>Paid</v>
      </c>
      <c r="AQ598" t="str">
        <f t="shared" si="129"/>
        <v>Completed</v>
      </c>
    </row>
    <row r="599" spans="1:43">
      <c r="A599" t="s">
        <v>2143</v>
      </c>
      <c r="B599" s="3">
        <v>45846</v>
      </c>
      <c r="C599" s="3">
        <v>45846</v>
      </c>
      <c r="D599" t="s">
        <v>2144</v>
      </c>
      <c r="E599" t="s">
        <v>176</v>
      </c>
      <c r="F599" t="s">
        <v>109</v>
      </c>
      <c r="G599" t="s">
        <v>140</v>
      </c>
      <c r="H599" t="s">
        <v>141</v>
      </c>
      <c r="I599" t="s">
        <v>142</v>
      </c>
      <c r="J599" t="s">
        <v>160</v>
      </c>
      <c r="K599" t="s">
        <v>166</v>
      </c>
      <c r="L599" t="s">
        <v>2145</v>
      </c>
      <c r="M599" t="s">
        <v>129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117</v>
      </c>
      <c r="U599" t="s">
        <v>118</v>
      </c>
      <c r="V599" s="2">
        <f t="shared" si="119"/>
        <v>0.25</v>
      </c>
      <c r="W599" s="2">
        <f t="shared" si="120"/>
        <v>1855.44</v>
      </c>
      <c r="X599" s="2">
        <f>W599-R599</f>
        <v>592.70000000000005</v>
      </c>
      <c r="Y599" s="2">
        <f t="shared" si="121"/>
        <v>0.3194390548872505</v>
      </c>
      <c r="Z599" s="2">
        <f t="shared" si="122"/>
        <v>0</v>
      </c>
      <c r="AA599" s="2">
        <f t="shared" si="123"/>
        <v>7</v>
      </c>
      <c r="AB599" s="2">
        <f t="shared" si="124"/>
        <v>2025</v>
      </c>
      <c r="AC599" s="2" t="str">
        <f t="shared" si="125"/>
        <v>Valid</v>
      </c>
      <c r="AD599" s="2">
        <f t="shared" si="126"/>
        <v>0</v>
      </c>
      <c r="AE599" s="2">
        <f t="shared" si="127"/>
        <v>0</v>
      </c>
      <c r="AH599" t="str">
        <f t="shared" ref="AH599:AN662" si="130">PROPER(TRIM(E599))</f>
        <v>Aditi Sen</v>
      </c>
      <c r="AI599" t="str">
        <f t="shared" si="130"/>
        <v>Consumer</v>
      </c>
      <c r="AJ599" t="str">
        <f t="shared" si="130"/>
        <v>South</v>
      </c>
      <c r="AK599" t="str">
        <f t="shared" si="130"/>
        <v>Telangana</v>
      </c>
      <c r="AL599" t="str">
        <f t="shared" si="130"/>
        <v>Hyderabad</v>
      </c>
      <c r="AM599" t="str">
        <f t="shared" si="130"/>
        <v>Technology</v>
      </c>
      <c r="AN599" t="str">
        <f t="shared" si="130"/>
        <v>Copiers</v>
      </c>
      <c r="AO599" t="str">
        <f t="shared" si="128"/>
        <v>Same Day</v>
      </c>
      <c r="AP599" t="str">
        <f t="shared" si="129"/>
        <v>Paid</v>
      </c>
      <c r="AQ599" t="str">
        <f t="shared" si="129"/>
        <v>Completed</v>
      </c>
    </row>
    <row r="600" spans="1:43">
      <c r="A600" t="s">
        <v>2146</v>
      </c>
      <c r="B600" s="3">
        <v>45521</v>
      </c>
      <c r="C600" s="3">
        <v>45528</v>
      </c>
      <c r="D600" t="s">
        <v>2147</v>
      </c>
      <c r="E600" t="s">
        <v>148</v>
      </c>
      <c r="F600" t="s">
        <v>177</v>
      </c>
      <c r="G600" t="s">
        <v>123</v>
      </c>
      <c r="H600" t="s">
        <v>186</v>
      </c>
      <c r="I600" t="s">
        <v>187</v>
      </c>
      <c r="J600" t="s">
        <v>160</v>
      </c>
      <c r="K600" t="s">
        <v>166</v>
      </c>
      <c r="L600" t="s">
        <v>2148</v>
      </c>
      <c r="M600" t="s">
        <v>129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117</v>
      </c>
      <c r="U600" t="s">
        <v>118</v>
      </c>
      <c r="V600" s="2">
        <f t="shared" si="119"/>
        <v>0.25</v>
      </c>
      <c r="W600" s="2">
        <f t="shared" si="120"/>
        <v>3354.0524999999998</v>
      </c>
      <c r="X600" s="2">
        <f>W600-R600</f>
        <v>681.38249999999971</v>
      </c>
      <c r="Y600" s="2">
        <f t="shared" si="121"/>
        <v>0.20315200790685289</v>
      </c>
      <c r="Z600" s="2">
        <f t="shared" si="122"/>
        <v>7</v>
      </c>
      <c r="AA600" s="2">
        <f t="shared" si="123"/>
        <v>8</v>
      </c>
      <c r="AB600" s="2">
        <f t="shared" si="124"/>
        <v>2024</v>
      </c>
      <c r="AC600" s="2" t="str">
        <f t="shared" si="125"/>
        <v>Conflicting Duplicate Order ID</v>
      </c>
      <c r="AD600" s="2">
        <f t="shared" si="126"/>
        <v>0</v>
      </c>
      <c r="AE600" s="2">
        <f t="shared" si="127"/>
        <v>0</v>
      </c>
      <c r="AH600" t="str">
        <f t="shared" si="130"/>
        <v>Ananya Rao</v>
      </c>
      <c r="AI600" t="str">
        <f t="shared" si="130"/>
        <v>Corporate</v>
      </c>
      <c r="AJ600" t="str">
        <f t="shared" si="130"/>
        <v>East</v>
      </c>
      <c r="AK600" t="str">
        <f t="shared" si="130"/>
        <v>West Bengal</v>
      </c>
      <c r="AL600" t="str">
        <f t="shared" si="130"/>
        <v>Kolkata</v>
      </c>
      <c r="AM600" t="str">
        <f t="shared" si="130"/>
        <v>Technology</v>
      </c>
      <c r="AN600" t="str">
        <f t="shared" si="130"/>
        <v>Copiers</v>
      </c>
      <c r="AO600" t="str">
        <f t="shared" si="128"/>
        <v>Same Day</v>
      </c>
      <c r="AP600" t="str">
        <f t="shared" si="129"/>
        <v>Paid</v>
      </c>
      <c r="AQ600" t="str">
        <f t="shared" si="129"/>
        <v>Completed</v>
      </c>
    </row>
    <row r="601" spans="1:43">
      <c r="A601" t="s">
        <v>2149</v>
      </c>
      <c r="B601" s="3" t="s">
        <v>2150</v>
      </c>
      <c r="C601" s="3">
        <v>45525</v>
      </c>
      <c r="D601" t="s">
        <v>2151</v>
      </c>
      <c r="E601" t="s">
        <v>139</v>
      </c>
      <c r="F601" t="s">
        <v>109</v>
      </c>
      <c r="G601" t="s">
        <v>110</v>
      </c>
      <c r="H601" t="s">
        <v>211</v>
      </c>
      <c r="I601" t="s">
        <v>212</v>
      </c>
      <c r="J601" t="s">
        <v>160</v>
      </c>
      <c r="K601" t="s">
        <v>266</v>
      </c>
      <c r="L601" t="s">
        <v>2152</v>
      </c>
      <c r="M601" t="s">
        <v>135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117</v>
      </c>
      <c r="U601" t="s">
        <v>118</v>
      </c>
      <c r="V601" s="2">
        <f t="shared" si="119"/>
        <v>0.25</v>
      </c>
      <c r="W601" s="2">
        <f t="shared" si="120"/>
        <v>2482.9650000000001</v>
      </c>
      <c r="X601" s="2">
        <f>W601-R601</f>
        <v>861.24500000000012</v>
      </c>
      <c r="Y601" s="2">
        <f t="shared" si="121"/>
        <v>0.34686151435884116</v>
      </c>
      <c r="Z601" s="2" t="str">
        <f t="shared" si="122"/>
        <v/>
      </c>
      <c r="AA601" s="2" t="e">
        <f t="shared" si="123"/>
        <v>#VALUE!</v>
      </c>
      <c r="AB601" s="2" t="e">
        <f t="shared" si="124"/>
        <v>#VALUE!</v>
      </c>
      <c r="AC601" s="2" t="str">
        <f t="shared" si="125"/>
        <v>Text Value Not Recognized as Date</v>
      </c>
      <c r="AD601" s="2">
        <f t="shared" si="126"/>
        <v>0</v>
      </c>
      <c r="AE601" s="2">
        <f t="shared" si="127"/>
        <v>0</v>
      </c>
      <c r="AH601" t="str">
        <f t="shared" si="130"/>
        <v>Arjun Bose</v>
      </c>
      <c r="AI601" t="str">
        <f t="shared" si="130"/>
        <v>Consumer</v>
      </c>
      <c r="AJ601" t="str">
        <f t="shared" si="130"/>
        <v>North</v>
      </c>
      <c r="AK601" t="str">
        <f t="shared" si="130"/>
        <v>Punjab</v>
      </c>
      <c r="AL601" t="str">
        <f t="shared" si="130"/>
        <v>Ludhiana</v>
      </c>
      <c r="AM601" t="str">
        <f t="shared" si="130"/>
        <v>Technology</v>
      </c>
      <c r="AN601" t="str">
        <f t="shared" si="130"/>
        <v>Phones</v>
      </c>
      <c r="AO601" t="str">
        <f t="shared" si="128"/>
        <v>First Class</v>
      </c>
      <c r="AP601" t="str">
        <f t="shared" si="129"/>
        <v>Paid</v>
      </c>
      <c r="AQ601" t="str">
        <f t="shared" si="129"/>
        <v>Completed</v>
      </c>
    </row>
    <row r="602" spans="1:43">
      <c r="A602" t="s">
        <v>2153</v>
      </c>
      <c r="B602" s="3">
        <v>45780</v>
      </c>
      <c r="C602" s="3">
        <v>45728</v>
      </c>
      <c r="D602" t="s">
        <v>2154</v>
      </c>
      <c r="E602" t="s">
        <v>148</v>
      </c>
      <c r="F602" t="s">
        <v>177</v>
      </c>
      <c r="G602" t="s">
        <v>149</v>
      </c>
      <c r="H602" t="s">
        <v>158</v>
      </c>
      <c r="I602" t="s">
        <v>159</v>
      </c>
      <c r="J602" t="s">
        <v>113</v>
      </c>
      <c r="K602" t="s">
        <v>213</v>
      </c>
      <c r="L602" t="s">
        <v>2155</v>
      </c>
      <c r="M602" t="s">
        <v>129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117</v>
      </c>
      <c r="U602" t="s">
        <v>118</v>
      </c>
      <c r="V602" s="2">
        <f t="shared" si="119"/>
        <v>0</v>
      </c>
      <c r="W602" s="2">
        <f t="shared" si="120"/>
        <v>11048.25</v>
      </c>
      <c r="X602" s="2">
        <f>W602-R602</f>
        <v>1985.5300000000007</v>
      </c>
      <c r="Y602" s="2">
        <f t="shared" si="121"/>
        <v>0.17971443441268986</v>
      </c>
      <c r="Z602" s="2">
        <f t="shared" si="122"/>
        <v>-52</v>
      </c>
      <c r="AA602" s="2">
        <f t="shared" si="123"/>
        <v>5</v>
      </c>
      <c r="AB602" s="2">
        <f t="shared" si="124"/>
        <v>2025</v>
      </c>
      <c r="AC602" s="2" t="str">
        <f t="shared" si="125"/>
        <v>Invalid shipping record</v>
      </c>
      <c r="AD602" s="2">
        <f t="shared" si="126"/>
        <v>0</v>
      </c>
      <c r="AE602" s="2">
        <f t="shared" si="127"/>
        <v>0</v>
      </c>
      <c r="AH602" t="str">
        <f t="shared" si="130"/>
        <v>Ananya Rao</v>
      </c>
      <c r="AI602" t="str">
        <f t="shared" si="130"/>
        <v>Corporate</v>
      </c>
      <c r="AJ602" t="str">
        <f t="shared" si="130"/>
        <v>West</v>
      </c>
      <c r="AK602" t="str">
        <f t="shared" si="130"/>
        <v>Madhya Pradesh</v>
      </c>
      <c r="AL602" t="str">
        <f t="shared" si="130"/>
        <v>Indore</v>
      </c>
      <c r="AM602" t="str">
        <f t="shared" si="130"/>
        <v>Office Supplies</v>
      </c>
      <c r="AN602" t="str">
        <f t="shared" si="130"/>
        <v>Storage</v>
      </c>
      <c r="AO602" t="str">
        <f t="shared" si="128"/>
        <v>Same Day</v>
      </c>
      <c r="AP602" t="str">
        <f t="shared" si="129"/>
        <v>Paid</v>
      </c>
      <c r="AQ602" t="str">
        <f t="shared" si="129"/>
        <v>Completed</v>
      </c>
    </row>
    <row r="603" spans="1:43">
      <c r="A603" t="s">
        <v>2156</v>
      </c>
      <c r="B603" s="3">
        <v>45317</v>
      </c>
      <c r="C603" s="3">
        <v>45322</v>
      </c>
      <c r="D603" t="s">
        <v>2157</v>
      </c>
      <c r="E603" t="s">
        <v>148</v>
      </c>
      <c r="F603" t="s">
        <v>182</v>
      </c>
      <c r="G603" t="s">
        <v>123</v>
      </c>
      <c r="H603" t="s">
        <v>186</v>
      </c>
      <c r="I603" t="s">
        <v>187</v>
      </c>
      <c r="J603" t="s">
        <v>113</v>
      </c>
      <c r="K603" t="s">
        <v>114</v>
      </c>
      <c r="L603" t="s">
        <v>2158</v>
      </c>
      <c r="M603" t="s">
        <v>116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117</v>
      </c>
      <c r="U603" t="s">
        <v>118</v>
      </c>
      <c r="V603" s="2">
        <f t="shared" si="119"/>
        <v>0.2</v>
      </c>
      <c r="W603" s="2">
        <f t="shared" si="120"/>
        <v>6460.12</v>
      </c>
      <c r="X603" s="2">
        <f>W603-R603</f>
        <v>2856.0899999999997</v>
      </c>
      <c r="Y603" s="2">
        <f t="shared" si="121"/>
        <v>0.44211098245853014</v>
      </c>
      <c r="Z603" s="2">
        <f t="shared" si="122"/>
        <v>5</v>
      </c>
      <c r="AA603" s="2">
        <f t="shared" si="123"/>
        <v>1</v>
      </c>
      <c r="AB603" s="2">
        <f t="shared" si="124"/>
        <v>2024</v>
      </c>
      <c r="AC603" s="2" t="str">
        <f t="shared" si="125"/>
        <v>Valid</v>
      </c>
      <c r="AD603" s="2">
        <f t="shared" si="126"/>
        <v>0</v>
      </c>
      <c r="AE603" s="2">
        <f t="shared" si="127"/>
        <v>0</v>
      </c>
      <c r="AH603" t="str">
        <f t="shared" si="130"/>
        <v>Ananya Rao</v>
      </c>
      <c r="AI603" t="str">
        <f t="shared" si="130"/>
        <v>Home Office</v>
      </c>
      <c r="AJ603" t="str">
        <f t="shared" si="130"/>
        <v>East</v>
      </c>
      <c r="AK603" t="str">
        <f t="shared" si="130"/>
        <v>West Bengal</v>
      </c>
      <c r="AL603" t="str">
        <f t="shared" si="130"/>
        <v>Kolkata</v>
      </c>
      <c r="AM603" t="str">
        <f t="shared" si="130"/>
        <v>Office Supplies</v>
      </c>
      <c r="AN603" t="str">
        <f t="shared" si="130"/>
        <v>Paper</v>
      </c>
      <c r="AO603" t="str">
        <f t="shared" si="128"/>
        <v>Second Class</v>
      </c>
      <c r="AP603" t="str">
        <f t="shared" si="129"/>
        <v>Paid</v>
      </c>
      <c r="AQ603" t="str">
        <f t="shared" si="129"/>
        <v>Completed</v>
      </c>
    </row>
    <row r="604" spans="1:43">
      <c r="A604" t="s">
        <v>2159</v>
      </c>
      <c r="B604" s="3" t="s">
        <v>2160</v>
      </c>
      <c r="C604" s="3">
        <v>45595</v>
      </c>
      <c r="D604" t="s">
        <v>2161</v>
      </c>
      <c r="E604" t="s">
        <v>218</v>
      </c>
      <c r="F604" t="s">
        <v>109</v>
      </c>
      <c r="G604" t="s">
        <v>123</v>
      </c>
      <c r="H604" t="s">
        <v>335</v>
      </c>
      <c r="I604" t="s">
        <v>336</v>
      </c>
      <c r="J604" t="s">
        <v>160</v>
      </c>
      <c r="K604" t="s">
        <v>166</v>
      </c>
      <c r="L604" t="s">
        <v>2162</v>
      </c>
      <c r="M604" t="s">
        <v>116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117</v>
      </c>
      <c r="U604" t="s">
        <v>118</v>
      </c>
      <c r="V604" s="2">
        <f t="shared" si="119"/>
        <v>0.15</v>
      </c>
      <c r="W604" s="2">
        <f t="shared" si="120"/>
        <v>26192.223000000002</v>
      </c>
      <c r="X604" s="2">
        <f>W604-R604</f>
        <v>5396.6730000000025</v>
      </c>
      <c r="Y604" s="2">
        <f t="shared" si="121"/>
        <v>0.20604104508426041</v>
      </c>
      <c r="Z604" s="2" t="str">
        <f t="shared" si="122"/>
        <v/>
      </c>
      <c r="AA604" s="2" t="e">
        <f t="shared" si="123"/>
        <v>#VALUE!</v>
      </c>
      <c r="AB604" s="2" t="e">
        <f t="shared" si="124"/>
        <v>#VALUE!</v>
      </c>
      <c r="AC604" s="2" t="str">
        <f t="shared" si="125"/>
        <v>Text Value Not Recognized as Date</v>
      </c>
      <c r="AD604" s="2">
        <f t="shared" si="126"/>
        <v>0</v>
      </c>
      <c r="AE604" s="2">
        <f t="shared" si="127"/>
        <v>0</v>
      </c>
      <c r="AH604" t="str">
        <f t="shared" si="130"/>
        <v>Aarav Sharma</v>
      </c>
      <c r="AI604" t="str">
        <f t="shared" si="130"/>
        <v>Consumer</v>
      </c>
      <c r="AJ604" t="str">
        <f t="shared" si="130"/>
        <v>East</v>
      </c>
      <c r="AK604" t="str">
        <f t="shared" si="130"/>
        <v>Jharkhand</v>
      </c>
      <c r="AL604" t="str">
        <f t="shared" si="130"/>
        <v>Ranchi</v>
      </c>
      <c r="AM604" t="str">
        <f t="shared" si="130"/>
        <v>Technology</v>
      </c>
      <c r="AN604" t="str">
        <f t="shared" si="130"/>
        <v>Copiers</v>
      </c>
      <c r="AO604" t="str">
        <f t="shared" si="128"/>
        <v>Second Class</v>
      </c>
      <c r="AP604" t="str">
        <f t="shared" si="129"/>
        <v>Paid</v>
      </c>
      <c r="AQ604" t="str">
        <f t="shared" si="129"/>
        <v>Completed</v>
      </c>
    </row>
    <row r="605" spans="1:43">
      <c r="A605" t="s">
        <v>2163</v>
      </c>
      <c r="B605" s="3">
        <v>45660</v>
      </c>
      <c r="C605" s="3">
        <v>45962</v>
      </c>
      <c r="D605" t="s">
        <v>448</v>
      </c>
      <c r="E605" t="s">
        <v>157</v>
      </c>
      <c r="F605" t="s">
        <v>177</v>
      </c>
      <c r="G605" t="s">
        <v>123</v>
      </c>
      <c r="H605" t="s">
        <v>237</v>
      </c>
      <c r="I605" t="s">
        <v>238</v>
      </c>
      <c r="J605" t="s">
        <v>160</v>
      </c>
      <c r="K605" t="s">
        <v>161</v>
      </c>
      <c r="L605" t="s">
        <v>2164</v>
      </c>
      <c r="M605" t="s">
        <v>135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199</v>
      </c>
      <c r="U605" t="s">
        <v>44</v>
      </c>
      <c r="V605" s="2">
        <f t="shared" si="119"/>
        <v>0.05</v>
      </c>
      <c r="W605" s="2">
        <f t="shared" si="120"/>
        <v>19564.603999999999</v>
      </c>
      <c r="X605" s="2">
        <f>W605-R605</f>
        <v>8410.0139999999992</v>
      </c>
      <c r="Y605" s="2">
        <f t="shared" si="121"/>
        <v>0.42985863654587642</v>
      </c>
      <c r="Z605" s="2">
        <f t="shared" si="122"/>
        <v>302</v>
      </c>
      <c r="AA605" s="2">
        <f t="shared" si="123"/>
        <v>1</v>
      </c>
      <c r="AB605" s="2">
        <f t="shared" si="124"/>
        <v>2025</v>
      </c>
      <c r="AC605" s="2" t="str">
        <f t="shared" si="125"/>
        <v>Valid</v>
      </c>
      <c r="AD605" s="2">
        <f t="shared" si="126"/>
        <v>0</v>
      </c>
      <c r="AE605" s="2">
        <f t="shared" si="127"/>
        <v>0</v>
      </c>
      <c r="AH605" t="str">
        <f t="shared" si="130"/>
        <v>Vikram Iyer</v>
      </c>
      <c r="AI605" t="str">
        <f t="shared" si="130"/>
        <v>Corporate</v>
      </c>
      <c r="AJ605" t="str">
        <f t="shared" si="130"/>
        <v>East</v>
      </c>
      <c r="AK605" t="str">
        <f t="shared" si="130"/>
        <v>Bihar</v>
      </c>
      <c r="AL605" t="str">
        <f t="shared" si="130"/>
        <v>Patna</v>
      </c>
      <c r="AM605" t="str">
        <f t="shared" si="130"/>
        <v>Technology</v>
      </c>
      <c r="AN605" t="str">
        <f t="shared" si="130"/>
        <v>Accessories</v>
      </c>
      <c r="AO605" t="str">
        <f t="shared" si="128"/>
        <v>First Class</v>
      </c>
      <c r="AP605" t="str">
        <f t="shared" si="129"/>
        <v>Pending</v>
      </c>
      <c r="AQ605" t="str">
        <f t="shared" si="129"/>
        <v>Cancelled</v>
      </c>
    </row>
    <row r="606" spans="1:43">
      <c r="A606" t="s">
        <v>2165</v>
      </c>
      <c r="B606" s="3">
        <v>45779</v>
      </c>
      <c r="C606" s="3">
        <v>45694</v>
      </c>
      <c r="D606" t="s">
        <v>2166</v>
      </c>
      <c r="E606" t="s">
        <v>148</v>
      </c>
      <c r="F606" t="s">
        <v>109</v>
      </c>
      <c r="G606" t="s">
        <v>149</v>
      </c>
      <c r="H606" t="s">
        <v>158</v>
      </c>
      <c r="I606" t="s">
        <v>159</v>
      </c>
      <c r="J606" t="s">
        <v>113</v>
      </c>
      <c r="K606" t="s">
        <v>246</v>
      </c>
      <c r="L606" t="s">
        <v>2167</v>
      </c>
      <c r="M606" t="s">
        <v>129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117</v>
      </c>
      <c r="U606" t="s">
        <v>118</v>
      </c>
      <c r="V606" s="2">
        <f t="shared" si="119"/>
        <v>0</v>
      </c>
      <c r="W606" s="2">
        <f t="shared" si="120"/>
        <v>3228.8999999999996</v>
      </c>
      <c r="X606" s="2">
        <f>W606-R606</f>
        <v>1375.6699999999996</v>
      </c>
      <c r="Y606" s="2">
        <f t="shared" si="121"/>
        <v>0.42604911889497965</v>
      </c>
      <c r="Z606" s="2">
        <f t="shared" si="122"/>
        <v>-85</v>
      </c>
      <c r="AA606" s="2">
        <f t="shared" si="123"/>
        <v>5</v>
      </c>
      <c r="AB606" s="2">
        <f t="shared" si="124"/>
        <v>2025</v>
      </c>
      <c r="AC606" s="2" t="str">
        <f t="shared" si="125"/>
        <v>Invalid shipping record</v>
      </c>
      <c r="AD606" s="2">
        <f t="shared" si="126"/>
        <v>0</v>
      </c>
      <c r="AE606" s="2">
        <f t="shared" si="127"/>
        <v>0</v>
      </c>
      <c r="AH606" t="str">
        <f t="shared" si="130"/>
        <v>Ananya Rao</v>
      </c>
      <c r="AI606" t="str">
        <f t="shared" si="130"/>
        <v>Consumer</v>
      </c>
      <c r="AJ606" t="str">
        <f t="shared" si="130"/>
        <v>West</v>
      </c>
      <c r="AK606" t="str">
        <f t="shared" si="130"/>
        <v>Madhya Pradesh</v>
      </c>
      <c r="AL606" t="str">
        <f t="shared" si="130"/>
        <v>Indore</v>
      </c>
      <c r="AM606" t="str">
        <f t="shared" si="130"/>
        <v>Office Supplies</v>
      </c>
      <c r="AN606" t="str">
        <f t="shared" si="130"/>
        <v>Binders</v>
      </c>
      <c r="AO606" t="str">
        <f t="shared" si="128"/>
        <v>Same Day</v>
      </c>
      <c r="AP606" t="str">
        <f t="shared" si="129"/>
        <v>Paid</v>
      </c>
      <c r="AQ606" t="str">
        <f t="shared" si="129"/>
        <v>Completed</v>
      </c>
    </row>
    <row r="607" spans="1:43">
      <c r="A607" t="s">
        <v>2168</v>
      </c>
      <c r="B607" s="3">
        <v>45847</v>
      </c>
      <c r="C607" s="3">
        <v>45851</v>
      </c>
      <c r="D607" t="s">
        <v>2169</v>
      </c>
      <c r="E607" t="s">
        <v>375</v>
      </c>
      <c r="F607" t="s">
        <v>177</v>
      </c>
      <c r="G607" t="s">
        <v>149</v>
      </c>
      <c r="H607" t="s">
        <v>287</v>
      </c>
      <c r="I607" t="s">
        <v>288</v>
      </c>
      <c r="J607" t="s">
        <v>126</v>
      </c>
      <c r="K607" t="s">
        <v>143</v>
      </c>
      <c r="L607" t="s">
        <v>2170</v>
      </c>
      <c r="M607" t="s">
        <v>116</v>
      </c>
      <c r="N607">
        <v>5</v>
      </c>
      <c r="O607">
        <v>1680.01</v>
      </c>
      <c r="P607" t="s">
        <v>931</v>
      </c>
      <c r="Q607">
        <v>7560.04</v>
      </c>
      <c r="R607">
        <v>6448.05</v>
      </c>
      <c r="S607">
        <v>1111.99</v>
      </c>
      <c r="T607" t="s">
        <v>117</v>
      </c>
      <c r="U607" t="s">
        <v>44</v>
      </c>
      <c r="V607" s="2" t="str">
        <f t="shared" si="119"/>
        <v>85%</v>
      </c>
      <c r="W607" s="2">
        <f t="shared" si="120"/>
        <v>1260.0075000000002</v>
      </c>
      <c r="X607" s="2">
        <f>W607-R607</f>
        <v>-5188.0424999999996</v>
      </c>
      <c r="Y607" s="2">
        <f t="shared" si="121"/>
        <v>-4.1174695388717915</v>
      </c>
      <c r="Z607" s="2">
        <f t="shared" si="122"/>
        <v>4</v>
      </c>
      <c r="AA607" s="2">
        <f t="shared" si="123"/>
        <v>7</v>
      </c>
      <c r="AB607" s="2">
        <f t="shared" si="124"/>
        <v>2025</v>
      </c>
      <c r="AC607" s="2" t="str">
        <f t="shared" si="125"/>
        <v>Invalid</v>
      </c>
      <c r="AD607" s="2">
        <f t="shared" si="126"/>
        <v>1</v>
      </c>
      <c r="AE607" s="2">
        <f t="shared" si="127"/>
        <v>1</v>
      </c>
      <c r="AH607" t="str">
        <f t="shared" si="130"/>
        <v>Kabir Singh</v>
      </c>
      <c r="AI607" t="str">
        <f t="shared" si="130"/>
        <v>Corporate</v>
      </c>
      <c r="AJ607" t="str">
        <f t="shared" si="130"/>
        <v>West</v>
      </c>
      <c r="AK607" t="str">
        <f t="shared" si="130"/>
        <v>Goa</v>
      </c>
      <c r="AL607" t="str">
        <f t="shared" si="130"/>
        <v>Panaji</v>
      </c>
      <c r="AM607" t="str">
        <f t="shared" si="130"/>
        <v>Furniture</v>
      </c>
      <c r="AN607" t="str">
        <f t="shared" si="130"/>
        <v>Furnishings</v>
      </c>
      <c r="AO607" t="str">
        <f t="shared" si="128"/>
        <v>Second Class</v>
      </c>
      <c r="AP607" t="str">
        <f t="shared" si="129"/>
        <v>Paid</v>
      </c>
      <c r="AQ607" t="str">
        <f t="shared" si="129"/>
        <v>Cancelled</v>
      </c>
    </row>
    <row r="608" spans="1:43">
      <c r="A608" t="s">
        <v>2171</v>
      </c>
      <c r="B608" s="3">
        <v>45710</v>
      </c>
      <c r="C608" s="3">
        <v>45716</v>
      </c>
      <c r="D608" t="s">
        <v>2172</v>
      </c>
      <c r="E608" t="s">
        <v>207</v>
      </c>
      <c r="F608" t="s">
        <v>182</v>
      </c>
      <c r="G608" t="s">
        <v>149</v>
      </c>
      <c r="H608" t="s">
        <v>158</v>
      </c>
      <c r="I608" t="s">
        <v>159</v>
      </c>
      <c r="J608" t="s">
        <v>160</v>
      </c>
      <c r="K608" t="s">
        <v>166</v>
      </c>
      <c r="L608" t="s">
        <v>2173</v>
      </c>
      <c r="M608" t="s">
        <v>129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117</v>
      </c>
      <c r="U608" t="s">
        <v>118</v>
      </c>
      <c r="V608" s="2">
        <f t="shared" si="119"/>
        <v>0.25</v>
      </c>
      <c r="W608" s="2">
        <f t="shared" si="120"/>
        <v>8754.3225000000002</v>
      </c>
      <c r="X608" s="2">
        <f>W608-R608</f>
        <v>2515.4225000000006</v>
      </c>
      <c r="Y608" s="2">
        <f t="shared" si="121"/>
        <v>0.28733491369549163</v>
      </c>
      <c r="Z608" s="2">
        <f t="shared" si="122"/>
        <v>6</v>
      </c>
      <c r="AA608" s="2">
        <f t="shared" si="123"/>
        <v>2</v>
      </c>
      <c r="AB608" s="2">
        <f t="shared" si="124"/>
        <v>2025</v>
      </c>
      <c r="AC608" s="2" t="str">
        <f t="shared" si="125"/>
        <v>Valid</v>
      </c>
      <c r="AD608" s="2">
        <f t="shared" si="126"/>
        <v>0</v>
      </c>
      <c r="AE608" s="2">
        <f t="shared" si="127"/>
        <v>0</v>
      </c>
      <c r="AH608" t="str">
        <f t="shared" si="130"/>
        <v>Rahul Verma</v>
      </c>
      <c r="AI608" t="str">
        <f t="shared" si="130"/>
        <v>Home Office</v>
      </c>
      <c r="AJ608" t="str">
        <f t="shared" si="130"/>
        <v>West</v>
      </c>
      <c r="AK608" t="str">
        <f t="shared" si="130"/>
        <v>Madhya Pradesh</v>
      </c>
      <c r="AL608" t="str">
        <f t="shared" si="130"/>
        <v>Indore</v>
      </c>
      <c r="AM608" t="str">
        <f t="shared" si="130"/>
        <v>Technology</v>
      </c>
      <c r="AN608" t="str">
        <f t="shared" si="130"/>
        <v>Copiers</v>
      </c>
      <c r="AO608" t="str">
        <f t="shared" si="128"/>
        <v>Same Day</v>
      </c>
      <c r="AP608" t="str">
        <f t="shared" si="129"/>
        <v>Paid</v>
      </c>
      <c r="AQ608" t="str">
        <f t="shared" si="129"/>
        <v>Completed</v>
      </c>
    </row>
    <row r="609" spans="1:43">
      <c r="A609" t="s">
        <v>2174</v>
      </c>
      <c r="B609" s="3" t="s">
        <v>2137</v>
      </c>
      <c r="C609" s="3">
        <v>45710</v>
      </c>
      <c r="D609" t="s">
        <v>2175</v>
      </c>
      <c r="E609" t="s">
        <v>222</v>
      </c>
      <c r="F609" t="s">
        <v>182</v>
      </c>
      <c r="G609" t="s">
        <v>123</v>
      </c>
      <c r="H609" t="s">
        <v>237</v>
      </c>
      <c r="I609" t="s">
        <v>238</v>
      </c>
      <c r="J609" t="s">
        <v>113</v>
      </c>
      <c r="K609" t="s">
        <v>213</v>
      </c>
      <c r="L609" t="s">
        <v>2176</v>
      </c>
      <c r="M609" t="s">
        <v>129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117</v>
      </c>
      <c r="U609" t="s">
        <v>118</v>
      </c>
      <c r="V609" s="2">
        <f t="shared" si="119"/>
        <v>0.15</v>
      </c>
      <c r="W609" s="2">
        <f t="shared" si="120"/>
        <v>4057.3474999999994</v>
      </c>
      <c r="X609" s="2">
        <f>W609-R609</f>
        <v>1195.3174999999992</v>
      </c>
      <c r="Y609" s="2">
        <f t="shared" si="121"/>
        <v>0.29460565061286947</v>
      </c>
      <c r="Z609" s="2" t="str">
        <f t="shared" si="122"/>
        <v/>
      </c>
      <c r="AA609" s="2" t="e">
        <f t="shared" si="123"/>
        <v>#VALUE!</v>
      </c>
      <c r="AB609" s="2" t="e">
        <f t="shared" si="124"/>
        <v>#VALUE!</v>
      </c>
      <c r="AC609" s="2" t="str">
        <f t="shared" si="125"/>
        <v>Text Value Not Recognized as Date</v>
      </c>
      <c r="AD609" s="2">
        <f t="shared" si="126"/>
        <v>0</v>
      </c>
      <c r="AE609" s="2">
        <f t="shared" si="127"/>
        <v>0</v>
      </c>
      <c r="AH609" t="str">
        <f t="shared" si="130"/>
        <v>Sneha Kapoor</v>
      </c>
      <c r="AI609" t="str">
        <f t="shared" si="130"/>
        <v>Home Office</v>
      </c>
      <c r="AJ609" t="str">
        <f t="shared" si="130"/>
        <v>East</v>
      </c>
      <c r="AK609" t="str">
        <f t="shared" si="130"/>
        <v>Bihar</v>
      </c>
      <c r="AL609" t="str">
        <f t="shared" si="130"/>
        <v>Patna</v>
      </c>
      <c r="AM609" t="str">
        <f t="shared" si="130"/>
        <v>Office Supplies</v>
      </c>
      <c r="AN609" t="str">
        <f t="shared" si="130"/>
        <v>Storage</v>
      </c>
      <c r="AO609" t="str">
        <f t="shared" si="128"/>
        <v>Same Day</v>
      </c>
      <c r="AP609" t="str">
        <f t="shared" si="129"/>
        <v>Paid</v>
      </c>
      <c r="AQ609" t="str">
        <f t="shared" si="129"/>
        <v>Completed</v>
      </c>
    </row>
    <row r="610" spans="1:43">
      <c r="A610" t="s">
        <v>2177</v>
      </c>
      <c r="B610" s="3">
        <v>45464</v>
      </c>
      <c r="C610" s="3">
        <v>45466</v>
      </c>
      <c r="D610" t="s">
        <v>1940</v>
      </c>
      <c r="E610" t="s">
        <v>108</v>
      </c>
      <c r="F610" t="s">
        <v>182</v>
      </c>
      <c r="G610" t="s">
        <v>149</v>
      </c>
      <c r="H610" t="s">
        <v>287</v>
      </c>
      <c r="I610" t="s">
        <v>288</v>
      </c>
      <c r="J610" t="s">
        <v>126</v>
      </c>
      <c r="K610" t="s">
        <v>143</v>
      </c>
      <c r="L610" t="s">
        <v>2178</v>
      </c>
      <c r="M610" t="s">
        <v>116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117</v>
      </c>
      <c r="U610" t="s">
        <v>118</v>
      </c>
      <c r="V610" s="2">
        <f t="shared" si="119"/>
        <v>0</v>
      </c>
      <c r="W610" s="2">
        <f t="shared" si="120"/>
        <v>19383.75</v>
      </c>
      <c r="X610" s="2">
        <f>W610-R610</f>
        <v>7716.32</v>
      </c>
      <c r="Y610" s="2">
        <f t="shared" si="121"/>
        <v>0.39808189849745274</v>
      </c>
      <c r="Z610" s="2">
        <f t="shared" si="122"/>
        <v>2</v>
      </c>
      <c r="AA610" s="2">
        <f t="shared" si="123"/>
        <v>6</v>
      </c>
      <c r="AB610" s="2">
        <f t="shared" si="124"/>
        <v>2024</v>
      </c>
      <c r="AC610" s="2" t="str">
        <f t="shared" si="125"/>
        <v>Valid</v>
      </c>
      <c r="AD610" s="2">
        <f t="shared" si="126"/>
        <v>0</v>
      </c>
      <c r="AE610" s="2">
        <f t="shared" si="127"/>
        <v>0</v>
      </c>
      <c r="AH610" t="str">
        <f t="shared" si="130"/>
        <v>Karan Malhotra</v>
      </c>
      <c r="AI610" t="str">
        <f t="shared" si="130"/>
        <v>Home Office</v>
      </c>
      <c r="AJ610" t="str">
        <f t="shared" si="130"/>
        <v>West</v>
      </c>
      <c r="AK610" t="str">
        <f t="shared" si="130"/>
        <v>Goa</v>
      </c>
      <c r="AL610" t="str">
        <f t="shared" si="130"/>
        <v>Panaji</v>
      </c>
      <c r="AM610" t="str">
        <f t="shared" si="130"/>
        <v>Furniture</v>
      </c>
      <c r="AN610" t="str">
        <f t="shared" si="130"/>
        <v>Furnishings</v>
      </c>
      <c r="AO610" t="str">
        <f t="shared" si="128"/>
        <v>Second Class</v>
      </c>
      <c r="AP610" t="str">
        <f t="shared" si="129"/>
        <v>Paid</v>
      </c>
      <c r="AQ610" t="str">
        <f t="shared" si="129"/>
        <v>Completed</v>
      </c>
    </row>
    <row r="611" spans="1:43">
      <c r="A611" t="s">
        <v>2179</v>
      </c>
      <c r="B611" s="3">
        <v>45665</v>
      </c>
      <c r="C611" s="3">
        <v>45992</v>
      </c>
      <c r="D611" t="s">
        <v>2180</v>
      </c>
      <c r="E611" t="s">
        <v>222</v>
      </c>
      <c r="F611" t="s">
        <v>182</v>
      </c>
      <c r="G611" t="s">
        <v>140</v>
      </c>
      <c r="H611" t="s">
        <v>270</v>
      </c>
      <c r="I611" t="s">
        <v>271</v>
      </c>
      <c r="J611" t="s">
        <v>126</v>
      </c>
      <c r="K611" t="s">
        <v>152</v>
      </c>
      <c r="L611" t="s">
        <v>2181</v>
      </c>
      <c r="M611" t="s">
        <v>145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117</v>
      </c>
      <c r="U611" t="s">
        <v>118</v>
      </c>
      <c r="V611" s="2">
        <f t="shared" si="119"/>
        <v>0</v>
      </c>
      <c r="W611" s="2">
        <f t="shared" si="120"/>
        <v>30362.359999999997</v>
      </c>
      <c r="X611" s="2">
        <f>W611-R611</f>
        <v>5296.9599999999955</v>
      </c>
      <c r="Y611" s="2">
        <f t="shared" si="121"/>
        <v>0.17445811195177174</v>
      </c>
      <c r="Z611" s="2">
        <f t="shared" si="122"/>
        <v>327</v>
      </c>
      <c r="AA611" s="2">
        <f t="shared" si="123"/>
        <v>1</v>
      </c>
      <c r="AB611" s="2">
        <f t="shared" si="124"/>
        <v>2025</v>
      </c>
      <c r="AC611" s="2" t="str">
        <f t="shared" si="125"/>
        <v>Valid</v>
      </c>
      <c r="AD611" s="2">
        <f t="shared" si="126"/>
        <v>0</v>
      </c>
      <c r="AE611" s="2">
        <f t="shared" si="127"/>
        <v>0</v>
      </c>
      <c r="AH611" t="str">
        <f t="shared" si="130"/>
        <v>Sneha Kapoor</v>
      </c>
      <c r="AI611" t="str">
        <f t="shared" si="130"/>
        <v>Home Office</v>
      </c>
      <c r="AJ611" t="str">
        <f t="shared" si="130"/>
        <v>South</v>
      </c>
      <c r="AK611" t="str">
        <f t="shared" si="130"/>
        <v>Karnataka</v>
      </c>
      <c r="AL611" t="str">
        <f t="shared" si="130"/>
        <v>Bengaluru</v>
      </c>
      <c r="AM611" t="str">
        <f t="shared" si="130"/>
        <v>Furniture</v>
      </c>
      <c r="AN611" t="str">
        <f t="shared" si="130"/>
        <v>Chairs</v>
      </c>
      <c r="AO611" t="str">
        <f t="shared" si="128"/>
        <v>Standard Class</v>
      </c>
      <c r="AP611" t="str">
        <f t="shared" si="129"/>
        <v>Paid</v>
      </c>
      <c r="AQ611" t="str">
        <f t="shared" si="129"/>
        <v>Completed</v>
      </c>
    </row>
    <row r="612" spans="1:43">
      <c r="A612" t="s">
        <v>2182</v>
      </c>
      <c r="B612" s="3">
        <v>45432</v>
      </c>
      <c r="C612" s="3">
        <v>45432</v>
      </c>
      <c r="D612" t="s">
        <v>1583</v>
      </c>
      <c r="E612" t="s">
        <v>108</v>
      </c>
      <c r="F612" t="s">
        <v>182</v>
      </c>
      <c r="G612" t="s">
        <v>149</v>
      </c>
      <c r="H612" t="s">
        <v>158</v>
      </c>
      <c r="I612" t="s">
        <v>159</v>
      </c>
      <c r="J612" t="s">
        <v>126</v>
      </c>
      <c r="K612" t="s">
        <v>152</v>
      </c>
      <c r="L612" t="s">
        <v>2183</v>
      </c>
      <c r="M612" t="s">
        <v>145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117</v>
      </c>
      <c r="U612" t="s">
        <v>118</v>
      </c>
      <c r="V612" s="2">
        <f t="shared" si="119"/>
        <v>0.1</v>
      </c>
      <c r="W612" s="2">
        <f t="shared" si="120"/>
        <v>2729.6549999999997</v>
      </c>
      <c r="X612" s="2">
        <f>W612-R612</f>
        <v>1014.2949999999998</v>
      </c>
      <c r="Y612" s="2">
        <f t="shared" si="121"/>
        <v>0.37158358840219735</v>
      </c>
      <c r="Z612" s="2">
        <f t="shared" si="122"/>
        <v>0</v>
      </c>
      <c r="AA612" s="2">
        <f t="shared" si="123"/>
        <v>5</v>
      </c>
      <c r="AB612" s="2">
        <f t="shared" si="124"/>
        <v>2024</v>
      </c>
      <c r="AC612" s="2" t="str">
        <f t="shared" si="125"/>
        <v>Valid</v>
      </c>
      <c r="AD612" s="2">
        <f t="shared" si="126"/>
        <v>0</v>
      </c>
      <c r="AE612" s="2">
        <f t="shared" si="127"/>
        <v>0</v>
      </c>
      <c r="AH612" t="str">
        <f t="shared" si="130"/>
        <v>Karan Malhotra</v>
      </c>
      <c r="AI612" t="str">
        <f t="shared" si="130"/>
        <v>Home Office</v>
      </c>
      <c r="AJ612" t="str">
        <f t="shared" si="130"/>
        <v>West</v>
      </c>
      <c r="AK612" t="str">
        <f t="shared" si="130"/>
        <v>Madhya Pradesh</v>
      </c>
      <c r="AL612" t="str">
        <f t="shared" si="130"/>
        <v>Indore</v>
      </c>
      <c r="AM612" t="str">
        <f t="shared" si="130"/>
        <v>Furniture</v>
      </c>
      <c r="AN612" t="str">
        <f t="shared" si="130"/>
        <v>Chairs</v>
      </c>
      <c r="AO612" t="str">
        <f t="shared" si="128"/>
        <v>Standard Class</v>
      </c>
      <c r="AP612" t="str">
        <f t="shared" si="129"/>
        <v>Paid</v>
      </c>
      <c r="AQ612" t="str">
        <f t="shared" si="129"/>
        <v>Completed</v>
      </c>
    </row>
    <row r="613" spans="1:43">
      <c r="A613" t="s">
        <v>2184</v>
      </c>
      <c r="B613" s="3">
        <v>45876</v>
      </c>
      <c r="C613" s="3">
        <v>45853</v>
      </c>
      <c r="D613" t="s">
        <v>2185</v>
      </c>
      <c r="E613" t="s">
        <v>148</v>
      </c>
      <c r="F613" t="s">
        <v>122</v>
      </c>
      <c r="G613" t="s">
        <v>110</v>
      </c>
      <c r="H613" t="s">
        <v>111</v>
      </c>
      <c r="I613" t="s">
        <v>112</v>
      </c>
      <c r="J613" t="s">
        <v>113</v>
      </c>
      <c r="K613" t="s">
        <v>246</v>
      </c>
      <c r="L613" t="s">
        <v>2186</v>
      </c>
      <c r="M613" t="s">
        <v>129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117</v>
      </c>
      <c r="U613" t="s">
        <v>118</v>
      </c>
      <c r="V613" s="2">
        <f t="shared" si="119"/>
        <v>0.1</v>
      </c>
      <c r="W613" s="2">
        <f t="shared" si="120"/>
        <v>4718.0159999999996</v>
      </c>
      <c r="X613" s="2">
        <f>W613-R613</f>
        <v>809.7859999999996</v>
      </c>
      <c r="Y613" s="2">
        <f t="shared" si="121"/>
        <v>0.17163697622051297</v>
      </c>
      <c r="Z613" s="2">
        <f t="shared" si="122"/>
        <v>-23</v>
      </c>
      <c r="AA613" s="2">
        <f t="shared" si="123"/>
        <v>8</v>
      </c>
      <c r="AB613" s="2">
        <f t="shared" si="124"/>
        <v>2025</v>
      </c>
      <c r="AC613" s="2" t="str">
        <f t="shared" si="125"/>
        <v>Invalid shipping record</v>
      </c>
      <c r="AD613" s="2">
        <f t="shared" si="126"/>
        <v>0</v>
      </c>
      <c r="AE613" s="2">
        <f t="shared" si="127"/>
        <v>0</v>
      </c>
      <c r="AH613" t="str">
        <f t="shared" si="130"/>
        <v>Ananya Rao</v>
      </c>
      <c r="AI613" t="str">
        <f t="shared" si="130"/>
        <v>Small Business</v>
      </c>
      <c r="AJ613" t="str">
        <f t="shared" si="130"/>
        <v>North</v>
      </c>
      <c r="AK613" t="str">
        <f t="shared" si="130"/>
        <v>Rajasthan</v>
      </c>
      <c r="AL613" t="str">
        <f t="shared" si="130"/>
        <v>Jaipur</v>
      </c>
      <c r="AM613" t="str">
        <f t="shared" si="130"/>
        <v>Office Supplies</v>
      </c>
      <c r="AN613" t="str">
        <f t="shared" si="130"/>
        <v>Binders</v>
      </c>
      <c r="AO613" t="str">
        <f t="shared" si="128"/>
        <v>Same Day</v>
      </c>
      <c r="AP613" t="str">
        <f t="shared" si="129"/>
        <v>Paid</v>
      </c>
      <c r="AQ613" t="str">
        <f t="shared" si="129"/>
        <v>Completed</v>
      </c>
    </row>
    <row r="614" spans="1:43">
      <c r="A614" t="s">
        <v>2187</v>
      </c>
      <c r="B614" s="3">
        <v>45753</v>
      </c>
      <c r="C614" s="3" t="s">
        <v>2188</v>
      </c>
      <c r="D614" t="s">
        <v>2189</v>
      </c>
      <c r="E614" t="s">
        <v>176</v>
      </c>
      <c r="F614" t="s">
        <v>109</v>
      </c>
      <c r="H614" t="s">
        <v>124</v>
      </c>
      <c r="I614" t="s">
        <v>125</v>
      </c>
      <c r="J614" t="s">
        <v>160</v>
      </c>
      <c r="K614" t="s">
        <v>266</v>
      </c>
      <c r="L614" t="s">
        <v>2190</v>
      </c>
      <c r="M614" t="s">
        <v>145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117</v>
      </c>
      <c r="U614" t="s">
        <v>118</v>
      </c>
      <c r="V614" s="2">
        <f t="shared" si="119"/>
        <v>0</v>
      </c>
      <c r="W614" s="2">
        <f t="shared" si="120"/>
        <v>3844.01</v>
      </c>
      <c r="X614" s="2">
        <f>W614-R614</f>
        <v>1648.2200000000003</v>
      </c>
      <c r="Y614" s="2">
        <f t="shared" si="121"/>
        <v>0.42877619985379856</v>
      </c>
      <c r="Z614" s="2" t="str">
        <f t="shared" si="122"/>
        <v/>
      </c>
      <c r="AA614" s="2">
        <f t="shared" si="123"/>
        <v>4</v>
      </c>
      <c r="AB614" s="2">
        <f t="shared" si="124"/>
        <v>2025</v>
      </c>
      <c r="AC614" s="2" t="str">
        <f t="shared" si="125"/>
        <v>Missing region</v>
      </c>
      <c r="AD614" s="2">
        <f t="shared" si="126"/>
        <v>0</v>
      </c>
      <c r="AE614" s="2">
        <f t="shared" si="127"/>
        <v>0</v>
      </c>
      <c r="AH614" t="str">
        <f t="shared" si="130"/>
        <v>Aditi Sen</v>
      </c>
      <c r="AI614" t="str">
        <f t="shared" si="130"/>
        <v>Consumer</v>
      </c>
      <c r="AJ614" t="s">
        <v>306</v>
      </c>
      <c r="AK614" t="str">
        <f t="shared" si="130"/>
        <v>Odisha</v>
      </c>
      <c r="AL614" t="str">
        <f t="shared" si="130"/>
        <v>Bhubaneswar</v>
      </c>
      <c r="AM614" t="str">
        <f t="shared" si="130"/>
        <v>Technology</v>
      </c>
      <c r="AN614" t="str">
        <f t="shared" si="130"/>
        <v>Phones</v>
      </c>
      <c r="AO614" t="str">
        <f t="shared" si="128"/>
        <v>Standard Class</v>
      </c>
      <c r="AP614" t="str">
        <f t="shared" si="129"/>
        <v>Paid</v>
      </c>
      <c r="AQ614" t="str">
        <f t="shared" si="129"/>
        <v>Completed</v>
      </c>
    </row>
    <row r="615" spans="1:43">
      <c r="A615" t="s">
        <v>2191</v>
      </c>
      <c r="B615" s="3">
        <v>45570</v>
      </c>
      <c r="C615" s="3">
        <v>45575</v>
      </c>
      <c r="D615" t="s">
        <v>2192</v>
      </c>
      <c r="E615" t="s">
        <v>256</v>
      </c>
      <c r="F615" t="s">
        <v>182</v>
      </c>
      <c r="G615" t="s">
        <v>149</v>
      </c>
      <c r="H615" t="s">
        <v>276</v>
      </c>
      <c r="I615" t="s">
        <v>277</v>
      </c>
      <c r="J615" t="s">
        <v>160</v>
      </c>
      <c r="K615" t="s">
        <v>385</v>
      </c>
      <c r="L615" t="s">
        <v>2193</v>
      </c>
      <c r="M615" t="s">
        <v>129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117</v>
      </c>
      <c r="U615" t="s">
        <v>118</v>
      </c>
      <c r="V615" s="2">
        <f t="shared" si="119"/>
        <v>0.25</v>
      </c>
      <c r="W615" s="2">
        <f t="shared" si="120"/>
        <v>22688.775000000001</v>
      </c>
      <c r="X615" s="2">
        <f>W615-R615</f>
        <v>8016.3650000000016</v>
      </c>
      <c r="Y615" s="2">
        <f t="shared" si="121"/>
        <v>0.35331854628555315</v>
      </c>
      <c r="Z615" s="2">
        <f t="shared" si="122"/>
        <v>5</v>
      </c>
      <c r="AA615" s="2">
        <f t="shared" si="123"/>
        <v>10</v>
      </c>
      <c r="AB615" s="2">
        <f t="shared" si="124"/>
        <v>2024</v>
      </c>
      <c r="AC615" s="2" t="str">
        <f t="shared" si="125"/>
        <v>Valid</v>
      </c>
      <c r="AD615" s="2">
        <f t="shared" si="126"/>
        <v>0</v>
      </c>
      <c r="AE615" s="2">
        <f t="shared" si="127"/>
        <v>0</v>
      </c>
      <c r="AH615" t="str">
        <f t="shared" si="130"/>
        <v>Diya Patel</v>
      </c>
      <c r="AI615" t="str">
        <f t="shared" si="130"/>
        <v>Home Office</v>
      </c>
      <c r="AJ615" t="str">
        <f t="shared" si="130"/>
        <v>West</v>
      </c>
      <c r="AK615" t="str">
        <f t="shared" si="130"/>
        <v>Gujarat</v>
      </c>
      <c r="AL615" t="str">
        <f t="shared" si="130"/>
        <v>Ahmedabad</v>
      </c>
      <c r="AM615" t="str">
        <f t="shared" si="130"/>
        <v>Technology</v>
      </c>
      <c r="AN615" t="str">
        <f t="shared" si="130"/>
        <v>Machines</v>
      </c>
      <c r="AO615" t="str">
        <f t="shared" si="128"/>
        <v>Same Day</v>
      </c>
      <c r="AP615" t="str">
        <f t="shared" si="129"/>
        <v>Paid</v>
      </c>
      <c r="AQ615" t="str">
        <f t="shared" si="129"/>
        <v>Completed</v>
      </c>
    </row>
    <row r="616" spans="1:43">
      <c r="A616" t="s">
        <v>2194</v>
      </c>
      <c r="B616" s="3">
        <v>45598</v>
      </c>
      <c r="C616" s="3" t="s">
        <v>2195</v>
      </c>
      <c r="D616" t="s">
        <v>2196</v>
      </c>
      <c r="E616" t="s">
        <v>148</v>
      </c>
      <c r="F616" t="s">
        <v>182</v>
      </c>
      <c r="G616" t="s">
        <v>140</v>
      </c>
      <c r="H616" t="s">
        <v>141</v>
      </c>
      <c r="I616" t="s">
        <v>142</v>
      </c>
      <c r="J616" t="s">
        <v>126</v>
      </c>
      <c r="K616" t="s">
        <v>152</v>
      </c>
      <c r="L616" t="s">
        <v>2197</v>
      </c>
      <c r="M616" t="s">
        <v>145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189</v>
      </c>
      <c r="U616" t="s">
        <v>44</v>
      </c>
      <c r="V616" s="2">
        <f t="shared" si="119"/>
        <v>0.25</v>
      </c>
      <c r="W616" s="2">
        <f t="shared" si="120"/>
        <v>20389.920000000002</v>
      </c>
      <c r="X616" s="2">
        <f>W616-R616</f>
        <v>3728.84</v>
      </c>
      <c r="Y616" s="2">
        <f t="shared" si="121"/>
        <v>0.18287663708342161</v>
      </c>
      <c r="Z616" s="2" t="str">
        <f t="shared" si="122"/>
        <v/>
      </c>
      <c r="AA616" s="2">
        <f t="shared" si="123"/>
        <v>11</v>
      </c>
      <c r="AB616" s="2">
        <f t="shared" si="124"/>
        <v>2024</v>
      </c>
      <c r="AC616" s="2" t="str">
        <f t="shared" si="125"/>
        <v>Text Value Not Recognized as Date</v>
      </c>
      <c r="AD616" s="2">
        <f t="shared" si="126"/>
        <v>0</v>
      </c>
      <c r="AE616" s="2">
        <f t="shared" si="127"/>
        <v>0</v>
      </c>
      <c r="AH616" t="str">
        <f t="shared" si="130"/>
        <v>Ananya Rao</v>
      </c>
      <c r="AI616" t="str">
        <f t="shared" si="130"/>
        <v>Home Office</v>
      </c>
      <c r="AJ616" t="str">
        <f t="shared" si="130"/>
        <v>South</v>
      </c>
      <c r="AK616" t="str">
        <f t="shared" si="130"/>
        <v>Telangana</v>
      </c>
      <c r="AL616" t="str">
        <f t="shared" si="130"/>
        <v>Hyderabad</v>
      </c>
      <c r="AM616" t="str">
        <f t="shared" si="130"/>
        <v>Furniture</v>
      </c>
      <c r="AN616" t="str">
        <f t="shared" si="130"/>
        <v>Chairs</v>
      </c>
      <c r="AO616" t="str">
        <f t="shared" si="128"/>
        <v>Standard Class</v>
      </c>
      <c r="AP616" t="str">
        <f t="shared" si="129"/>
        <v>Refunded</v>
      </c>
      <c r="AQ616" t="str">
        <f t="shared" si="129"/>
        <v>Cancelled</v>
      </c>
    </row>
    <row r="617" spans="1:43">
      <c r="A617" t="s">
        <v>2198</v>
      </c>
      <c r="B617" s="3">
        <v>45569</v>
      </c>
      <c r="C617" s="3">
        <v>45572</v>
      </c>
      <c r="D617" t="s">
        <v>2199</v>
      </c>
      <c r="E617" t="s">
        <v>207</v>
      </c>
      <c r="F617" t="s">
        <v>177</v>
      </c>
      <c r="G617" t="s">
        <v>140</v>
      </c>
      <c r="H617" t="s">
        <v>282</v>
      </c>
      <c r="I617" t="s">
        <v>283</v>
      </c>
      <c r="J617" t="s">
        <v>113</v>
      </c>
      <c r="K617" t="s">
        <v>133</v>
      </c>
      <c r="L617" t="s">
        <v>2200</v>
      </c>
      <c r="M617" t="s">
        <v>116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117</v>
      </c>
      <c r="U617" t="s">
        <v>118</v>
      </c>
      <c r="V617" s="2">
        <f t="shared" si="119"/>
        <v>0.1</v>
      </c>
      <c r="W617" s="2">
        <f t="shared" si="120"/>
        <v>5659.884</v>
      </c>
      <c r="X617" s="2">
        <f>W617-R617</f>
        <v>1322.0940000000001</v>
      </c>
      <c r="Y617" s="2">
        <f t="shared" si="121"/>
        <v>0.23359029973052453</v>
      </c>
      <c r="Z617" s="2">
        <f t="shared" si="122"/>
        <v>3</v>
      </c>
      <c r="AA617" s="2">
        <f t="shared" si="123"/>
        <v>10</v>
      </c>
      <c r="AB617" s="2">
        <f t="shared" si="124"/>
        <v>2024</v>
      </c>
      <c r="AC617" s="2" t="str">
        <f t="shared" si="125"/>
        <v>Valid</v>
      </c>
      <c r="AD617" s="2">
        <f t="shared" si="126"/>
        <v>1</v>
      </c>
      <c r="AE617" s="2">
        <f t="shared" si="127"/>
        <v>0</v>
      </c>
      <c r="AH617" t="str">
        <f t="shared" si="130"/>
        <v>Rahul Verma</v>
      </c>
      <c r="AI617" t="str">
        <f t="shared" si="130"/>
        <v>Corporate</v>
      </c>
      <c r="AJ617" t="str">
        <f t="shared" si="130"/>
        <v>South</v>
      </c>
      <c r="AK617" t="str">
        <f t="shared" si="130"/>
        <v>Kerala</v>
      </c>
      <c r="AL617" t="str">
        <f t="shared" si="130"/>
        <v>Kochi</v>
      </c>
      <c r="AM617" t="str">
        <f t="shared" si="130"/>
        <v>Office Supplies</v>
      </c>
      <c r="AN617" t="str">
        <f t="shared" si="130"/>
        <v>Art</v>
      </c>
      <c r="AO617" t="str">
        <f t="shared" si="128"/>
        <v>Second Class</v>
      </c>
      <c r="AP617" t="str">
        <f t="shared" si="129"/>
        <v>Paid</v>
      </c>
      <c r="AQ617" t="str">
        <f t="shared" si="129"/>
        <v>Completed</v>
      </c>
    </row>
    <row r="618" spans="1:43">
      <c r="A618" t="s">
        <v>2201</v>
      </c>
      <c r="B618" s="3">
        <v>45520</v>
      </c>
      <c r="C618" s="3" t="s">
        <v>2150</v>
      </c>
      <c r="D618" t="s">
        <v>2202</v>
      </c>
      <c r="E618" t="s">
        <v>375</v>
      </c>
      <c r="F618" t="s">
        <v>109</v>
      </c>
      <c r="G618" t="s">
        <v>140</v>
      </c>
      <c r="H618" t="s">
        <v>141</v>
      </c>
      <c r="I618" t="s">
        <v>142</v>
      </c>
      <c r="J618" t="s">
        <v>113</v>
      </c>
      <c r="K618" t="s">
        <v>114</v>
      </c>
      <c r="L618" t="s">
        <v>2203</v>
      </c>
      <c r="M618" t="s">
        <v>145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117</v>
      </c>
      <c r="U618" t="s">
        <v>118</v>
      </c>
      <c r="V618" s="2">
        <f t="shared" si="119"/>
        <v>0.2</v>
      </c>
      <c r="W618" s="2">
        <f t="shared" si="120"/>
        <v>18842.640000000003</v>
      </c>
      <c r="X618" s="2">
        <f>W618-R618</f>
        <v>7002.0600000000031</v>
      </c>
      <c r="Y618" s="2">
        <f t="shared" si="121"/>
        <v>0.37160716332743193</v>
      </c>
      <c r="Z618" s="2" t="str">
        <f t="shared" si="122"/>
        <v/>
      </c>
      <c r="AA618" s="2">
        <f t="shared" si="123"/>
        <v>8</v>
      </c>
      <c r="AB618" s="2">
        <f t="shared" si="124"/>
        <v>2024</v>
      </c>
      <c r="AC618" s="2" t="str">
        <f t="shared" si="125"/>
        <v>Text Value Not Recognized as Date</v>
      </c>
      <c r="AD618" s="2">
        <f t="shared" si="126"/>
        <v>0</v>
      </c>
      <c r="AE618" s="2">
        <f t="shared" si="127"/>
        <v>0</v>
      </c>
      <c r="AH618" t="str">
        <f t="shared" si="130"/>
        <v>Kabir Singh</v>
      </c>
      <c r="AI618" t="str">
        <f t="shared" si="130"/>
        <v>Consumer</v>
      </c>
      <c r="AJ618" t="str">
        <f t="shared" si="130"/>
        <v>South</v>
      </c>
      <c r="AK618" t="str">
        <f t="shared" si="130"/>
        <v>Telangana</v>
      </c>
      <c r="AL618" t="str">
        <f t="shared" si="130"/>
        <v>Hyderabad</v>
      </c>
      <c r="AM618" t="str">
        <f t="shared" si="130"/>
        <v>Office Supplies</v>
      </c>
      <c r="AN618" t="str">
        <f t="shared" si="130"/>
        <v>Paper</v>
      </c>
      <c r="AO618" t="str">
        <f t="shared" si="128"/>
        <v>Standard Class</v>
      </c>
      <c r="AP618" t="str">
        <f t="shared" si="129"/>
        <v>Paid</v>
      </c>
      <c r="AQ618" t="str">
        <f t="shared" si="129"/>
        <v>Completed</v>
      </c>
    </row>
    <row r="619" spans="1:43">
      <c r="A619" t="s">
        <v>2204</v>
      </c>
      <c r="B619" s="3">
        <v>45564</v>
      </c>
      <c r="C619" s="3">
        <v>45565</v>
      </c>
      <c r="D619" t="s">
        <v>2205</v>
      </c>
      <c r="E619" t="s">
        <v>121</v>
      </c>
      <c r="F619" t="s">
        <v>182</v>
      </c>
      <c r="G619" t="s">
        <v>140</v>
      </c>
      <c r="H619" t="s">
        <v>141</v>
      </c>
      <c r="I619" t="s">
        <v>142</v>
      </c>
      <c r="J619" t="s">
        <v>160</v>
      </c>
      <c r="K619" t="s">
        <v>266</v>
      </c>
      <c r="L619" t="s">
        <v>2206</v>
      </c>
      <c r="M619" t="s">
        <v>145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117</v>
      </c>
      <c r="U619" t="s">
        <v>118</v>
      </c>
      <c r="V619" s="2">
        <f t="shared" si="119"/>
        <v>0</v>
      </c>
      <c r="W619" s="2">
        <f t="shared" si="120"/>
        <v>24677.19</v>
      </c>
      <c r="X619" s="2">
        <f>W619-R619</f>
        <v>4326.34</v>
      </c>
      <c r="Y619" s="2">
        <f t="shared" si="121"/>
        <v>0.17531736798233513</v>
      </c>
      <c r="Z619" s="2">
        <f t="shared" si="122"/>
        <v>1</v>
      </c>
      <c r="AA619" s="2">
        <f t="shared" si="123"/>
        <v>9</v>
      </c>
      <c r="AB619" s="2">
        <f t="shared" si="124"/>
        <v>2024</v>
      </c>
      <c r="AC619" s="2" t="str">
        <f t="shared" si="125"/>
        <v>Valid</v>
      </c>
      <c r="AD619" s="2">
        <f t="shared" si="126"/>
        <v>0</v>
      </c>
      <c r="AE619" s="2">
        <f t="shared" si="127"/>
        <v>0</v>
      </c>
      <c r="AH619" t="str">
        <f t="shared" si="130"/>
        <v>Mira Das</v>
      </c>
      <c r="AI619" t="str">
        <f t="shared" si="130"/>
        <v>Home Office</v>
      </c>
      <c r="AJ619" t="str">
        <f t="shared" si="130"/>
        <v>South</v>
      </c>
      <c r="AK619" t="str">
        <f t="shared" si="130"/>
        <v>Telangana</v>
      </c>
      <c r="AL619" t="str">
        <f t="shared" si="130"/>
        <v>Hyderabad</v>
      </c>
      <c r="AM619" t="str">
        <f t="shared" si="130"/>
        <v>Technology</v>
      </c>
      <c r="AN619" t="str">
        <f t="shared" si="130"/>
        <v>Phones</v>
      </c>
      <c r="AO619" t="str">
        <f t="shared" si="128"/>
        <v>Standard Class</v>
      </c>
      <c r="AP619" t="str">
        <f t="shared" si="129"/>
        <v>Paid</v>
      </c>
      <c r="AQ619" t="str">
        <f t="shared" si="129"/>
        <v>Completed</v>
      </c>
    </row>
    <row r="620" spans="1:43">
      <c r="A620" t="s">
        <v>2207</v>
      </c>
      <c r="B620" s="3">
        <v>45496</v>
      </c>
      <c r="C620" s="3">
        <v>45503</v>
      </c>
      <c r="D620" t="s">
        <v>2208</v>
      </c>
      <c r="E620" t="s">
        <v>375</v>
      </c>
      <c r="F620" t="s">
        <v>177</v>
      </c>
      <c r="G620" t="s">
        <v>110</v>
      </c>
      <c r="H620" t="s">
        <v>111</v>
      </c>
      <c r="I620" t="s">
        <v>112</v>
      </c>
      <c r="J620" t="s">
        <v>126</v>
      </c>
      <c r="K620" t="s">
        <v>127</v>
      </c>
      <c r="L620" t="s">
        <v>2209</v>
      </c>
      <c r="M620" t="s">
        <v>129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248</v>
      </c>
      <c r="U620" t="s">
        <v>44</v>
      </c>
      <c r="V620" s="2">
        <f t="shared" si="119"/>
        <v>0.25</v>
      </c>
      <c r="W620" s="2">
        <f t="shared" si="120"/>
        <v>12623.242499999998</v>
      </c>
      <c r="X620" s="2">
        <f>W620-R620</f>
        <v>2082.4424999999992</v>
      </c>
      <c r="Y620" s="2">
        <f t="shared" si="121"/>
        <v>0.16496890557239943</v>
      </c>
      <c r="Z620" s="2">
        <f t="shared" si="122"/>
        <v>7</v>
      </c>
      <c r="AA620" s="2">
        <f t="shared" si="123"/>
        <v>7</v>
      </c>
      <c r="AB620" s="2">
        <f t="shared" si="124"/>
        <v>2024</v>
      </c>
      <c r="AC620" s="2" t="str">
        <f t="shared" si="125"/>
        <v>Valid</v>
      </c>
      <c r="AD620" s="2">
        <f t="shared" si="126"/>
        <v>0</v>
      </c>
      <c r="AE620" s="2">
        <f t="shared" si="127"/>
        <v>0</v>
      </c>
      <c r="AH620" t="str">
        <f t="shared" si="130"/>
        <v>Kabir Singh</v>
      </c>
      <c r="AI620" t="str">
        <f t="shared" si="130"/>
        <v>Corporate</v>
      </c>
      <c r="AJ620" t="str">
        <f t="shared" si="130"/>
        <v>North</v>
      </c>
      <c r="AK620" t="str">
        <f t="shared" si="130"/>
        <v>Rajasthan</v>
      </c>
      <c r="AL620" t="str">
        <f t="shared" si="130"/>
        <v>Jaipur</v>
      </c>
      <c r="AM620" t="str">
        <f t="shared" si="130"/>
        <v>Furniture</v>
      </c>
      <c r="AN620" t="str">
        <f t="shared" si="130"/>
        <v>Tables</v>
      </c>
      <c r="AO620" t="str">
        <f t="shared" si="128"/>
        <v>Same Day</v>
      </c>
      <c r="AP620" t="str">
        <f t="shared" si="129"/>
        <v>Failed</v>
      </c>
      <c r="AQ620" t="str">
        <f t="shared" si="129"/>
        <v>Cancelled</v>
      </c>
    </row>
    <row r="621" spans="1:43">
      <c r="A621" t="s">
        <v>2210</v>
      </c>
      <c r="B621" s="3">
        <v>45618</v>
      </c>
      <c r="C621" s="3">
        <v>45623</v>
      </c>
      <c r="D621" t="s">
        <v>2211</v>
      </c>
      <c r="E621" t="s">
        <v>203</v>
      </c>
      <c r="F621" t="s">
        <v>177</v>
      </c>
      <c r="G621" t="s">
        <v>140</v>
      </c>
      <c r="H621" t="s">
        <v>357</v>
      </c>
      <c r="I621" t="s">
        <v>358</v>
      </c>
      <c r="J621" t="s">
        <v>113</v>
      </c>
      <c r="K621" t="s">
        <v>246</v>
      </c>
      <c r="L621" t="s">
        <v>2212</v>
      </c>
      <c r="M621" t="s">
        <v>135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189</v>
      </c>
      <c r="U621" t="s">
        <v>190</v>
      </c>
      <c r="V621" s="2">
        <f t="shared" si="119"/>
        <v>0.2</v>
      </c>
      <c r="W621" s="2">
        <f t="shared" si="120"/>
        <v>3401.0080000000003</v>
      </c>
      <c r="X621" s="2">
        <f>W621-R621</f>
        <v>483.4680000000003</v>
      </c>
      <c r="Y621" s="2">
        <f t="shared" si="121"/>
        <v>0.14215432601158254</v>
      </c>
      <c r="Z621" s="2">
        <f t="shared" si="122"/>
        <v>5</v>
      </c>
      <c r="AA621" s="2">
        <f t="shared" si="123"/>
        <v>11</v>
      </c>
      <c r="AB621" s="2">
        <f t="shared" si="124"/>
        <v>2024</v>
      </c>
      <c r="AC621" s="2" t="str">
        <f t="shared" si="125"/>
        <v>Valid</v>
      </c>
      <c r="AD621" s="2">
        <f t="shared" si="126"/>
        <v>0</v>
      </c>
      <c r="AE621" s="2">
        <f t="shared" si="127"/>
        <v>0</v>
      </c>
      <c r="AH621" t="str">
        <f t="shared" si="130"/>
        <v>Priya Menon</v>
      </c>
      <c r="AI621" t="str">
        <f t="shared" si="130"/>
        <v>Corporate</v>
      </c>
      <c r="AJ621" t="str">
        <f t="shared" si="130"/>
        <v>South</v>
      </c>
      <c r="AK621" t="str">
        <f t="shared" si="130"/>
        <v>Tamil Nadu</v>
      </c>
      <c r="AL621" t="str">
        <f t="shared" si="130"/>
        <v>Chennai</v>
      </c>
      <c r="AM621" t="str">
        <f t="shared" si="130"/>
        <v>Office Supplies</v>
      </c>
      <c r="AN621" t="str">
        <f t="shared" si="130"/>
        <v>Binders</v>
      </c>
      <c r="AO621" t="str">
        <f t="shared" si="128"/>
        <v>First Class</v>
      </c>
      <c r="AP621" t="str">
        <f t="shared" si="129"/>
        <v>Refunded</v>
      </c>
      <c r="AQ621" t="str">
        <f t="shared" si="129"/>
        <v>Returned</v>
      </c>
    </row>
    <row r="622" spans="1:43">
      <c r="A622" t="s">
        <v>2213</v>
      </c>
      <c r="B622" s="3" t="s">
        <v>2214</v>
      </c>
      <c r="C622" s="3">
        <v>45525</v>
      </c>
      <c r="D622" t="s">
        <v>2215</v>
      </c>
      <c r="E622" t="s">
        <v>157</v>
      </c>
      <c r="F622" t="s">
        <v>109</v>
      </c>
      <c r="G622" t="s">
        <v>110</v>
      </c>
      <c r="H622" t="s">
        <v>227</v>
      </c>
      <c r="I622" t="s">
        <v>228</v>
      </c>
      <c r="J622" t="s">
        <v>160</v>
      </c>
      <c r="K622" t="s">
        <v>385</v>
      </c>
      <c r="L622" t="s">
        <v>2216</v>
      </c>
      <c r="M622" t="s">
        <v>145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117</v>
      </c>
      <c r="U622" t="s">
        <v>118</v>
      </c>
      <c r="V622" s="2">
        <f t="shared" si="119"/>
        <v>0</v>
      </c>
      <c r="W622" s="2">
        <f t="shared" si="120"/>
        <v>6609.06</v>
      </c>
      <c r="X622" s="2">
        <f>W622-R622</f>
        <v>1662.2800000000007</v>
      </c>
      <c r="Y622" s="2">
        <f t="shared" si="121"/>
        <v>0.25151534408826681</v>
      </c>
      <c r="Z622" s="2" t="str">
        <f t="shared" si="122"/>
        <v/>
      </c>
      <c r="AA622" s="2" t="e">
        <f t="shared" si="123"/>
        <v>#VALUE!</v>
      </c>
      <c r="AB622" s="2" t="e">
        <f t="shared" si="124"/>
        <v>#VALUE!</v>
      </c>
      <c r="AC622" s="2" t="str">
        <f t="shared" si="125"/>
        <v>Text Value Not Recognized as Date</v>
      </c>
      <c r="AD622" s="2">
        <f t="shared" si="126"/>
        <v>0</v>
      </c>
      <c r="AE622" s="2">
        <f t="shared" si="127"/>
        <v>0</v>
      </c>
      <c r="AH622" t="str">
        <f t="shared" si="130"/>
        <v>Vikram Iyer</v>
      </c>
      <c r="AI622" t="str">
        <f t="shared" si="130"/>
        <v>Consumer</v>
      </c>
      <c r="AJ622" t="str">
        <f t="shared" si="130"/>
        <v>North</v>
      </c>
      <c r="AK622" t="str">
        <f t="shared" si="130"/>
        <v>Uttar Pradesh</v>
      </c>
      <c r="AL622" t="str">
        <f t="shared" si="130"/>
        <v>Noida</v>
      </c>
      <c r="AM622" t="str">
        <f t="shared" si="130"/>
        <v>Technology</v>
      </c>
      <c r="AN622" t="str">
        <f t="shared" si="130"/>
        <v>Machines</v>
      </c>
      <c r="AO622" t="str">
        <f t="shared" si="128"/>
        <v>Standard Class</v>
      </c>
      <c r="AP622" t="str">
        <f t="shared" si="129"/>
        <v>Paid</v>
      </c>
      <c r="AQ622" t="str">
        <f t="shared" si="129"/>
        <v>Completed</v>
      </c>
    </row>
    <row r="623" spans="1:43">
      <c r="A623" t="s">
        <v>2217</v>
      </c>
      <c r="B623" s="3" t="s">
        <v>137</v>
      </c>
      <c r="C623" s="3">
        <v>45455</v>
      </c>
      <c r="D623" t="s">
        <v>2218</v>
      </c>
      <c r="E623" t="s">
        <v>176</v>
      </c>
      <c r="F623" t="s">
        <v>109</v>
      </c>
      <c r="G623" t="s">
        <v>149</v>
      </c>
      <c r="H623" t="s">
        <v>150</v>
      </c>
      <c r="I623" t="s">
        <v>151</v>
      </c>
      <c r="J623" t="s">
        <v>126</v>
      </c>
      <c r="K623" t="s">
        <v>152</v>
      </c>
      <c r="L623" t="s">
        <v>2219</v>
      </c>
      <c r="M623" t="s">
        <v>129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117</v>
      </c>
      <c r="U623" t="s">
        <v>118</v>
      </c>
      <c r="V623" s="2">
        <f t="shared" si="119"/>
        <v>0</v>
      </c>
      <c r="W623" s="2">
        <f t="shared" si="120"/>
        <v>5464.2</v>
      </c>
      <c r="X623" s="2">
        <f>W623-R623</f>
        <v>2146.1099999999997</v>
      </c>
      <c r="Y623" s="2">
        <f t="shared" si="121"/>
        <v>0.39275831777753373</v>
      </c>
      <c r="Z623" s="2" t="str">
        <f t="shared" si="122"/>
        <v/>
      </c>
      <c r="AA623" s="2" t="e">
        <f t="shared" si="123"/>
        <v>#VALUE!</v>
      </c>
      <c r="AB623" s="2" t="e">
        <f t="shared" si="124"/>
        <v>#VALUE!</v>
      </c>
      <c r="AC623" s="2" t="str">
        <f t="shared" si="125"/>
        <v>Text Value Not Recognized as Date</v>
      </c>
      <c r="AD623" s="2">
        <f t="shared" si="126"/>
        <v>0</v>
      </c>
      <c r="AE623" s="2">
        <f t="shared" si="127"/>
        <v>0</v>
      </c>
      <c r="AH623" t="str">
        <f t="shared" si="130"/>
        <v>Aditi Sen</v>
      </c>
      <c r="AI623" t="str">
        <f t="shared" si="130"/>
        <v>Consumer</v>
      </c>
      <c r="AJ623" t="str">
        <f t="shared" si="130"/>
        <v>West</v>
      </c>
      <c r="AK623" t="str">
        <f t="shared" si="130"/>
        <v>Maharashtra</v>
      </c>
      <c r="AL623" t="str">
        <f t="shared" si="130"/>
        <v>Mumbai</v>
      </c>
      <c r="AM623" t="str">
        <f t="shared" si="130"/>
        <v>Furniture</v>
      </c>
      <c r="AN623" t="str">
        <f t="shared" si="130"/>
        <v>Chairs</v>
      </c>
      <c r="AO623" t="str">
        <f t="shared" si="128"/>
        <v>Same Day</v>
      </c>
      <c r="AP623" t="str">
        <f t="shared" si="129"/>
        <v>Paid</v>
      </c>
      <c r="AQ623" t="str">
        <f t="shared" si="129"/>
        <v>Completed</v>
      </c>
    </row>
    <row r="624" spans="1:43">
      <c r="A624" t="s">
        <v>2220</v>
      </c>
      <c r="B624" s="3" t="s">
        <v>2221</v>
      </c>
      <c r="C624" s="3">
        <v>45694</v>
      </c>
      <c r="D624" t="s">
        <v>2222</v>
      </c>
      <c r="E624" t="s">
        <v>157</v>
      </c>
      <c r="F624" t="s">
        <v>109</v>
      </c>
      <c r="G624" t="s">
        <v>123</v>
      </c>
      <c r="H624" t="s">
        <v>237</v>
      </c>
      <c r="I624" t="s">
        <v>238</v>
      </c>
      <c r="J624" t="s">
        <v>113</v>
      </c>
      <c r="K624" t="s">
        <v>213</v>
      </c>
      <c r="L624" t="s">
        <v>2223</v>
      </c>
      <c r="M624" t="s">
        <v>145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117</v>
      </c>
      <c r="U624" t="s">
        <v>118</v>
      </c>
      <c r="V624" s="2">
        <f t="shared" si="119"/>
        <v>0.05</v>
      </c>
      <c r="W624" s="2">
        <f t="shared" si="120"/>
        <v>10484.238000000001</v>
      </c>
      <c r="X624" s="2">
        <f>W624-R624</f>
        <v>3804.0880000000016</v>
      </c>
      <c r="Y624" s="2">
        <f t="shared" si="121"/>
        <v>0.36283876806306775</v>
      </c>
      <c r="Z624" s="2" t="str">
        <f t="shared" si="122"/>
        <v/>
      </c>
      <c r="AA624" s="2" t="e">
        <f t="shared" si="123"/>
        <v>#VALUE!</v>
      </c>
      <c r="AB624" s="2" t="e">
        <f t="shared" si="124"/>
        <v>#VALUE!</v>
      </c>
      <c r="AC624" s="2" t="str">
        <f t="shared" si="125"/>
        <v>Text Value Not Recognized as Date</v>
      </c>
      <c r="AD624" s="2">
        <f t="shared" si="126"/>
        <v>0</v>
      </c>
      <c r="AE624" s="2">
        <f t="shared" si="127"/>
        <v>0</v>
      </c>
      <c r="AH624" t="str">
        <f t="shared" si="130"/>
        <v>Vikram Iyer</v>
      </c>
      <c r="AI624" t="str">
        <f t="shared" si="130"/>
        <v>Consumer</v>
      </c>
      <c r="AJ624" t="str">
        <f t="shared" si="130"/>
        <v>East</v>
      </c>
      <c r="AK624" t="str">
        <f t="shared" si="130"/>
        <v>Bihar</v>
      </c>
      <c r="AL624" t="str">
        <f t="shared" si="130"/>
        <v>Patna</v>
      </c>
      <c r="AM624" t="str">
        <f t="shared" si="130"/>
        <v>Office Supplies</v>
      </c>
      <c r="AN624" t="str">
        <f t="shared" si="130"/>
        <v>Storage</v>
      </c>
      <c r="AO624" t="str">
        <f t="shared" si="128"/>
        <v>Standard Class</v>
      </c>
      <c r="AP624" t="str">
        <f t="shared" si="129"/>
        <v>Paid</v>
      </c>
      <c r="AQ624" t="str">
        <f t="shared" si="129"/>
        <v>Completed</v>
      </c>
    </row>
    <row r="625" spans="1:43">
      <c r="A625" t="s">
        <v>2224</v>
      </c>
      <c r="B625" s="3">
        <v>45512</v>
      </c>
      <c r="C625" s="3">
        <v>45518</v>
      </c>
      <c r="D625" t="s">
        <v>2225</v>
      </c>
      <c r="E625" t="s">
        <v>157</v>
      </c>
      <c r="F625" t="s">
        <v>182</v>
      </c>
      <c r="G625" t="s">
        <v>110</v>
      </c>
      <c r="H625" t="s">
        <v>211</v>
      </c>
      <c r="I625" t="s">
        <v>212</v>
      </c>
      <c r="J625" t="s">
        <v>113</v>
      </c>
      <c r="K625" t="s">
        <v>213</v>
      </c>
      <c r="L625" t="s">
        <v>2226</v>
      </c>
      <c r="M625" t="s">
        <v>116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117</v>
      </c>
      <c r="U625" t="s">
        <v>118</v>
      </c>
      <c r="V625" s="2">
        <f t="shared" si="119"/>
        <v>0.05</v>
      </c>
      <c r="W625" s="2">
        <f t="shared" si="120"/>
        <v>10329.843999999999</v>
      </c>
      <c r="X625" s="2">
        <f>W625-R625</f>
        <v>2817.6239999999989</v>
      </c>
      <c r="Y625" s="2">
        <f t="shared" si="121"/>
        <v>0.27276539703794161</v>
      </c>
      <c r="Z625" s="2">
        <f t="shared" si="122"/>
        <v>6</v>
      </c>
      <c r="AA625" s="2">
        <f t="shared" si="123"/>
        <v>8</v>
      </c>
      <c r="AB625" s="2">
        <f t="shared" si="124"/>
        <v>2024</v>
      </c>
      <c r="AC625" s="2" t="str">
        <f t="shared" si="125"/>
        <v>Valid</v>
      </c>
      <c r="AD625" s="2">
        <f t="shared" si="126"/>
        <v>0</v>
      </c>
      <c r="AE625" s="2">
        <f t="shared" si="127"/>
        <v>0</v>
      </c>
      <c r="AH625" t="str">
        <f t="shared" si="130"/>
        <v>Vikram Iyer</v>
      </c>
      <c r="AI625" t="str">
        <f t="shared" si="130"/>
        <v>Home Office</v>
      </c>
      <c r="AJ625" t="str">
        <f t="shared" si="130"/>
        <v>North</v>
      </c>
      <c r="AK625" t="str">
        <f t="shared" si="130"/>
        <v>Punjab</v>
      </c>
      <c r="AL625" t="str">
        <f t="shared" si="130"/>
        <v>Ludhiana</v>
      </c>
      <c r="AM625" t="str">
        <f t="shared" si="130"/>
        <v>Office Supplies</v>
      </c>
      <c r="AN625" t="str">
        <f t="shared" si="130"/>
        <v>Storage</v>
      </c>
      <c r="AO625" t="str">
        <f t="shared" si="128"/>
        <v>Second Class</v>
      </c>
      <c r="AP625" t="str">
        <f t="shared" si="129"/>
        <v>Paid</v>
      </c>
      <c r="AQ625" t="str">
        <f t="shared" si="129"/>
        <v>Completed</v>
      </c>
    </row>
    <row r="626" spans="1:43">
      <c r="A626" t="s">
        <v>2227</v>
      </c>
      <c r="B626" s="3">
        <v>45321</v>
      </c>
      <c r="C626" s="3">
        <v>45323</v>
      </c>
      <c r="D626" t="s">
        <v>2228</v>
      </c>
      <c r="E626" t="s">
        <v>165</v>
      </c>
      <c r="F626" t="s">
        <v>182</v>
      </c>
      <c r="G626" t="s">
        <v>123</v>
      </c>
      <c r="H626" t="s">
        <v>260</v>
      </c>
      <c r="I626" t="s">
        <v>261</v>
      </c>
      <c r="J626" t="s">
        <v>126</v>
      </c>
      <c r="K626" t="s">
        <v>152</v>
      </c>
      <c r="L626" t="s">
        <v>2229</v>
      </c>
      <c r="M626" t="s">
        <v>135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117</v>
      </c>
      <c r="U626" t="s">
        <v>118</v>
      </c>
      <c r="V626" s="2">
        <f t="shared" si="119"/>
        <v>0.05</v>
      </c>
      <c r="W626" s="2">
        <f t="shared" si="120"/>
        <v>8456.9569999999985</v>
      </c>
      <c r="X626" s="2">
        <f>W626-R626</f>
        <v>2994.1069999999982</v>
      </c>
      <c r="Y626" s="2">
        <f t="shared" si="121"/>
        <v>0.35404070282017502</v>
      </c>
      <c r="Z626" s="2">
        <f t="shared" si="122"/>
        <v>2</v>
      </c>
      <c r="AA626" s="2">
        <f t="shared" si="123"/>
        <v>1</v>
      </c>
      <c r="AB626" s="2">
        <f t="shared" si="124"/>
        <v>2024</v>
      </c>
      <c r="AC626" s="2" t="str">
        <f t="shared" si="125"/>
        <v>Valid</v>
      </c>
      <c r="AD626" s="2">
        <f t="shared" si="126"/>
        <v>0</v>
      </c>
      <c r="AE626" s="2">
        <f t="shared" si="127"/>
        <v>0</v>
      </c>
      <c r="AH626" t="str">
        <f t="shared" si="130"/>
        <v>Neha Gupta</v>
      </c>
      <c r="AI626" t="str">
        <f t="shared" si="130"/>
        <v>Home Office</v>
      </c>
      <c r="AJ626" t="str">
        <f t="shared" si="130"/>
        <v>East</v>
      </c>
      <c r="AK626" t="str">
        <f t="shared" si="130"/>
        <v>Assam</v>
      </c>
      <c r="AL626" t="str">
        <f t="shared" si="130"/>
        <v>Guwahati</v>
      </c>
      <c r="AM626" t="str">
        <f t="shared" si="130"/>
        <v>Furniture</v>
      </c>
      <c r="AN626" t="str">
        <f t="shared" si="130"/>
        <v>Chairs</v>
      </c>
      <c r="AO626" t="str">
        <f t="shared" si="128"/>
        <v>First Class</v>
      </c>
      <c r="AP626" t="str">
        <f t="shared" si="129"/>
        <v>Paid</v>
      </c>
      <c r="AQ626" t="str">
        <f t="shared" si="129"/>
        <v>Completed</v>
      </c>
    </row>
    <row r="627" spans="1:43">
      <c r="A627" t="s">
        <v>2230</v>
      </c>
      <c r="B627" s="3">
        <v>45641</v>
      </c>
      <c r="C627" s="3">
        <v>45647</v>
      </c>
      <c r="D627" t="s">
        <v>2231</v>
      </c>
      <c r="E627" t="s">
        <v>256</v>
      </c>
      <c r="F627" t="s">
        <v>177</v>
      </c>
      <c r="G627" t="s">
        <v>149</v>
      </c>
      <c r="H627" t="s">
        <v>111</v>
      </c>
      <c r="I627" t="s">
        <v>197</v>
      </c>
      <c r="J627" t="s">
        <v>126</v>
      </c>
      <c r="K627" t="s">
        <v>152</v>
      </c>
      <c r="L627" t="s">
        <v>2232</v>
      </c>
      <c r="M627" t="s">
        <v>129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117</v>
      </c>
      <c r="U627" t="s">
        <v>118</v>
      </c>
      <c r="V627" s="2">
        <f t="shared" si="119"/>
        <v>0.2</v>
      </c>
      <c r="W627" s="2">
        <f t="shared" si="120"/>
        <v>1266.4079999999999</v>
      </c>
      <c r="X627" s="2">
        <f>W627-R627</f>
        <v>282.48799999999994</v>
      </c>
      <c r="Y627" s="2">
        <f t="shared" si="121"/>
        <v>0.22306239379410109</v>
      </c>
      <c r="Z627" s="2">
        <f t="shared" si="122"/>
        <v>6</v>
      </c>
      <c r="AA627" s="2">
        <f t="shared" si="123"/>
        <v>12</v>
      </c>
      <c r="AB627" s="2">
        <f t="shared" si="124"/>
        <v>2024</v>
      </c>
      <c r="AC627" s="2" t="str">
        <f t="shared" si="125"/>
        <v>Valid</v>
      </c>
      <c r="AD627" s="2">
        <f t="shared" si="126"/>
        <v>0</v>
      </c>
      <c r="AE627" s="2">
        <f t="shared" si="127"/>
        <v>0</v>
      </c>
      <c r="AH627" t="str">
        <f t="shared" si="130"/>
        <v>Diya Patel</v>
      </c>
      <c r="AI627" t="str">
        <f t="shared" si="130"/>
        <v>Corporate</v>
      </c>
      <c r="AJ627" t="str">
        <f t="shared" si="130"/>
        <v>West</v>
      </c>
      <c r="AK627" t="str">
        <f t="shared" si="130"/>
        <v>Rajasthan</v>
      </c>
      <c r="AL627" t="str">
        <f t="shared" si="130"/>
        <v>Udaipur</v>
      </c>
      <c r="AM627" t="str">
        <f t="shared" si="130"/>
        <v>Furniture</v>
      </c>
      <c r="AN627" t="str">
        <f t="shared" si="130"/>
        <v>Chairs</v>
      </c>
      <c r="AO627" t="str">
        <f t="shared" si="128"/>
        <v>Same Day</v>
      </c>
      <c r="AP627" t="str">
        <f t="shared" si="129"/>
        <v>Paid</v>
      </c>
      <c r="AQ627" t="str">
        <f t="shared" si="129"/>
        <v>Completed</v>
      </c>
    </row>
    <row r="628" spans="1:43">
      <c r="A628" t="s">
        <v>2233</v>
      </c>
      <c r="B628" s="3">
        <v>45753</v>
      </c>
      <c r="C628" s="3">
        <v>45815</v>
      </c>
      <c r="D628" t="s">
        <v>2234</v>
      </c>
      <c r="E628" t="s">
        <v>222</v>
      </c>
      <c r="F628" t="s">
        <v>182</v>
      </c>
      <c r="G628" t="s">
        <v>123</v>
      </c>
      <c r="H628" t="s">
        <v>260</v>
      </c>
      <c r="I628" t="s">
        <v>261</v>
      </c>
      <c r="J628" t="s">
        <v>160</v>
      </c>
      <c r="K628" t="s">
        <v>385</v>
      </c>
      <c r="L628" t="s">
        <v>2235</v>
      </c>
      <c r="M628" t="s">
        <v>145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199</v>
      </c>
      <c r="U628" t="s">
        <v>190</v>
      </c>
      <c r="V628" s="2">
        <f t="shared" si="119"/>
        <v>0</v>
      </c>
      <c r="W628" s="2">
        <f t="shared" si="120"/>
        <v>11473.04</v>
      </c>
      <c r="X628" s="2">
        <f>W628-R628</f>
        <v>2541.7100000000009</v>
      </c>
      <c r="Y628" s="2">
        <f t="shared" si="121"/>
        <v>0.22153762211236086</v>
      </c>
      <c r="Z628" s="2">
        <f t="shared" si="122"/>
        <v>62</v>
      </c>
      <c r="AA628" s="2">
        <f t="shared" si="123"/>
        <v>4</v>
      </c>
      <c r="AB628" s="2">
        <f t="shared" si="124"/>
        <v>2025</v>
      </c>
      <c r="AC628" s="2" t="str">
        <f t="shared" si="125"/>
        <v>Valid</v>
      </c>
      <c r="AD628" s="2">
        <f t="shared" si="126"/>
        <v>0</v>
      </c>
      <c r="AE628" s="2">
        <f t="shared" si="127"/>
        <v>0</v>
      </c>
      <c r="AH628" t="str">
        <f t="shared" si="130"/>
        <v>Sneha Kapoor</v>
      </c>
      <c r="AI628" t="str">
        <f t="shared" si="130"/>
        <v>Home Office</v>
      </c>
      <c r="AJ628" t="str">
        <f t="shared" si="130"/>
        <v>East</v>
      </c>
      <c r="AK628" t="str">
        <f t="shared" si="130"/>
        <v>Assam</v>
      </c>
      <c r="AL628" t="str">
        <f t="shared" si="130"/>
        <v>Guwahati</v>
      </c>
      <c r="AM628" t="str">
        <f t="shared" si="130"/>
        <v>Technology</v>
      </c>
      <c r="AN628" t="str">
        <f t="shared" si="130"/>
        <v>Machines</v>
      </c>
      <c r="AO628" t="str">
        <f t="shared" si="128"/>
        <v>Standard Class</v>
      </c>
      <c r="AP628" t="str">
        <f t="shared" si="129"/>
        <v>Pending</v>
      </c>
      <c r="AQ628" t="str">
        <f t="shared" si="129"/>
        <v>Returned</v>
      </c>
    </row>
    <row r="629" spans="1:43">
      <c r="A629" t="s">
        <v>2236</v>
      </c>
      <c r="B629" s="3">
        <v>45701</v>
      </c>
      <c r="C629" s="3" t="s">
        <v>1359</v>
      </c>
      <c r="D629" t="s">
        <v>2237</v>
      </c>
      <c r="E629" t="s">
        <v>108</v>
      </c>
      <c r="F629" t="s">
        <v>122</v>
      </c>
      <c r="G629" t="s">
        <v>140</v>
      </c>
      <c r="H629" t="s">
        <v>282</v>
      </c>
      <c r="I629" t="s">
        <v>283</v>
      </c>
      <c r="J629" t="s">
        <v>160</v>
      </c>
      <c r="K629" t="s">
        <v>266</v>
      </c>
      <c r="L629" t="s">
        <v>2238</v>
      </c>
      <c r="M629" t="s">
        <v>116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199</v>
      </c>
      <c r="U629" t="s">
        <v>44</v>
      </c>
      <c r="V629" s="2">
        <f t="shared" si="119"/>
        <v>0.15</v>
      </c>
      <c r="W629" s="2">
        <f t="shared" si="120"/>
        <v>4012.0339999999997</v>
      </c>
      <c r="X629" s="2">
        <f>W629-R629</f>
        <v>869.11399999999958</v>
      </c>
      <c r="Y629" s="2">
        <f t="shared" si="121"/>
        <v>0.21662677833737193</v>
      </c>
      <c r="Z629" s="2" t="str">
        <f t="shared" si="122"/>
        <v/>
      </c>
      <c r="AA629" s="2">
        <f t="shared" si="123"/>
        <v>2</v>
      </c>
      <c r="AB629" s="2">
        <f t="shared" si="124"/>
        <v>2025</v>
      </c>
      <c r="AC629" s="2" t="str">
        <f t="shared" si="125"/>
        <v>Text Value Not Recognized as Date</v>
      </c>
      <c r="AD629" s="2">
        <f t="shared" si="126"/>
        <v>0</v>
      </c>
      <c r="AE629" s="2">
        <f t="shared" si="127"/>
        <v>0</v>
      </c>
      <c r="AH629" t="str">
        <f t="shared" si="130"/>
        <v>Karan Malhotra</v>
      </c>
      <c r="AI629" t="str">
        <f t="shared" si="130"/>
        <v>Small Business</v>
      </c>
      <c r="AJ629" t="str">
        <f t="shared" si="130"/>
        <v>South</v>
      </c>
      <c r="AK629" t="str">
        <f t="shared" si="130"/>
        <v>Kerala</v>
      </c>
      <c r="AL629" t="str">
        <f t="shared" si="130"/>
        <v>Kochi</v>
      </c>
      <c r="AM629" t="str">
        <f t="shared" si="130"/>
        <v>Technology</v>
      </c>
      <c r="AN629" t="str">
        <f t="shared" si="130"/>
        <v>Phones</v>
      </c>
      <c r="AO629" t="str">
        <f t="shared" si="128"/>
        <v>Second Class</v>
      </c>
      <c r="AP629" t="str">
        <f t="shared" si="129"/>
        <v>Pending</v>
      </c>
      <c r="AQ629" t="str">
        <f t="shared" si="129"/>
        <v>Cancelled</v>
      </c>
    </row>
    <row r="630" spans="1:43">
      <c r="A630" t="s">
        <v>2239</v>
      </c>
      <c r="B630" s="3">
        <v>45935</v>
      </c>
      <c r="C630" s="3">
        <v>45942</v>
      </c>
      <c r="D630" t="s">
        <v>2240</v>
      </c>
      <c r="E630" t="s">
        <v>148</v>
      </c>
      <c r="F630" t="s">
        <v>182</v>
      </c>
      <c r="G630" t="s">
        <v>123</v>
      </c>
      <c r="H630" t="s">
        <v>335</v>
      </c>
      <c r="I630" t="s">
        <v>336</v>
      </c>
      <c r="J630" t="s">
        <v>160</v>
      </c>
      <c r="K630" t="s">
        <v>161</v>
      </c>
      <c r="L630" t="s">
        <v>2241</v>
      </c>
      <c r="M630" t="s">
        <v>129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117</v>
      </c>
      <c r="U630" t="s">
        <v>118</v>
      </c>
      <c r="V630" s="2">
        <f t="shared" si="119"/>
        <v>0.05</v>
      </c>
      <c r="W630" s="2">
        <f t="shared" si="120"/>
        <v>5364.3554999999997</v>
      </c>
      <c r="X630" s="2">
        <f>W630-R630</f>
        <v>973.0654999999997</v>
      </c>
      <c r="Y630" s="2">
        <f t="shared" si="121"/>
        <v>0.18139467080434915</v>
      </c>
      <c r="Z630" s="2">
        <f t="shared" si="122"/>
        <v>7</v>
      </c>
      <c r="AA630" s="2">
        <f t="shared" si="123"/>
        <v>10</v>
      </c>
      <c r="AB630" s="2">
        <f t="shared" si="124"/>
        <v>2025</v>
      </c>
      <c r="AC630" s="2" t="str">
        <f t="shared" si="125"/>
        <v>Valid</v>
      </c>
      <c r="AD630" s="2">
        <f t="shared" si="126"/>
        <v>0</v>
      </c>
      <c r="AE630" s="2">
        <f t="shared" si="127"/>
        <v>0</v>
      </c>
      <c r="AH630" t="str">
        <f t="shared" si="130"/>
        <v>Ananya Rao</v>
      </c>
      <c r="AI630" t="str">
        <f t="shared" si="130"/>
        <v>Home Office</v>
      </c>
      <c r="AJ630" t="str">
        <f t="shared" si="130"/>
        <v>East</v>
      </c>
      <c r="AK630" t="str">
        <f t="shared" si="130"/>
        <v>Jharkhand</v>
      </c>
      <c r="AL630" t="str">
        <f t="shared" si="130"/>
        <v>Ranchi</v>
      </c>
      <c r="AM630" t="str">
        <f t="shared" si="130"/>
        <v>Technology</v>
      </c>
      <c r="AN630" t="str">
        <f t="shared" si="130"/>
        <v>Accessories</v>
      </c>
      <c r="AO630" t="str">
        <f t="shared" si="128"/>
        <v>Same Day</v>
      </c>
      <c r="AP630" t="str">
        <f t="shared" si="129"/>
        <v>Paid</v>
      </c>
      <c r="AQ630" t="str">
        <f t="shared" si="129"/>
        <v>Completed</v>
      </c>
    </row>
    <row r="631" spans="1:43">
      <c r="A631" t="s">
        <v>2242</v>
      </c>
      <c r="B631" s="3">
        <v>45910</v>
      </c>
      <c r="C631" s="3">
        <v>45914</v>
      </c>
      <c r="D631" t="s">
        <v>2243</v>
      </c>
      <c r="E631" t="s">
        <v>139</v>
      </c>
      <c r="F631" t="s">
        <v>182</v>
      </c>
      <c r="G631" t="s">
        <v>149</v>
      </c>
      <c r="H631" t="s">
        <v>276</v>
      </c>
      <c r="I631" t="s">
        <v>277</v>
      </c>
      <c r="J631" t="s">
        <v>126</v>
      </c>
      <c r="K631" t="s">
        <v>127</v>
      </c>
      <c r="L631" t="s">
        <v>2244</v>
      </c>
      <c r="M631" t="s">
        <v>129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117</v>
      </c>
      <c r="U631" t="s">
        <v>118</v>
      </c>
      <c r="V631" s="2">
        <f t="shared" si="119"/>
        <v>0.15</v>
      </c>
      <c r="W631" s="2">
        <f t="shared" si="120"/>
        <v>10706.073</v>
      </c>
      <c r="X631" s="2">
        <f>W631-R631</f>
        <v>4778.973</v>
      </c>
      <c r="Y631" s="2">
        <f t="shared" si="121"/>
        <v>0.44637963892082555</v>
      </c>
      <c r="Z631" s="2">
        <f t="shared" si="122"/>
        <v>4</v>
      </c>
      <c r="AA631" s="2">
        <f t="shared" si="123"/>
        <v>9</v>
      </c>
      <c r="AB631" s="2">
        <f t="shared" si="124"/>
        <v>2025</v>
      </c>
      <c r="AC631" s="2" t="str">
        <f t="shared" si="125"/>
        <v>Valid</v>
      </c>
      <c r="AD631" s="2">
        <f t="shared" si="126"/>
        <v>0</v>
      </c>
      <c r="AE631" s="2">
        <f t="shared" si="127"/>
        <v>0</v>
      </c>
      <c r="AH631" t="str">
        <f t="shared" si="130"/>
        <v>Arjun Bose</v>
      </c>
      <c r="AI631" t="str">
        <f t="shared" si="130"/>
        <v>Home Office</v>
      </c>
      <c r="AJ631" t="str">
        <f t="shared" si="130"/>
        <v>West</v>
      </c>
      <c r="AK631" t="str">
        <f t="shared" si="130"/>
        <v>Gujarat</v>
      </c>
      <c r="AL631" t="str">
        <f t="shared" si="130"/>
        <v>Ahmedabad</v>
      </c>
      <c r="AM631" t="str">
        <f t="shared" si="130"/>
        <v>Furniture</v>
      </c>
      <c r="AN631" t="str">
        <f t="shared" si="130"/>
        <v>Tables</v>
      </c>
      <c r="AO631" t="str">
        <f t="shared" si="128"/>
        <v>Same Day</v>
      </c>
      <c r="AP631" t="str">
        <f t="shared" si="129"/>
        <v>Paid</v>
      </c>
      <c r="AQ631" t="str">
        <f t="shared" si="129"/>
        <v>Completed</v>
      </c>
    </row>
    <row r="632" spans="1:43">
      <c r="A632" t="s">
        <v>2245</v>
      </c>
      <c r="B632" s="3">
        <v>45391</v>
      </c>
      <c r="C632" s="3">
        <v>45392</v>
      </c>
      <c r="D632" t="s">
        <v>2246</v>
      </c>
      <c r="E632" t="s">
        <v>203</v>
      </c>
      <c r="F632" t="s">
        <v>177</v>
      </c>
      <c r="G632" t="s">
        <v>123</v>
      </c>
      <c r="H632" t="s">
        <v>260</v>
      </c>
      <c r="I632" t="s">
        <v>261</v>
      </c>
      <c r="J632" t="s">
        <v>113</v>
      </c>
      <c r="K632" t="s">
        <v>114</v>
      </c>
      <c r="L632" t="s">
        <v>2247</v>
      </c>
      <c r="M632" t="s">
        <v>145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117</v>
      </c>
      <c r="U632" t="s">
        <v>118</v>
      </c>
      <c r="V632" s="2">
        <f t="shared" si="119"/>
        <v>0.1</v>
      </c>
      <c r="W632" s="2">
        <f t="shared" si="120"/>
        <v>10969.380000000001</v>
      </c>
      <c r="X632" s="2">
        <f>W632-R632</f>
        <v>1714.9200000000019</v>
      </c>
      <c r="Y632" s="2">
        <f t="shared" si="121"/>
        <v>0.15633700354988173</v>
      </c>
      <c r="Z632" s="2">
        <f t="shared" si="122"/>
        <v>1</v>
      </c>
      <c r="AA632" s="2">
        <f t="shared" si="123"/>
        <v>4</v>
      </c>
      <c r="AB632" s="2">
        <f t="shared" si="124"/>
        <v>2024</v>
      </c>
      <c r="AC632" s="2" t="str">
        <f t="shared" si="125"/>
        <v>Valid</v>
      </c>
      <c r="AD632" s="2">
        <f t="shared" si="126"/>
        <v>0</v>
      </c>
      <c r="AE632" s="2">
        <f t="shared" si="127"/>
        <v>0</v>
      </c>
      <c r="AH632" t="str">
        <f t="shared" si="130"/>
        <v>Priya Menon</v>
      </c>
      <c r="AI632" t="str">
        <f t="shared" si="130"/>
        <v>Corporate</v>
      </c>
      <c r="AJ632" t="str">
        <f t="shared" si="130"/>
        <v>East</v>
      </c>
      <c r="AK632" t="str">
        <f t="shared" si="130"/>
        <v>Assam</v>
      </c>
      <c r="AL632" t="str">
        <f t="shared" si="130"/>
        <v>Guwahati</v>
      </c>
      <c r="AM632" t="str">
        <f t="shared" si="130"/>
        <v>Office Supplies</v>
      </c>
      <c r="AN632" t="str">
        <f t="shared" si="130"/>
        <v>Paper</v>
      </c>
      <c r="AO632" t="str">
        <f t="shared" si="128"/>
        <v>Standard Class</v>
      </c>
      <c r="AP632" t="str">
        <f t="shared" si="129"/>
        <v>Paid</v>
      </c>
      <c r="AQ632" t="str">
        <f t="shared" si="129"/>
        <v>Completed</v>
      </c>
    </row>
    <row r="633" spans="1:43">
      <c r="A633" t="s">
        <v>2248</v>
      </c>
      <c r="B633" s="3">
        <v>45392</v>
      </c>
      <c r="C633" s="3" t="s">
        <v>1187</v>
      </c>
      <c r="D633" t="s">
        <v>2249</v>
      </c>
      <c r="E633" t="s">
        <v>218</v>
      </c>
      <c r="F633" t="s">
        <v>182</v>
      </c>
      <c r="G633" t="s">
        <v>149</v>
      </c>
      <c r="H633" t="s">
        <v>111</v>
      </c>
      <c r="I633" t="s">
        <v>197</v>
      </c>
      <c r="J633" t="s">
        <v>126</v>
      </c>
      <c r="K633" t="s">
        <v>152</v>
      </c>
      <c r="L633" t="s">
        <v>2250</v>
      </c>
      <c r="M633" t="s">
        <v>145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117</v>
      </c>
      <c r="U633" t="s">
        <v>118</v>
      </c>
      <c r="V633" s="2">
        <f t="shared" si="119"/>
        <v>0.1</v>
      </c>
      <c r="W633" s="2">
        <f t="shared" si="120"/>
        <v>31409.855999999996</v>
      </c>
      <c r="X633" s="2">
        <f>W633-R633</f>
        <v>8886.3159999999953</v>
      </c>
      <c r="Y633" s="2">
        <f t="shared" si="121"/>
        <v>0.2829148914277097</v>
      </c>
      <c r="Z633" s="2" t="str">
        <f t="shared" si="122"/>
        <v/>
      </c>
      <c r="AA633" s="2">
        <f t="shared" si="123"/>
        <v>4</v>
      </c>
      <c r="AB633" s="2">
        <f t="shared" si="124"/>
        <v>2024</v>
      </c>
      <c r="AC633" s="2" t="str">
        <f t="shared" si="125"/>
        <v>Text Value Not Recognized as Date</v>
      </c>
      <c r="AD633" s="2">
        <f t="shared" si="126"/>
        <v>0</v>
      </c>
      <c r="AE633" s="2">
        <f t="shared" si="127"/>
        <v>0</v>
      </c>
      <c r="AH633" t="str">
        <f t="shared" si="130"/>
        <v>Aarav Sharma</v>
      </c>
      <c r="AI633" t="str">
        <f t="shared" si="130"/>
        <v>Home Office</v>
      </c>
      <c r="AJ633" t="str">
        <f t="shared" si="130"/>
        <v>West</v>
      </c>
      <c r="AK633" t="str">
        <f t="shared" si="130"/>
        <v>Rajasthan</v>
      </c>
      <c r="AL633" t="str">
        <f t="shared" si="130"/>
        <v>Udaipur</v>
      </c>
      <c r="AM633" t="str">
        <f t="shared" si="130"/>
        <v>Furniture</v>
      </c>
      <c r="AN633" t="str">
        <f t="shared" si="130"/>
        <v>Chairs</v>
      </c>
      <c r="AO633" t="str">
        <f t="shared" si="128"/>
        <v>Standard Class</v>
      </c>
      <c r="AP633" t="str">
        <f t="shared" si="129"/>
        <v>Paid</v>
      </c>
      <c r="AQ633" t="str">
        <f t="shared" si="129"/>
        <v>Completed</v>
      </c>
    </row>
    <row r="634" spans="1:43">
      <c r="A634" t="s">
        <v>2251</v>
      </c>
      <c r="B634" s="3" t="s">
        <v>2252</v>
      </c>
      <c r="C634" s="3" t="s">
        <v>2253</v>
      </c>
      <c r="D634" t="s">
        <v>2254</v>
      </c>
      <c r="E634" t="s">
        <v>222</v>
      </c>
      <c r="F634" t="s">
        <v>122</v>
      </c>
      <c r="G634" t="s">
        <v>140</v>
      </c>
      <c r="H634" t="s">
        <v>270</v>
      </c>
      <c r="I634" t="s">
        <v>271</v>
      </c>
      <c r="J634" t="s">
        <v>126</v>
      </c>
      <c r="K634" t="s">
        <v>143</v>
      </c>
      <c r="L634" t="s">
        <v>2255</v>
      </c>
      <c r="M634" t="s">
        <v>135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117</v>
      </c>
      <c r="U634" t="s">
        <v>118</v>
      </c>
      <c r="V634" s="2">
        <f t="shared" si="119"/>
        <v>0</v>
      </c>
      <c r="W634" s="2">
        <f t="shared" si="120"/>
        <v>14252.650000000001</v>
      </c>
      <c r="X634" s="2">
        <f>W634-R634</f>
        <v>2694.340000000002</v>
      </c>
      <c r="Y634" s="2">
        <f t="shared" si="121"/>
        <v>0.18904133617257154</v>
      </c>
      <c r="Z634" s="2" t="str">
        <f t="shared" si="122"/>
        <v/>
      </c>
      <c r="AA634" s="2" t="e">
        <f t="shared" si="123"/>
        <v>#VALUE!</v>
      </c>
      <c r="AB634" s="2" t="e">
        <f t="shared" si="124"/>
        <v>#VALUE!</v>
      </c>
      <c r="AC634" s="2" t="str">
        <f t="shared" si="125"/>
        <v>Conflicting Duplicate Order ID</v>
      </c>
      <c r="AD634" s="2">
        <f t="shared" si="126"/>
        <v>0</v>
      </c>
      <c r="AE634" s="2">
        <f t="shared" si="127"/>
        <v>0</v>
      </c>
      <c r="AH634" t="str">
        <f t="shared" si="130"/>
        <v>Sneha Kapoor</v>
      </c>
      <c r="AI634" t="str">
        <f t="shared" si="130"/>
        <v>Small Business</v>
      </c>
      <c r="AJ634" t="str">
        <f t="shared" si="130"/>
        <v>South</v>
      </c>
      <c r="AK634" t="str">
        <f t="shared" si="130"/>
        <v>Karnataka</v>
      </c>
      <c r="AL634" t="str">
        <f t="shared" si="130"/>
        <v>Bengaluru</v>
      </c>
      <c r="AM634" t="str">
        <f t="shared" si="130"/>
        <v>Furniture</v>
      </c>
      <c r="AN634" t="str">
        <f t="shared" si="130"/>
        <v>Furnishings</v>
      </c>
      <c r="AO634" t="str">
        <f t="shared" si="128"/>
        <v>First Class</v>
      </c>
      <c r="AP634" t="str">
        <f t="shared" si="129"/>
        <v>Paid</v>
      </c>
      <c r="AQ634" t="str">
        <f t="shared" si="129"/>
        <v>Completed</v>
      </c>
    </row>
    <row r="635" spans="1:43">
      <c r="A635" t="s">
        <v>2256</v>
      </c>
      <c r="B635" s="3">
        <v>45765</v>
      </c>
      <c r="C635" s="3">
        <v>45767</v>
      </c>
      <c r="D635" t="s">
        <v>2257</v>
      </c>
      <c r="E635" t="s">
        <v>218</v>
      </c>
      <c r="F635" t="s">
        <v>122</v>
      </c>
      <c r="G635" t="s">
        <v>140</v>
      </c>
      <c r="H635" t="s">
        <v>357</v>
      </c>
      <c r="I635" t="s">
        <v>358</v>
      </c>
      <c r="J635" t="s">
        <v>160</v>
      </c>
      <c r="K635" t="s">
        <v>161</v>
      </c>
      <c r="L635" t="s">
        <v>2258</v>
      </c>
      <c r="M635" t="s">
        <v>116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117</v>
      </c>
      <c r="U635" t="s">
        <v>118</v>
      </c>
      <c r="V635" s="2">
        <f t="shared" si="119"/>
        <v>0.15</v>
      </c>
      <c r="W635" s="2">
        <f t="shared" si="120"/>
        <v>1382.1679999999999</v>
      </c>
      <c r="X635" s="2">
        <f>W635-R635</f>
        <v>572.13799999999992</v>
      </c>
      <c r="Y635" s="2">
        <f t="shared" si="121"/>
        <v>0.4139424440444287</v>
      </c>
      <c r="Z635" s="2">
        <f t="shared" si="122"/>
        <v>2</v>
      </c>
      <c r="AA635" s="2">
        <f t="shared" si="123"/>
        <v>4</v>
      </c>
      <c r="AB635" s="2">
        <f t="shared" si="124"/>
        <v>2025</v>
      </c>
      <c r="AC635" s="2" t="str">
        <f t="shared" si="125"/>
        <v>Valid</v>
      </c>
      <c r="AD635" s="2">
        <f t="shared" si="126"/>
        <v>0</v>
      </c>
      <c r="AE635" s="2">
        <f t="shared" si="127"/>
        <v>0</v>
      </c>
      <c r="AH635" t="str">
        <f t="shared" si="130"/>
        <v>Aarav Sharma</v>
      </c>
      <c r="AI635" t="str">
        <f t="shared" si="130"/>
        <v>Small Business</v>
      </c>
      <c r="AJ635" t="str">
        <f t="shared" si="130"/>
        <v>South</v>
      </c>
      <c r="AK635" t="str">
        <f t="shared" si="130"/>
        <v>Tamil Nadu</v>
      </c>
      <c r="AL635" t="str">
        <f t="shared" ref="AL635:AN698" si="131">PROPER(TRIM(I635))</f>
        <v>Chennai</v>
      </c>
      <c r="AM635" t="str">
        <f t="shared" si="131"/>
        <v>Technology</v>
      </c>
      <c r="AN635" t="str">
        <f t="shared" si="131"/>
        <v>Accessories</v>
      </c>
      <c r="AO635" t="str">
        <f t="shared" si="128"/>
        <v>Second Class</v>
      </c>
      <c r="AP635" t="str">
        <f t="shared" si="129"/>
        <v>Paid</v>
      </c>
      <c r="AQ635" t="str">
        <f t="shared" si="129"/>
        <v>Completed</v>
      </c>
    </row>
    <row r="636" spans="1:43">
      <c r="A636" t="s">
        <v>2259</v>
      </c>
      <c r="B636" s="3">
        <v>45668</v>
      </c>
      <c r="C636" s="3">
        <v>45669</v>
      </c>
      <c r="D636" t="s">
        <v>2260</v>
      </c>
      <c r="E636" t="s">
        <v>176</v>
      </c>
      <c r="F636" t="s">
        <v>109</v>
      </c>
      <c r="G636" t="s">
        <v>140</v>
      </c>
      <c r="H636" t="s">
        <v>141</v>
      </c>
      <c r="I636" t="s">
        <v>142</v>
      </c>
      <c r="J636" t="s">
        <v>126</v>
      </c>
      <c r="K636" t="s">
        <v>152</v>
      </c>
      <c r="L636" t="s">
        <v>2261</v>
      </c>
      <c r="M636" t="s">
        <v>116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117</v>
      </c>
      <c r="U636" t="s">
        <v>118</v>
      </c>
      <c r="V636" s="2">
        <f t="shared" si="119"/>
        <v>0.05</v>
      </c>
      <c r="W636" s="2">
        <f t="shared" si="120"/>
        <v>9223.17</v>
      </c>
      <c r="X636" s="2">
        <f>W636-R636</f>
        <v>4119.47</v>
      </c>
      <c r="Y636" s="2">
        <f t="shared" si="121"/>
        <v>0.44664361602355807</v>
      </c>
      <c r="Z636" s="2">
        <f t="shared" si="122"/>
        <v>1</v>
      </c>
      <c r="AA636" s="2">
        <f t="shared" si="123"/>
        <v>1</v>
      </c>
      <c r="AB636" s="2">
        <f t="shared" si="124"/>
        <v>2025</v>
      </c>
      <c r="AC636" s="2" t="str">
        <f t="shared" si="125"/>
        <v>Valid</v>
      </c>
      <c r="AD636" s="2">
        <f t="shared" si="126"/>
        <v>0</v>
      </c>
      <c r="AE636" s="2">
        <f t="shared" si="127"/>
        <v>0</v>
      </c>
      <c r="AH636" t="str">
        <f t="shared" ref="AH636:AK699" si="132">PROPER(TRIM(E636))</f>
        <v>Aditi Sen</v>
      </c>
      <c r="AI636" t="str">
        <f t="shared" si="132"/>
        <v>Consumer</v>
      </c>
      <c r="AJ636" t="str">
        <f t="shared" si="132"/>
        <v>South</v>
      </c>
      <c r="AK636" t="str">
        <f t="shared" si="132"/>
        <v>Telangana</v>
      </c>
      <c r="AL636" t="str">
        <f t="shared" si="131"/>
        <v>Hyderabad</v>
      </c>
      <c r="AM636" t="str">
        <f t="shared" si="131"/>
        <v>Furniture</v>
      </c>
      <c r="AN636" t="str">
        <f t="shared" si="131"/>
        <v>Chairs</v>
      </c>
      <c r="AO636" t="str">
        <f t="shared" si="128"/>
        <v>Second Class</v>
      </c>
      <c r="AP636" t="str">
        <f t="shared" si="129"/>
        <v>Paid</v>
      </c>
      <c r="AQ636" t="str">
        <f t="shared" si="129"/>
        <v>Completed</v>
      </c>
    </row>
    <row r="637" spans="1:43">
      <c r="A637" t="s">
        <v>2262</v>
      </c>
      <c r="B637" s="3">
        <v>45432</v>
      </c>
      <c r="C637" s="3">
        <v>45437</v>
      </c>
      <c r="D637" t="s">
        <v>2263</v>
      </c>
      <c r="E637" t="s">
        <v>121</v>
      </c>
      <c r="F637" t="s">
        <v>177</v>
      </c>
      <c r="G637" t="s">
        <v>140</v>
      </c>
      <c r="H637" t="s">
        <v>171</v>
      </c>
      <c r="I637" t="s">
        <v>172</v>
      </c>
      <c r="J637" t="s">
        <v>126</v>
      </c>
      <c r="K637" t="s">
        <v>152</v>
      </c>
      <c r="L637" t="s">
        <v>2264</v>
      </c>
      <c r="M637" t="s">
        <v>129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117</v>
      </c>
      <c r="U637" t="s">
        <v>118</v>
      </c>
      <c r="V637" s="2">
        <f t="shared" si="119"/>
        <v>0.25</v>
      </c>
      <c r="W637" s="2">
        <f t="shared" si="120"/>
        <v>16394.962500000001</v>
      </c>
      <c r="X637" s="2">
        <f>W637-R637</f>
        <v>5990.7925000000014</v>
      </c>
      <c r="Y637" s="2">
        <f t="shared" si="121"/>
        <v>0.36540446493854445</v>
      </c>
      <c r="Z637" s="2">
        <f t="shared" si="122"/>
        <v>5</v>
      </c>
      <c r="AA637" s="2">
        <f t="shared" si="123"/>
        <v>5</v>
      </c>
      <c r="AB637" s="2">
        <f t="shared" si="124"/>
        <v>2024</v>
      </c>
      <c r="AC637" s="2" t="str">
        <f t="shared" si="125"/>
        <v>Valid</v>
      </c>
      <c r="AD637" s="2">
        <f t="shared" si="126"/>
        <v>0</v>
      </c>
      <c r="AE637" s="2">
        <f t="shared" si="127"/>
        <v>0</v>
      </c>
      <c r="AH637" t="str">
        <f t="shared" si="132"/>
        <v>Mira Das</v>
      </c>
      <c r="AI637" t="str">
        <f t="shared" si="132"/>
        <v>Corporate</v>
      </c>
      <c r="AJ637" t="str">
        <f t="shared" si="132"/>
        <v>South</v>
      </c>
      <c r="AK637" t="str">
        <f t="shared" si="132"/>
        <v>Andhra Pradesh</v>
      </c>
      <c r="AL637" t="str">
        <f t="shared" si="131"/>
        <v>Vijayawada</v>
      </c>
      <c r="AM637" t="str">
        <f t="shared" si="131"/>
        <v>Furniture</v>
      </c>
      <c r="AN637" t="str">
        <f t="shared" si="131"/>
        <v>Chairs</v>
      </c>
      <c r="AO637" t="str">
        <f t="shared" si="128"/>
        <v>Same Day</v>
      </c>
      <c r="AP637" t="str">
        <f t="shared" si="129"/>
        <v>Paid</v>
      </c>
      <c r="AQ637" t="str">
        <f t="shared" si="129"/>
        <v>Completed</v>
      </c>
    </row>
    <row r="638" spans="1:43">
      <c r="A638" t="s">
        <v>2265</v>
      </c>
      <c r="B638" s="3">
        <v>45567</v>
      </c>
      <c r="C638" s="3">
        <v>45574</v>
      </c>
      <c r="D638" t="s">
        <v>2266</v>
      </c>
      <c r="E638" t="s">
        <v>148</v>
      </c>
      <c r="F638" t="s">
        <v>109</v>
      </c>
      <c r="G638" t="s">
        <v>140</v>
      </c>
      <c r="H638" t="s">
        <v>357</v>
      </c>
      <c r="I638" t="s">
        <v>358</v>
      </c>
      <c r="J638" t="s">
        <v>113</v>
      </c>
      <c r="K638" t="s">
        <v>114</v>
      </c>
      <c r="L638" t="s">
        <v>2267</v>
      </c>
      <c r="M638" t="s">
        <v>145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117</v>
      </c>
      <c r="U638" t="s">
        <v>118</v>
      </c>
      <c r="V638" s="2">
        <f t="shared" si="119"/>
        <v>0.15</v>
      </c>
      <c r="W638" s="2">
        <f t="shared" si="120"/>
        <v>12990.108</v>
      </c>
      <c r="X638" s="2">
        <f>W638-R638</f>
        <v>2789.3080000000009</v>
      </c>
      <c r="Y638" s="2">
        <f t="shared" si="121"/>
        <v>0.2147255434673831</v>
      </c>
      <c r="Z638" s="2">
        <f t="shared" si="122"/>
        <v>7</v>
      </c>
      <c r="AA638" s="2">
        <f t="shared" si="123"/>
        <v>10</v>
      </c>
      <c r="AB638" s="2">
        <f t="shared" si="124"/>
        <v>2024</v>
      </c>
      <c r="AC638" s="2" t="str">
        <f t="shared" si="125"/>
        <v>Valid</v>
      </c>
      <c r="AD638" s="2">
        <f t="shared" si="126"/>
        <v>0</v>
      </c>
      <c r="AE638" s="2">
        <f t="shared" si="127"/>
        <v>0</v>
      </c>
      <c r="AH638" t="str">
        <f t="shared" si="132"/>
        <v>Ananya Rao</v>
      </c>
      <c r="AI638" t="str">
        <f t="shared" si="132"/>
        <v>Consumer</v>
      </c>
      <c r="AJ638" t="str">
        <f t="shared" si="132"/>
        <v>South</v>
      </c>
      <c r="AK638" t="str">
        <f t="shared" si="132"/>
        <v>Tamil Nadu</v>
      </c>
      <c r="AL638" t="str">
        <f t="shared" si="131"/>
        <v>Chennai</v>
      </c>
      <c r="AM638" t="str">
        <f t="shared" si="131"/>
        <v>Office Supplies</v>
      </c>
      <c r="AN638" t="str">
        <f t="shared" si="131"/>
        <v>Paper</v>
      </c>
      <c r="AO638" t="str">
        <f t="shared" si="128"/>
        <v>Standard Class</v>
      </c>
      <c r="AP638" t="str">
        <f t="shared" si="129"/>
        <v>Paid</v>
      </c>
      <c r="AQ638" t="str">
        <f t="shared" si="129"/>
        <v>Completed</v>
      </c>
    </row>
    <row r="639" spans="1:43">
      <c r="A639" t="s">
        <v>2268</v>
      </c>
      <c r="B639" s="3" t="s">
        <v>2269</v>
      </c>
      <c r="C639" s="3">
        <v>45438</v>
      </c>
      <c r="D639" t="s">
        <v>2270</v>
      </c>
      <c r="E639" t="s">
        <v>207</v>
      </c>
      <c r="F639" t="s">
        <v>122</v>
      </c>
      <c r="G639" t="s">
        <v>149</v>
      </c>
      <c r="H639" t="s">
        <v>287</v>
      </c>
      <c r="I639" t="s">
        <v>288</v>
      </c>
      <c r="J639" t="s">
        <v>160</v>
      </c>
      <c r="K639" t="s">
        <v>166</v>
      </c>
      <c r="L639" t="s">
        <v>2271</v>
      </c>
      <c r="M639" t="s">
        <v>135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117</v>
      </c>
      <c r="U639" t="s">
        <v>118</v>
      </c>
      <c r="V639" s="2">
        <f t="shared" si="119"/>
        <v>0.2</v>
      </c>
      <c r="W639" s="2">
        <f t="shared" si="120"/>
        <v>5107.9520000000002</v>
      </c>
      <c r="X639" s="2">
        <f>W639-R639</f>
        <v>1974.8720000000003</v>
      </c>
      <c r="Y639" s="2">
        <f t="shared" si="121"/>
        <v>0.38662696908663202</v>
      </c>
      <c r="Z639" s="2" t="str">
        <f t="shared" si="122"/>
        <v/>
      </c>
      <c r="AA639" s="2" t="e">
        <f t="shared" si="123"/>
        <v>#VALUE!</v>
      </c>
      <c r="AB639" s="2" t="e">
        <f t="shared" si="124"/>
        <v>#VALUE!</v>
      </c>
      <c r="AC639" s="2" t="str">
        <f t="shared" si="125"/>
        <v>Text Value Not Recognized as Date</v>
      </c>
      <c r="AD639" s="2">
        <f t="shared" si="126"/>
        <v>0</v>
      </c>
      <c r="AE639" s="2">
        <f t="shared" si="127"/>
        <v>0</v>
      </c>
      <c r="AH639" t="str">
        <f t="shared" si="132"/>
        <v>Rahul Verma</v>
      </c>
      <c r="AI639" t="str">
        <f t="shared" si="132"/>
        <v>Small Business</v>
      </c>
      <c r="AJ639" t="str">
        <f t="shared" si="132"/>
        <v>West</v>
      </c>
      <c r="AK639" t="str">
        <f t="shared" si="132"/>
        <v>Goa</v>
      </c>
      <c r="AL639" t="str">
        <f t="shared" si="131"/>
        <v>Panaji</v>
      </c>
      <c r="AM639" t="str">
        <f t="shared" si="131"/>
        <v>Technology</v>
      </c>
      <c r="AN639" t="str">
        <f t="shared" si="131"/>
        <v>Copiers</v>
      </c>
      <c r="AO639" t="str">
        <f t="shared" si="128"/>
        <v>First Class</v>
      </c>
      <c r="AP639" t="str">
        <f t="shared" si="129"/>
        <v>Paid</v>
      </c>
      <c r="AQ639" t="str">
        <f t="shared" si="129"/>
        <v>Completed</v>
      </c>
    </row>
    <row r="640" spans="1:43">
      <c r="A640" t="s">
        <v>2272</v>
      </c>
      <c r="B640" s="3">
        <v>45317</v>
      </c>
      <c r="C640" s="3" t="s">
        <v>2273</v>
      </c>
      <c r="D640" t="s">
        <v>2274</v>
      </c>
      <c r="E640" t="s">
        <v>108</v>
      </c>
      <c r="F640" t="s">
        <v>177</v>
      </c>
      <c r="G640" t="s">
        <v>140</v>
      </c>
      <c r="H640" t="s">
        <v>282</v>
      </c>
      <c r="I640" t="s">
        <v>283</v>
      </c>
      <c r="J640" t="s">
        <v>113</v>
      </c>
      <c r="K640" t="s">
        <v>213</v>
      </c>
      <c r="L640" t="s">
        <v>2275</v>
      </c>
      <c r="M640" t="s">
        <v>116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248</v>
      </c>
      <c r="U640" t="s">
        <v>190</v>
      </c>
      <c r="V640" s="2">
        <f t="shared" si="119"/>
        <v>0.2</v>
      </c>
      <c r="W640" s="2">
        <f t="shared" si="120"/>
        <v>7738.3680000000013</v>
      </c>
      <c r="X640" s="2">
        <f>W640-R640</f>
        <v>3111.5180000000009</v>
      </c>
      <c r="Y640" s="2">
        <f t="shared" si="121"/>
        <v>0.40208969126306743</v>
      </c>
      <c r="Z640" s="2" t="str">
        <f t="shared" si="122"/>
        <v/>
      </c>
      <c r="AA640" s="2">
        <f t="shared" si="123"/>
        <v>1</v>
      </c>
      <c r="AB640" s="2">
        <f t="shared" si="124"/>
        <v>2024</v>
      </c>
      <c r="AC640" s="2" t="str">
        <f t="shared" si="125"/>
        <v>Text Value Not Recognized as Date</v>
      </c>
      <c r="AD640" s="2">
        <f t="shared" si="126"/>
        <v>0</v>
      </c>
      <c r="AE640" s="2">
        <f t="shared" si="127"/>
        <v>0</v>
      </c>
      <c r="AH640" t="str">
        <f t="shared" si="132"/>
        <v>Karan Malhotra</v>
      </c>
      <c r="AI640" t="str">
        <f t="shared" si="132"/>
        <v>Corporate</v>
      </c>
      <c r="AJ640" t="str">
        <f t="shared" si="132"/>
        <v>South</v>
      </c>
      <c r="AK640" t="str">
        <f t="shared" si="132"/>
        <v>Kerala</v>
      </c>
      <c r="AL640" t="str">
        <f t="shared" si="131"/>
        <v>Kochi</v>
      </c>
      <c r="AM640" t="str">
        <f t="shared" si="131"/>
        <v>Office Supplies</v>
      </c>
      <c r="AN640" t="str">
        <f t="shared" si="131"/>
        <v>Storage</v>
      </c>
      <c r="AO640" t="str">
        <f t="shared" si="128"/>
        <v>Second Class</v>
      </c>
      <c r="AP640" t="str">
        <f t="shared" si="129"/>
        <v>Failed</v>
      </c>
      <c r="AQ640" t="str">
        <f t="shared" si="129"/>
        <v>Returned</v>
      </c>
    </row>
    <row r="641" spans="1:43">
      <c r="A641" t="s">
        <v>2276</v>
      </c>
      <c r="B641" s="3">
        <v>45653</v>
      </c>
      <c r="C641" s="3" t="s">
        <v>1431</v>
      </c>
      <c r="D641" t="s">
        <v>2277</v>
      </c>
      <c r="E641" t="s">
        <v>132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152</v>
      </c>
      <c r="L641" t="s">
        <v>2278</v>
      </c>
      <c r="M641" t="s">
        <v>116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117</v>
      </c>
      <c r="U641" t="s">
        <v>118</v>
      </c>
      <c r="V641" s="2">
        <f t="shared" si="119"/>
        <v>0.05</v>
      </c>
      <c r="W641" s="2">
        <f t="shared" si="120"/>
        <v>1514.9649999999999</v>
      </c>
      <c r="X641" s="2">
        <f>W641-R641</f>
        <v>468.79499999999985</v>
      </c>
      <c r="Y641" s="2">
        <f t="shared" si="121"/>
        <v>0.3094427924077453</v>
      </c>
      <c r="Z641" s="2" t="str">
        <f t="shared" si="122"/>
        <v/>
      </c>
      <c r="AA641" s="2">
        <f t="shared" si="123"/>
        <v>12</v>
      </c>
      <c r="AB641" s="2">
        <f t="shared" si="124"/>
        <v>2024</v>
      </c>
      <c r="AC641" s="2" t="str">
        <f t="shared" si="125"/>
        <v>Text Value Not Recognized as Date</v>
      </c>
      <c r="AD641" s="2">
        <f t="shared" si="126"/>
        <v>0</v>
      </c>
      <c r="AE641" s="2">
        <f t="shared" si="127"/>
        <v>0</v>
      </c>
      <c r="AH641" t="str">
        <f t="shared" si="132"/>
        <v>Isha Nair</v>
      </c>
      <c r="AI641" t="str">
        <f t="shared" si="132"/>
        <v>Small Business</v>
      </c>
      <c r="AJ641" t="str">
        <f t="shared" si="132"/>
        <v>East</v>
      </c>
      <c r="AK641" t="str">
        <f t="shared" si="132"/>
        <v>Odisha</v>
      </c>
      <c r="AL641" t="str">
        <f t="shared" si="131"/>
        <v>Bhubaneswar</v>
      </c>
      <c r="AM641" t="str">
        <f t="shared" si="131"/>
        <v>Furniture</v>
      </c>
      <c r="AN641" t="str">
        <f t="shared" si="131"/>
        <v>Chairs</v>
      </c>
      <c r="AO641" t="str">
        <f t="shared" si="128"/>
        <v>Second Class</v>
      </c>
      <c r="AP641" t="str">
        <f t="shared" si="129"/>
        <v>Paid</v>
      </c>
      <c r="AQ641" t="str">
        <f t="shared" si="129"/>
        <v>Completed</v>
      </c>
    </row>
    <row r="642" spans="1:43">
      <c r="A642" t="s">
        <v>2279</v>
      </c>
      <c r="B642" s="3" t="s">
        <v>2280</v>
      </c>
      <c r="C642" s="3">
        <v>45674</v>
      </c>
      <c r="D642" t="s">
        <v>2281</v>
      </c>
      <c r="E642" t="s">
        <v>157</v>
      </c>
      <c r="F642" t="s">
        <v>109</v>
      </c>
      <c r="G642" t="s">
        <v>149</v>
      </c>
      <c r="H642" t="s">
        <v>287</v>
      </c>
      <c r="I642" t="s">
        <v>288</v>
      </c>
      <c r="J642" t="s">
        <v>113</v>
      </c>
      <c r="K642" t="s">
        <v>213</v>
      </c>
      <c r="L642" t="s">
        <v>2282</v>
      </c>
      <c r="M642" t="s">
        <v>135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117</v>
      </c>
      <c r="U642" t="s">
        <v>118</v>
      </c>
      <c r="V642" s="2">
        <f t="shared" si="119"/>
        <v>0.2</v>
      </c>
      <c r="W642" s="2">
        <f t="shared" si="120"/>
        <v>1267.296</v>
      </c>
      <c r="X642" s="2">
        <f>W642-R642</f>
        <v>343.76600000000008</v>
      </c>
      <c r="Y642" s="2">
        <f t="shared" si="121"/>
        <v>0.27125943741635739</v>
      </c>
      <c r="Z642" s="2" t="str">
        <f t="shared" si="122"/>
        <v/>
      </c>
      <c r="AA642" s="2" t="e">
        <f t="shared" si="123"/>
        <v>#VALUE!</v>
      </c>
      <c r="AB642" s="2" t="e">
        <f t="shared" si="124"/>
        <v>#VALUE!</v>
      </c>
      <c r="AC642" s="2" t="str">
        <f t="shared" si="125"/>
        <v>Text Value Not Recognized as Date</v>
      </c>
      <c r="AD642" s="2">
        <f t="shared" si="126"/>
        <v>0</v>
      </c>
      <c r="AE642" s="2">
        <f t="shared" si="127"/>
        <v>0</v>
      </c>
      <c r="AH642" t="str">
        <f t="shared" si="132"/>
        <v>Vikram Iyer</v>
      </c>
      <c r="AI642" t="str">
        <f t="shared" si="132"/>
        <v>Consumer</v>
      </c>
      <c r="AJ642" t="str">
        <f t="shared" si="132"/>
        <v>West</v>
      </c>
      <c r="AK642" t="str">
        <f t="shared" si="132"/>
        <v>Goa</v>
      </c>
      <c r="AL642" t="str">
        <f t="shared" si="131"/>
        <v>Panaji</v>
      </c>
      <c r="AM642" t="str">
        <f t="shared" si="131"/>
        <v>Office Supplies</v>
      </c>
      <c r="AN642" t="str">
        <f t="shared" si="131"/>
        <v>Storage</v>
      </c>
      <c r="AO642" t="str">
        <f t="shared" si="128"/>
        <v>First Class</v>
      </c>
      <c r="AP642" t="str">
        <f t="shared" si="129"/>
        <v>Paid</v>
      </c>
      <c r="AQ642" t="str">
        <f t="shared" si="129"/>
        <v>Completed</v>
      </c>
    </row>
    <row r="643" spans="1:43">
      <c r="A643" t="s">
        <v>2283</v>
      </c>
      <c r="B643" s="3">
        <v>45756</v>
      </c>
      <c r="C643" s="3">
        <v>45761</v>
      </c>
      <c r="D643" t="s">
        <v>2284</v>
      </c>
      <c r="E643" t="s">
        <v>108</v>
      </c>
      <c r="F643" t="s">
        <v>109</v>
      </c>
      <c r="G643" t="s">
        <v>110</v>
      </c>
      <c r="H643" t="s">
        <v>465</v>
      </c>
      <c r="I643" t="s">
        <v>466</v>
      </c>
      <c r="J643" t="s">
        <v>126</v>
      </c>
      <c r="K643" t="s">
        <v>143</v>
      </c>
      <c r="L643" t="s">
        <v>2285</v>
      </c>
      <c r="M643" t="s">
        <v>129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117</v>
      </c>
      <c r="U643" t="s">
        <v>118</v>
      </c>
      <c r="V643" s="2">
        <f t="shared" ref="V643:V706" si="133">IF(ISBLANK(P643), 0, P643)</f>
        <v>0</v>
      </c>
      <c r="W643" s="2">
        <f t="shared" ref="W643:W706" si="134">N643 * O643 * (1 - P643)</f>
        <v>6405.74</v>
      </c>
      <c r="X643" s="2">
        <f>W643-R643</f>
        <v>2843.87</v>
      </c>
      <c r="Y643" s="2">
        <f t="shared" ref="Y643:Y706" si="135">IFERROR(X643 / W643, 0)</f>
        <v>0.44395651400150488</v>
      </c>
      <c r="Z643" s="2">
        <f t="shared" ref="Z643:Z706" si="136">IF(OR(ISBLANK(B643), ISBLANK(C643), ISTEXT(B643), ISTEXT(C643)), "", C643 - B643)</f>
        <v>5</v>
      </c>
      <c r="AA643" s="2">
        <f t="shared" ref="AA643:AA706" si="137">MONTH(B643)</f>
        <v>4</v>
      </c>
      <c r="AB643" s="2">
        <f t="shared" ref="AB643:AB706" si="138">YEAR(B643)</f>
        <v>2025</v>
      </c>
      <c r="AC643" s="2" t="str">
        <f t="shared" ref="AC643:AC706" si="139">IF(COUNTIF(A:A, A643) &gt; 1, "Conflicting Duplicate Order ID",
 IF(OR(G643="Unknown", ISBLANK(G643)), "Missing region",
 IF(OR(M643="Unknown", ISBLANK(M643)), "Missing ship_mode",
 IF(OR(ISBLANK(B643), ISBLANK(C643)), "Missing Date",
 IF(OR(ISTEXT(B643), ISTEXT(C643)), "Text Value Not Recognized as Date",
 IF(C643 &lt; B643, "Invalid shipping record",
 IF(P643 &lt; 0, "Invalid",
 IF(P643 &gt; 0.7, "Invalid",
 "Valid"))))))))</f>
        <v>Valid</v>
      </c>
      <c r="AD643" s="2">
        <f t="shared" ref="AD643:AD706" si="140">IF(ABS(Q643 - W643) &gt; 0.01, 1, 0)</f>
        <v>0</v>
      </c>
      <c r="AE643" s="2">
        <f t="shared" ref="AE643:AE706" si="141">IF(ABS(S643 - X643) &gt; 0.01, 1, 0)</f>
        <v>0</v>
      </c>
      <c r="AH643" t="str">
        <f t="shared" si="132"/>
        <v>Karan Malhotra</v>
      </c>
      <c r="AI643" t="str">
        <f t="shared" si="132"/>
        <v>Consumer</v>
      </c>
      <c r="AJ643" t="str">
        <f t="shared" si="132"/>
        <v>North</v>
      </c>
      <c r="AK643" t="str">
        <f t="shared" si="132"/>
        <v>Delhi</v>
      </c>
      <c r="AL643" t="str">
        <f t="shared" si="131"/>
        <v>New Delhi</v>
      </c>
      <c r="AM643" t="str">
        <f t="shared" si="131"/>
        <v>Furniture</v>
      </c>
      <c r="AN643" t="str">
        <f t="shared" si="131"/>
        <v>Furnishings</v>
      </c>
      <c r="AO643" t="str">
        <f t="shared" ref="AO643:AO705" si="142">PROPER(TRIM(M643))</f>
        <v>Same Day</v>
      </c>
      <c r="AP643" t="str">
        <f t="shared" ref="AP643:AQ706" si="143">PROPER(TRIM(T643))</f>
        <v>Paid</v>
      </c>
      <c r="AQ643" t="str">
        <f t="shared" si="143"/>
        <v>Completed</v>
      </c>
    </row>
    <row r="644" spans="1:43">
      <c r="A644" t="s">
        <v>2286</v>
      </c>
      <c r="B644" s="3">
        <v>45533</v>
      </c>
      <c r="C644" s="3">
        <v>45535</v>
      </c>
      <c r="D644" t="s">
        <v>2287</v>
      </c>
      <c r="E644" t="s">
        <v>132</v>
      </c>
      <c r="F644" t="s">
        <v>182</v>
      </c>
      <c r="G644" t="s">
        <v>123</v>
      </c>
      <c r="H644" t="s">
        <v>260</v>
      </c>
      <c r="I644" t="s">
        <v>261</v>
      </c>
      <c r="J644" t="s">
        <v>113</v>
      </c>
      <c r="K644" t="s">
        <v>2288</v>
      </c>
      <c r="L644" t="s">
        <v>2289</v>
      </c>
      <c r="M644" t="s">
        <v>116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248</v>
      </c>
      <c r="U644" t="s">
        <v>190</v>
      </c>
      <c r="V644" s="2">
        <f t="shared" si="133"/>
        <v>0.25</v>
      </c>
      <c r="W644" s="2">
        <f t="shared" si="134"/>
        <v>8607.6674999999996</v>
      </c>
      <c r="X644" s="2">
        <f>W644-R644</f>
        <v>3270.0274999999992</v>
      </c>
      <c r="Y644" s="2">
        <f t="shared" si="135"/>
        <v>0.37989705108846261</v>
      </c>
      <c r="Z644" s="2">
        <f t="shared" si="136"/>
        <v>2</v>
      </c>
      <c r="AA644" s="2">
        <f t="shared" si="137"/>
        <v>8</v>
      </c>
      <c r="AB644" s="2">
        <f t="shared" si="138"/>
        <v>2024</v>
      </c>
      <c r="AC644" s="2" t="str">
        <f t="shared" si="139"/>
        <v>Valid</v>
      </c>
      <c r="AD644" s="2">
        <f t="shared" si="140"/>
        <v>0</v>
      </c>
      <c r="AE644" s="2">
        <f t="shared" si="141"/>
        <v>0</v>
      </c>
      <c r="AH644" t="str">
        <f t="shared" si="132"/>
        <v>Isha Nair</v>
      </c>
      <c r="AI644" t="str">
        <f t="shared" si="132"/>
        <v>Home Office</v>
      </c>
      <c r="AJ644" t="str">
        <f t="shared" si="132"/>
        <v>East</v>
      </c>
      <c r="AK644" t="str">
        <f t="shared" si="132"/>
        <v>Assam</v>
      </c>
      <c r="AL644" t="str">
        <f t="shared" si="131"/>
        <v>Guwahati</v>
      </c>
      <c r="AM644" t="str">
        <f t="shared" si="131"/>
        <v>Office Supplies</v>
      </c>
      <c r="AN644" t="str">
        <f t="shared" si="131"/>
        <v>Binders</v>
      </c>
      <c r="AO644" t="str">
        <f t="shared" si="142"/>
        <v>Second Class</v>
      </c>
      <c r="AP644" t="str">
        <f t="shared" si="143"/>
        <v>Failed</v>
      </c>
      <c r="AQ644" t="str">
        <f t="shared" si="143"/>
        <v>Returned</v>
      </c>
    </row>
    <row r="645" spans="1:43">
      <c r="A645" t="s">
        <v>2290</v>
      </c>
      <c r="B645" s="3">
        <v>45414</v>
      </c>
      <c r="C645" s="3">
        <v>45335</v>
      </c>
      <c r="D645" t="s">
        <v>878</v>
      </c>
      <c r="E645" t="s">
        <v>218</v>
      </c>
      <c r="F645" t="s">
        <v>182</v>
      </c>
      <c r="G645" t="s">
        <v>110</v>
      </c>
      <c r="H645" t="s">
        <v>227</v>
      </c>
      <c r="I645" t="s">
        <v>228</v>
      </c>
      <c r="J645" t="s">
        <v>113</v>
      </c>
      <c r="K645" t="s">
        <v>178</v>
      </c>
      <c r="L645" t="s">
        <v>2291</v>
      </c>
      <c r="M645" t="s">
        <v>145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248</v>
      </c>
      <c r="U645" t="s">
        <v>190</v>
      </c>
      <c r="V645" s="2">
        <f t="shared" si="133"/>
        <v>0.15</v>
      </c>
      <c r="W645" s="2">
        <f t="shared" si="134"/>
        <v>26324.023999999998</v>
      </c>
      <c r="X645" s="2">
        <f>W645-R645</f>
        <v>10046.063999999998</v>
      </c>
      <c r="Y645" s="2">
        <f t="shared" si="135"/>
        <v>0.3816310150758106</v>
      </c>
      <c r="Z645" s="2">
        <f t="shared" si="136"/>
        <v>-79</v>
      </c>
      <c r="AA645" s="2">
        <f t="shared" si="137"/>
        <v>5</v>
      </c>
      <c r="AB645" s="2">
        <f t="shared" si="138"/>
        <v>2024</v>
      </c>
      <c r="AC645" s="2" t="str">
        <f t="shared" si="139"/>
        <v>Invalid shipping record</v>
      </c>
      <c r="AD645" s="2">
        <f t="shared" si="140"/>
        <v>0</v>
      </c>
      <c r="AE645" s="2">
        <f t="shared" si="141"/>
        <v>0</v>
      </c>
      <c r="AH645" t="str">
        <f t="shared" si="132"/>
        <v>Aarav Sharma</v>
      </c>
      <c r="AI645" t="str">
        <f t="shared" si="132"/>
        <v>Home Office</v>
      </c>
      <c r="AJ645" t="str">
        <f t="shared" si="132"/>
        <v>North</v>
      </c>
      <c r="AK645" t="str">
        <f t="shared" si="132"/>
        <v>Uttar Pradesh</v>
      </c>
      <c r="AL645" t="str">
        <f t="shared" si="131"/>
        <v>Noida</v>
      </c>
      <c r="AM645" t="str">
        <f t="shared" si="131"/>
        <v>Office Supplies</v>
      </c>
      <c r="AN645" t="str">
        <f t="shared" si="131"/>
        <v>Labels</v>
      </c>
      <c r="AO645" t="str">
        <f t="shared" si="142"/>
        <v>Standard Class</v>
      </c>
      <c r="AP645" t="str">
        <f t="shared" si="143"/>
        <v>Failed</v>
      </c>
      <c r="AQ645" t="str">
        <f t="shared" si="143"/>
        <v>Returned</v>
      </c>
    </row>
    <row r="646" spans="1:43">
      <c r="A646" t="s">
        <v>2292</v>
      </c>
      <c r="B646" s="3">
        <v>45757</v>
      </c>
      <c r="C646" s="3">
        <v>45764</v>
      </c>
      <c r="D646" t="s">
        <v>2293</v>
      </c>
      <c r="E646" t="s">
        <v>157</v>
      </c>
      <c r="F646" t="s">
        <v>109</v>
      </c>
      <c r="G646" t="s">
        <v>123</v>
      </c>
      <c r="H646" t="s">
        <v>186</v>
      </c>
      <c r="I646" t="s">
        <v>187</v>
      </c>
      <c r="J646" t="s">
        <v>126</v>
      </c>
      <c r="K646" t="s">
        <v>152</v>
      </c>
      <c r="L646" t="s">
        <v>2294</v>
      </c>
      <c r="M646" t="s">
        <v>145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117</v>
      </c>
      <c r="U646" t="s">
        <v>118</v>
      </c>
      <c r="V646" s="2">
        <f t="shared" si="133"/>
        <v>0.05</v>
      </c>
      <c r="W646" s="2">
        <f t="shared" si="134"/>
        <v>14250.075999999999</v>
      </c>
      <c r="X646" s="2">
        <f>W646-R646</f>
        <v>3335.155999999999</v>
      </c>
      <c r="Y646" s="2">
        <f t="shared" si="135"/>
        <v>0.23404478684885605</v>
      </c>
      <c r="Z646" s="2">
        <f t="shared" si="136"/>
        <v>7</v>
      </c>
      <c r="AA646" s="2">
        <f t="shared" si="137"/>
        <v>4</v>
      </c>
      <c r="AB646" s="2">
        <f t="shared" si="138"/>
        <v>2025</v>
      </c>
      <c r="AC646" s="2" t="str">
        <f t="shared" si="139"/>
        <v>Valid</v>
      </c>
      <c r="AD646" s="2">
        <f t="shared" si="140"/>
        <v>0</v>
      </c>
      <c r="AE646" s="2">
        <f t="shared" si="141"/>
        <v>0</v>
      </c>
      <c r="AH646" t="str">
        <f t="shared" si="132"/>
        <v>Vikram Iyer</v>
      </c>
      <c r="AI646" t="str">
        <f t="shared" si="132"/>
        <v>Consumer</v>
      </c>
      <c r="AJ646" t="str">
        <f t="shared" si="132"/>
        <v>East</v>
      </c>
      <c r="AK646" t="str">
        <f t="shared" si="132"/>
        <v>West Bengal</v>
      </c>
      <c r="AL646" t="str">
        <f t="shared" si="131"/>
        <v>Kolkata</v>
      </c>
      <c r="AM646" t="str">
        <f t="shared" si="131"/>
        <v>Furniture</v>
      </c>
      <c r="AN646" t="str">
        <f t="shared" si="131"/>
        <v>Chairs</v>
      </c>
      <c r="AO646" t="str">
        <f t="shared" si="142"/>
        <v>Standard Class</v>
      </c>
      <c r="AP646" t="str">
        <f t="shared" si="143"/>
        <v>Paid</v>
      </c>
      <c r="AQ646" t="str">
        <f t="shared" si="143"/>
        <v>Completed</v>
      </c>
    </row>
    <row r="647" spans="1:43">
      <c r="A647" t="s">
        <v>2295</v>
      </c>
      <c r="B647" s="3">
        <v>45295</v>
      </c>
      <c r="C647" s="3">
        <v>45536</v>
      </c>
      <c r="D647" t="s">
        <v>2296</v>
      </c>
      <c r="E647" t="s">
        <v>375</v>
      </c>
      <c r="F647" t="s">
        <v>109</v>
      </c>
      <c r="G647" t="s">
        <v>123</v>
      </c>
      <c r="H647" t="s">
        <v>237</v>
      </c>
      <c r="I647" t="s">
        <v>238</v>
      </c>
      <c r="J647" t="s">
        <v>126</v>
      </c>
      <c r="K647" t="s">
        <v>152</v>
      </c>
      <c r="L647" t="s">
        <v>2297</v>
      </c>
      <c r="M647" t="s">
        <v>116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117</v>
      </c>
      <c r="U647" t="s">
        <v>118</v>
      </c>
      <c r="V647" s="2">
        <f t="shared" si="133"/>
        <v>0.1</v>
      </c>
      <c r="W647" s="2">
        <f t="shared" si="134"/>
        <v>13087.494000000001</v>
      </c>
      <c r="X647" s="2">
        <f>W647-R647</f>
        <v>5478.6040000000003</v>
      </c>
      <c r="Y647" s="2">
        <f t="shared" si="135"/>
        <v>0.41861367806548755</v>
      </c>
      <c r="Z647" s="2">
        <f t="shared" si="136"/>
        <v>241</v>
      </c>
      <c r="AA647" s="2">
        <f t="shared" si="137"/>
        <v>1</v>
      </c>
      <c r="AB647" s="2">
        <f t="shared" si="138"/>
        <v>2024</v>
      </c>
      <c r="AC647" s="2" t="str">
        <f t="shared" si="139"/>
        <v>Valid</v>
      </c>
      <c r="AD647" s="2">
        <f t="shared" si="140"/>
        <v>0</v>
      </c>
      <c r="AE647" s="2">
        <f t="shared" si="141"/>
        <v>1</v>
      </c>
      <c r="AH647" t="str">
        <f t="shared" si="132"/>
        <v>Kabir Singh</v>
      </c>
      <c r="AI647" t="str">
        <f t="shared" si="132"/>
        <v>Consumer</v>
      </c>
      <c r="AJ647" t="str">
        <f t="shared" si="132"/>
        <v>East</v>
      </c>
      <c r="AK647" t="str">
        <f t="shared" si="132"/>
        <v>Bihar</v>
      </c>
      <c r="AL647" t="str">
        <f t="shared" si="131"/>
        <v>Patna</v>
      </c>
      <c r="AM647" t="str">
        <f t="shared" si="131"/>
        <v>Furniture</v>
      </c>
      <c r="AN647" t="str">
        <f t="shared" si="131"/>
        <v>Chairs</v>
      </c>
      <c r="AO647" t="str">
        <f t="shared" si="142"/>
        <v>Second Class</v>
      </c>
      <c r="AP647" t="str">
        <f t="shared" si="143"/>
        <v>Paid</v>
      </c>
      <c r="AQ647" t="str">
        <f t="shared" si="143"/>
        <v>Completed</v>
      </c>
    </row>
    <row r="648" spans="1:43">
      <c r="A648" t="s">
        <v>2298</v>
      </c>
      <c r="B648" s="3">
        <v>45553</v>
      </c>
      <c r="C648" s="3" t="s">
        <v>2299</v>
      </c>
      <c r="D648" t="s">
        <v>2300</v>
      </c>
      <c r="E648" t="s">
        <v>157</v>
      </c>
      <c r="F648" t="s">
        <v>122</v>
      </c>
      <c r="G648" t="s">
        <v>123</v>
      </c>
      <c r="H648" t="s">
        <v>335</v>
      </c>
      <c r="I648" t="s">
        <v>336</v>
      </c>
      <c r="J648" t="s">
        <v>160</v>
      </c>
      <c r="K648" t="s">
        <v>385</v>
      </c>
      <c r="L648" t="s">
        <v>2301</v>
      </c>
      <c r="M648" t="s">
        <v>135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117</v>
      </c>
      <c r="U648" t="s">
        <v>118</v>
      </c>
      <c r="V648" s="2">
        <f t="shared" si="133"/>
        <v>0.25</v>
      </c>
      <c r="W648" s="2">
        <f t="shared" si="134"/>
        <v>1640.5650000000001</v>
      </c>
      <c r="X648" s="2">
        <f>W648-R648</f>
        <v>503.58500000000004</v>
      </c>
      <c r="Y648" s="2">
        <f t="shared" si="135"/>
        <v>0.30695827352162214</v>
      </c>
      <c r="Z648" s="2" t="str">
        <f t="shared" si="136"/>
        <v/>
      </c>
      <c r="AA648" s="2">
        <f t="shared" si="137"/>
        <v>9</v>
      </c>
      <c r="AB648" s="2">
        <f t="shared" si="138"/>
        <v>2024</v>
      </c>
      <c r="AC648" s="2" t="str">
        <f t="shared" si="139"/>
        <v>Text Value Not Recognized as Date</v>
      </c>
      <c r="AD648" s="2">
        <f t="shared" si="140"/>
        <v>0</v>
      </c>
      <c r="AE648" s="2">
        <f t="shared" si="141"/>
        <v>0</v>
      </c>
      <c r="AH648" t="str">
        <f t="shared" si="132"/>
        <v>Vikram Iyer</v>
      </c>
      <c r="AI648" t="str">
        <f t="shared" si="132"/>
        <v>Small Business</v>
      </c>
      <c r="AJ648" t="str">
        <f t="shared" si="132"/>
        <v>East</v>
      </c>
      <c r="AK648" t="str">
        <f t="shared" si="132"/>
        <v>Jharkhand</v>
      </c>
      <c r="AL648" t="str">
        <f t="shared" si="131"/>
        <v>Ranchi</v>
      </c>
      <c r="AM648" t="str">
        <f t="shared" si="131"/>
        <v>Technology</v>
      </c>
      <c r="AN648" t="str">
        <f t="shared" si="131"/>
        <v>Machines</v>
      </c>
      <c r="AO648" t="str">
        <f t="shared" si="142"/>
        <v>First Class</v>
      </c>
      <c r="AP648" t="str">
        <f t="shared" si="143"/>
        <v>Paid</v>
      </c>
      <c r="AQ648" t="str">
        <f t="shared" si="143"/>
        <v>Completed</v>
      </c>
    </row>
    <row r="649" spans="1:43">
      <c r="A649" t="s">
        <v>2302</v>
      </c>
      <c r="B649" s="3">
        <v>45658</v>
      </c>
      <c r="C649" s="3">
        <v>45901</v>
      </c>
      <c r="D649" t="s">
        <v>2303</v>
      </c>
      <c r="E649" t="s">
        <v>2304</v>
      </c>
      <c r="F649" t="s">
        <v>122</v>
      </c>
      <c r="G649" t="s">
        <v>110</v>
      </c>
      <c r="H649" t="s">
        <v>211</v>
      </c>
      <c r="I649" t="s">
        <v>212</v>
      </c>
      <c r="J649" t="s">
        <v>113</v>
      </c>
      <c r="K649" t="s">
        <v>133</v>
      </c>
      <c r="L649" t="s">
        <v>2305</v>
      </c>
      <c r="M649" t="s">
        <v>135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117</v>
      </c>
      <c r="U649" t="s">
        <v>118</v>
      </c>
      <c r="V649" s="2">
        <f t="shared" si="133"/>
        <v>0.15</v>
      </c>
      <c r="W649" s="2">
        <f t="shared" si="134"/>
        <v>14441.907999999999</v>
      </c>
      <c r="X649" s="2">
        <f>W649-R649</f>
        <v>3569.018</v>
      </c>
      <c r="Y649" s="2">
        <f t="shared" si="135"/>
        <v>0.24712925743606731</v>
      </c>
      <c r="Z649" s="2">
        <f t="shared" si="136"/>
        <v>243</v>
      </c>
      <c r="AA649" s="2">
        <f t="shared" si="137"/>
        <v>1</v>
      </c>
      <c r="AB649" s="2">
        <f t="shared" si="138"/>
        <v>2025</v>
      </c>
      <c r="AC649" s="2" t="str">
        <f t="shared" si="139"/>
        <v>Valid</v>
      </c>
      <c r="AD649" s="2">
        <f t="shared" si="140"/>
        <v>0</v>
      </c>
      <c r="AE649" s="2">
        <f t="shared" si="141"/>
        <v>0</v>
      </c>
      <c r="AH649" t="str">
        <f t="shared" si="132"/>
        <v>Rohan Mehta</v>
      </c>
      <c r="AI649" t="str">
        <f t="shared" si="132"/>
        <v>Small Business</v>
      </c>
      <c r="AJ649" t="str">
        <f t="shared" si="132"/>
        <v>North</v>
      </c>
      <c r="AK649" t="str">
        <f t="shared" si="132"/>
        <v>Punjab</v>
      </c>
      <c r="AL649" t="str">
        <f t="shared" si="131"/>
        <v>Ludhiana</v>
      </c>
      <c r="AM649" t="str">
        <f t="shared" si="131"/>
        <v>Office Supplies</v>
      </c>
      <c r="AN649" t="str">
        <f t="shared" si="131"/>
        <v>Art</v>
      </c>
      <c r="AO649" t="str">
        <f t="shared" si="142"/>
        <v>First Class</v>
      </c>
      <c r="AP649" t="str">
        <f t="shared" si="143"/>
        <v>Paid</v>
      </c>
      <c r="AQ649" t="str">
        <f t="shared" si="143"/>
        <v>Completed</v>
      </c>
    </row>
    <row r="650" spans="1:43">
      <c r="A650" t="s">
        <v>2306</v>
      </c>
      <c r="B650" s="3" t="s">
        <v>2307</v>
      </c>
      <c r="C650" s="3">
        <v>45406</v>
      </c>
      <c r="D650" t="s">
        <v>2308</v>
      </c>
      <c r="E650" t="s">
        <v>165</v>
      </c>
      <c r="F650" t="s">
        <v>122</v>
      </c>
      <c r="G650" t="s">
        <v>140</v>
      </c>
      <c r="H650" t="s">
        <v>171</v>
      </c>
      <c r="I650" t="s">
        <v>172</v>
      </c>
      <c r="J650" t="s">
        <v>113</v>
      </c>
      <c r="K650" t="s">
        <v>133</v>
      </c>
      <c r="L650" t="s">
        <v>2309</v>
      </c>
      <c r="M650" t="s">
        <v>129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248</v>
      </c>
      <c r="U650" t="s">
        <v>190</v>
      </c>
      <c r="V650" s="2">
        <f t="shared" si="133"/>
        <v>0.2</v>
      </c>
      <c r="W650" s="2">
        <f t="shared" si="134"/>
        <v>5065.8480000000009</v>
      </c>
      <c r="X650" s="2">
        <f>W650-R650</f>
        <v>1548.6180000000008</v>
      </c>
      <c r="Y650" s="2">
        <f t="shared" si="135"/>
        <v>0.30569768378364304</v>
      </c>
      <c r="Z650" s="2" t="str">
        <f t="shared" si="136"/>
        <v/>
      </c>
      <c r="AA650" s="2" t="e">
        <f t="shared" si="137"/>
        <v>#VALUE!</v>
      </c>
      <c r="AB650" s="2" t="e">
        <f t="shared" si="138"/>
        <v>#VALUE!</v>
      </c>
      <c r="AC650" s="2" t="str">
        <f t="shared" si="139"/>
        <v>Text Value Not Recognized as Date</v>
      </c>
      <c r="AD650" s="2">
        <f t="shared" si="140"/>
        <v>0</v>
      </c>
      <c r="AE650" s="2">
        <f t="shared" si="141"/>
        <v>0</v>
      </c>
      <c r="AH650" t="str">
        <f t="shared" si="132"/>
        <v>Neha Gupta</v>
      </c>
      <c r="AI650" t="str">
        <f t="shared" si="132"/>
        <v>Small Business</v>
      </c>
      <c r="AJ650" t="str">
        <f t="shared" si="132"/>
        <v>South</v>
      </c>
      <c r="AK650" t="str">
        <f t="shared" si="132"/>
        <v>Andhra Pradesh</v>
      </c>
      <c r="AL650" t="str">
        <f t="shared" si="131"/>
        <v>Vijayawada</v>
      </c>
      <c r="AM650" t="str">
        <f t="shared" si="131"/>
        <v>Office Supplies</v>
      </c>
      <c r="AN650" t="str">
        <f t="shared" si="131"/>
        <v>Art</v>
      </c>
      <c r="AO650" t="str">
        <f t="shared" si="142"/>
        <v>Same Day</v>
      </c>
      <c r="AP650" t="str">
        <f t="shared" si="143"/>
        <v>Failed</v>
      </c>
      <c r="AQ650" t="str">
        <f t="shared" si="143"/>
        <v>Returned</v>
      </c>
    </row>
    <row r="651" spans="1:43">
      <c r="A651" t="s">
        <v>2310</v>
      </c>
      <c r="B651" s="3">
        <v>45880</v>
      </c>
      <c r="C651" s="3" t="s">
        <v>2311</v>
      </c>
      <c r="D651" t="s">
        <v>2312</v>
      </c>
      <c r="E651" t="s">
        <v>375</v>
      </c>
      <c r="F651" t="s">
        <v>122</v>
      </c>
      <c r="G651" t="s">
        <v>140</v>
      </c>
      <c r="H651" t="s">
        <v>282</v>
      </c>
      <c r="I651" t="s">
        <v>283</v>
      </c>
      <c r="J651" t="s">
        <v>160</v>
      </c>
      <c r="K651" t="s">
        <v>161</v>
      </c>
      <c r="L651" t="s">
        <v>2313</v>
      </c>
      <c r="M651" t="s">
        <v>145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117</v>
      </c>
      <c r="U651" t="s">
        <v>118</v>
      </c>
      <c r="V651" s="2">
        <f t="shared" si="133"/>
        <v>0.25</v>
      </c>
      <c r="W651" s="2">
        <f t="shared" si="134"/>
        <v>6776.88</v>
      </c>
      <c r="X651" s="2">
        <f>W651-R651</f>
        <v>2940.6400000000003</v>
      </c>
      <c r="Y651" s="2">
        <f t="shared" si="135"/>
        <v>0.43392239496641527</v>
      </c>
      <c r="Z651" s="2" t="str">
        <f t="shared" si="136"/>
        <v/>
      </c>
      <c r="AA651" s="2">
        <f t="shared" si="137"/>
        <v>8</v>
      </c>
      <c r="AB651" s="2">
        <f t="shared" si="138"/>
        <v>2025</v>
      </c>
      <c r="AC651" s="2" t="str">
        <f t="shared" si="139"/>
        <v>Text Value Not Recognized as Date</v>
      </c>
      <c r="AD651" s="2">
        <f t="shared" si="140"/>
        <v>0</v>
      </c>
      <c r="AE651" s="2">
        <f t="shared" si="141"/>
        <v>0</v>
      </c>
      <c r="AH651" t="str">
        <f t="shared" si="132"/>
        <v>Kabir Singh</v>
      </c>
      <c r="AI651" t="str">
        <f t="shared" si="132"/>
        <v>Small Business</v>
      </c>
      <c r="AJ651" t="str">
        <f t="shared" si="132"/>
        <v>South</v>
      </c>
      <c r="AK651" t="str">
        <f t="shared" si="132"/>
        <v>Kerala</v>
      </c>
      <c r="AL651" t="str">
        <f t="shared" si="131"/>
        <v>Kochi</v>
      </c>
      <c r="AM651" t="str">
        <f t="shared" si="131"/>
        <v>Technology</v>
      </c>
      <c r="AN651" t="str">
        <f t="shared" si="131"/>
        <v>Accessories</v>
      </c>
      <c r="AO651" t="str">
        <f t="shared" si="142"/>
        <v>Standard Class</v>
      </c>
      <c r="AP651" t="str">
        <f t="shared" si="143"/>
        <v>Paid</v>
      </c>
      <c r="AQ651" t="str">
        <f t="shared" si="143"/>
        <v>Completed</v>
      </c>
    </row>
    <row r="652" spans="1:43">
      <c r="A652" t="s">
        <v>2314</v>
      </c>
      <c r="B652" s="3">
        <v>45395</v>
      </c>
      <c r="C652" s="3">
        <v>45403</v>
      </c>
      <c r="D652" t="s">
        <v>495</v>
      </c>
      <c r="E652" t="s">
        <v>218</v>
      </c>
      <c r="F652" t="s">
        <v>182</v>
      </c>
      <c r="G652" t="s">
        <v>123</v>
      </c>
      <c r="H652" t="s">
        <v>237</v>
      </c>
      <c r="I652" t="s">
        <v>238</v>
      </c>
      <c r="J652" t="s">
        <v>160</v>
      </c>
      <c r="K652" t="s">
        <v>161</v>
      </c>
      <c r="L652" t="s">
        <v>2315</v>
      </c>
      <c r="M652" t="s">
        <v>129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248</v>
      </c>
      <c r="U652" t="s">
        <v>190</v>
      </c>
      <c r="V652" s="2">
        <f t="shared" si="133"/>
        <v>0.15</v>
      </c>
      <c r="W652" s="2">
        <f t="shared" si="134"/>
        <v>15760.121999999999</v>
      </c>
      <c r="X652" s="2">
        <f>W652-R652</f>
        <v>5828.5919999999987</v>
      </c>
      <c r="Y652" s="2">
        <f t="shared" si="135"/>
        <v>0.36983165485647884</v>
      </c>
      <c r="Z652" s="2">
        <f t="shared" si="136"/>
        <v>8</v>
      </c>
      <c r="AA652" s="2">
        <f t="shared" si="137"/>
        <v>4</v>
      </c>
      <c r="AB652" s="2">
        <f t="shared" si="138"/>
        <v>2024</v>
      </c>
      <c r="AC652" s="2" t="str">
        <f t="shared" si="139"/>
        <v>Valid</v>
      </c>
      <c r="AD652" s="2">
        <f t="shared" si="140"/>
        <v>0</v>
      </c>
      <c r="AE652" s="2">
        <f t="shared" si="141"/>
        <v>0</v>
      </c>
      <c r="AH652" t="str">
        <f t="shared" si="132"/>
        <v>Aarav Sharma</v>
      </c>
      <c r="AI652" t="str">
        <f t="shared" si="132"/>
        <v>Home Office</v>
      </c>
      <c r="AJ652" t="str">
        <f t="shared" si="132"/>
        <v>East</v>
      </c>
      <c r="AK652" t="str">
        <f t="shared" si="132"/>
        <v>Bihar</v>
      </c>
      <c r="AL652" t="str">
        <f t="shared" si="131"/>
        <v>Patna</v>
      </c>
      <c r="AM652" t="str">
        <f t="shared" si="131"/>
        <v>Technology</v>
      </c>
      <c r="AN652" t="str">
        <f t="shared" si="131"/>
        <v>Accessories</v>
      </c>
      <c r="AO652" t="str">
        <f t="shared" si="142"/>
        <v>Same Day</v>
      </c>
      <c r="AP652" t="str">
        <f t="shared" si="143"/>
        <v>Failed</v>
      </c>
      <c r="AQ652" t="str">
        <f t="shared" si="143"/>
        <v>Returned</v>
      </c>
    </row>
    <row r="653" spans="1:43">
      <c r="A653" t="s">
        <v>2316</v>
      </c>
      <c r="B653" s="3">
        <v>45875</v>
      </c>
      <c r="C653" s="3">
        <v>45908</v>
      </c>
      <c r="D653" t="s">
        <v>2317</v>
      </c>
      <c r="E653" t="s">
        <v>121</v>
      </c>
      <c r="F653" t="s">
        <v>122</v>
      </c>
      <c r="G653" t="s">
        <v>140</v>
      </c>
      <c r="H653" t="s">
        <v>171</v>
      </c>
      <c r="I653" t="s">
        <v>172</v>
      </c>
      <c r="J653" t="s">
        <v>113</v>
      </c>
      <c r="K653" t="s">
        <v>114</v>
      </c>
      <c r="L653" t="s">
        <v>2318</v>
      </c>
      <c r="M653" t="s">
        <v>116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117</v>
      </c>
      <c r="U653" t="s">
        <v>118</v>
      </c>
      <c r="V653" s="2">
        <f t="shared" si="133"/>
        <v>0</v>
      </c>
      <c r="W653" s="2">
        <f t="shared" si="134"/>
        <v>1795.6499999999999</v>
      </c>
      <c r="X653" s="2">
        <f>W653-R653</f>
        <v>798.92999999999984</v>
      </c>
      <c r="Y653" s="2">
        <f t="shared" si="135"/>
        <v>0.44492523598696843</v>
      </c>
      <c r="Z653" s="2">
        <f t="shared" si="136"/>
        <v>33</v>
      </c>
      <c r="AA653" s="2">
        <f t="shared" si="137"/>
        <v>8</v>
      </c>
      <c r="AB653" s="2">
        <f t="shared" si="138"/>
        <v>2025</v>
      </c>
      <c r="AC653" s="2" t="str">
        <f t="shared" si="139"/>
        <v>Valid</v>
      </c>
      <c r="AD653" s="2">
        <f t="shared" si="140"/>
        <v>0</v>
      </c>
      <c r="AE653" s="2">
        <f t="shared" si="141"/>
        <v>0</v>
      </c>
      <c r="AH653" t="str">
        <f t="shared" si="132"/>
        <v>Mira Das</v>
      </c>
      <c r="AI653" t="str">
        <f t="shared" si="132"/>
        <v>Small Business</v>
      </c>
      <c r="AJ653" t="str">
        <f t="shared" si="132"/>
        <v>South</v>
      </c>
      <c r="AK653" t="str">
        <f t="shared" si="132"/>
        <v>Andhra Pradesh</v>
      </c>
      <c r="AL653" t="str">
        <f t="shared" si="131"/>
        <v>Vijayawada</v>
      </c>
      <c r="AM653" t="str">
        <f t="shared" si="131"/>
        <v>Office Supplies</v>
      </c>
      <c r="AN653" t="str">
        <f t="shared" si="131"/>
        <v>Paper</v>
      </c>
      <c r="AO653" t="str">
        <f t="shared" si="142"/>
        <v>Second Class</v>
      </c>
      <c r="AP653" t="str">
        <f t="shared" si="143"/>
        <v>Paid</v>
      </c>
      <c r="AQ653" t="str">
        <f t="shared" si="143"/>
        <v>Completed</v>
      </c>
    </row>
    <row r="654" spans="1:43">
      <c r="A654" t="s">
        <v>2319</v>
      </c>
      <c r="B654" s="3">
        <v>45733</v>
      </c>
      <c r="C654" s="3">
        <v>45737</v>
      </c>
      <c r="D654" t="s">
        <v>1934</v>
      </c>
      <c r="E654" t="s">
        <v>222</v>
      </c>
      <c r="F654" t="s">
        <v>109</v>
      </c>
      <c r="G654" t="s">
        <v>110</v>
      </c>
      <c r="H654" t="s">
        <v>227</v>
      </c>
      <c r="I654" t="s">
        <v>228</v>
      </c>
      <c r="J654" t="s">
        <v>113</v>
      </c>
      <c r="K654" t="s">
        <v>246</v>
      </c>
      <c r="L654" t="s">
        <v>2320</v>
      </c>
      <c r="M654" t="s">
        <v>145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117</v>
      </c>
      <c r="U654" t="s">
        <v>118</v>
      </c>
      <c r="V654" s="2">
        <f t="shared" si="133"/>
        <v>0.15</v>
      </c>
      <c r="W654" s="2">
        <f t="shared" si="134"/>
        <v>18362.5075</v>
      </c>
      <c r="X654" s="2">
        <f>W654-R654</f>
        <v>7228.5375000000004</v>
      </c>
      <c r="Y654" s="2">
        <f t="shared" si="135"/>
        <v>0.39365742941153326</v>
      </c>
      <c r="Z654" s="2">
        <f t="shared" si="136"/>
        <v>4</v>
      </c>
      <c r="AA654" s="2">
        <f t="shared" si="137"/>
        <v>3</v>
      </c>
      <c r="AB654" s="2">
        <f t="shared" si="138"/>
        <v>2025</v>
      </c>
      <c r="AC654" s="2" t="str">
        <f t="shared" si="139"/>
        <v>Valid</v>
      </c>
      <c r="AD654" s="2">
        <f t="shared" si="140"/>
        <v>0</v>
      </c>
      <c r="AE654" s="2">
        <f t="shared" si="141"/>
        <v>0</v>
      </c>
      <c r="AH654" t="str">
        <f t="shared" si="132"/>
        <v>Sneha Kapoor</v>
      </c>
      <c r="AI654" t="str">
        <f t="shared" si="132"/>
        <v>Consumer</v>
      </c>
      <c r="AJ654" t="str">
        <f t="shared" si="132"/>
        <v>North</v>
      </c>
      <c r="AK654" t="str">
        <f t="shared" si="132"/>
        <v>Uttar Pradesh</v>
      </c>
      <c r="AL654" t="str">
        <f t="shared" si="131"/>
        <v>Noida</v>
      </c>
      <c r="AM654" t="str">
        <f t="shared" si="131"/>
        <v>Office Supplies</v>
      </c>
      <c r="AN654" t="str">
        <f t="shared" si="131"/>
        <v>Binders</v>
      </c>
      <c r="AO654" t="str">
        <f t="shared" si="142"/>
        <v>Standard Class</v>
      </c>
      <c r="AP654" t="str">
        <f t="shared" si="143"/>
        <v>Paid</v>
      </c>
      <c r="AQ654" t="str">
        <f t="shared" si="143"/>
        <v>Completed</v>
      </c>
    </row>
    <row r="655" spans="1:43">
      <c r="A655" t="s">
        <v>2321</v>
      </c>
      <c r="B655" s="3">
        <v>45751</v>
      </c>
      <c r="C655" s="3">
        <v>45754</v>
      </c>
      <c r="D655" t="s">
        <v>2322</v>
      </c>
      <c r="E655" t="s">
        <v>203</v>
      </c>
      <c r="F655" t="s">
        <v>122</v>
      </c>
      <c r="G655" t="s">
        <v>140</v>
      </c>
      <c r="H655" t="s">
        <v>357</v>
      </c>
      <c r="I655" t="s">
        <v>358</v>
      </c>
      <c r="J655" t="s">
        <v>160</v>
      </c>
      <c r="K655" t="s">
        <v>166</v>
      </c>
      <c r="L655" t="s">
        <v>2323</v>
      </c>
      <c r="M655" t="s">
        <v>116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117</v>
      </c>
      <c r="U655" t="s">
        <v>118</v>
      </c>
      <c r="V655" s="2">
        <f t="shared" si="133"/>
        <v>0.15</v>
      </c>
      <c r="W655" s="2">
        <f t="shared" si="134"/>
        <v>26524.683500000003</v>
      </c>
      <c r="X655" s="2">
        <f>W655-R655</f>
        <v>5950.3835000000036</v>
      </c>
      <c r="Y655" s="2">
        <f t="shared" si="135"/>
        <v>0.22433381721595294</v>
      </c>
      <c r="Z655" s="2">
        <f t="shared" si="136"/>
        <v>3</v>
      </c>
      <c r="AA655" s="2">
        <f t="shared" si="137"/>
        <v>4</v>
      </c>
      <c r="AB655" s="2">
        <f t="shared" si="138"/>
        <v>2025</v>
      </c>
      <c r="AC655" s="2" t="str">
        <f t="shared" si="139"/>
        <v>Valid</v>
      </c>
      <c r="AD655" s="2">
        <f t="shared" si="140"/>
        <v>0</v>
      </c>
      <c r="AE655" s="2">
        <f t="shared" si="141"/>
        <v>0</v>
      </c>
      <c r="AH655" t="str">
        <f t="shared" si="132"/>
        <v>Priya Menon</v>
      </c>
      <c r="AI655" t="str">
        <f t="shared" si="132"/>
        <v>Small Business</v>
      </c>
      <c r="AJ655" t="str">
        <f t="shared" si="132"/>
        <v>South</v>
      </c>
      <c r="AK655" t="str">
        <f t="shared" si="132"/>
        <v>Tamil Nadu</v>
      </c>
      <c r="AL655" t="str">
        <f t="shared" si="131"/>
        <v>Chennai</v>
      </c>
      <c r="AM655" t="str">
        <f t="shared" si="131"/>
        <v>Technology</v>
      </c>
      <c r="AN655" t="str">
        <f t="shared" si="131"/>
        <v>Copiers</v>
      </c>
      <c r="AO655" t="str">
        <f t="shared" si="142"/>
        <v>Second Class</v>
      </c>
      <c r="AP655" t="str">
        <f t="shared" si="143"/>
        <v>Paid</v>
      </c>
      <c r="AQ655" t="str">
        <f t="shared" si="143"/>
        <v>Completed</v>
      </c>
    </row>
    <row r="656" spans="1:43">
      <c r="A656" t="s">
        <v>2324</v>
      </c>
      <c r="B656" s="3">
        <v>45942</v>
      </c>
      <c r="C656" s="3" t="s">
        <v>201</v>
      </c>
      <c r="D656" t="s">
        <v>1100</v>
      </c>
      <c r="E656" t="s">
        <v>256</v>
      </c>
      <c r="F656" t="s">
        <v>177</v>
      </c>
      <c r="G656" t="s">
        <v>123</v>
      </c>
      <c r="H656" t="s">
        <v>237</v>
      </c>
      <c r="I656" t="s">
        <v>238</v>
      </c>
      <c r="J656" t="s">
        <v>160</v>
      </c>
      <c r="K656" t="s">
        <v>385</v>
      </c>
      <c r="L656" t="s">
        <v>2325</v>
      </c>
      <c r="M656" t="s">
        <v>129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117</v>
      </c>
      <c r="U656" t="s">
        <v>118</v>
      </c>
      <c r="V656" s="2">
        <f t="shared" si="133"/>
        <v>0.2</v>
      </c>
      <c r="W656" s="2">
        <f t="shared" si="134"/>
        <v>2056.0480000000002</v>
      </c>
      <c r="X656" s="2">
        <f>W656-R656</f>
        <v>393.65800000000013</v>
      </c>
      <c r="Y656" s="2">
        <f t="shared" si="135"/>
        <v>0.19146342886936496</v>
      </c>
      <c r="Z656" s="2" t="str">
        <f t="shared" si="136"/>
        <v/>
      </c>
      <c r="AA656" s="2">
        <f t="shared" si="137"/>
        <v>10</v>
      </c>
      <c r="AB656" s="2">
        <f t="shared" si="138"/>
        <v>2025</v>
      </c>
      <c r="AC656" s="2" t="str">
        <f t="shared" si="139"/>
        <v>Text Value Not Recognized as Date</v>
      </c>
      <c r="AD656" s="2">
        <f t="shared" si="140"/>
        <v>0</v>
      </c>
      <c r="AE656" s="2">
        <f t="shared" si="141"/>
        <v>0</v>
      </c>
      <c r="AH656" t="str">
        <f t="shared" si="132"/>
        <v>Diya Patel</v>
      </c>
      <c r="AI656" t="str">
        <f t="shared" si="132"/>
        <v>Corporate</v>
      </c>
      <c r="AJ656" t="str">
        <f t="shared" si="132"/>
        <v>East</v>
      </c>
      <c r="AK656" t="str">
        <f t="shared" si="132"/>
        <v>Bihar</v>
      </c>
      <c r="AL656" t="str">
        <f t="shared" si="131"/>
        <v>Patna</v>
      </c>
      <c r="AM656" t="str">
        <f t="shared" si="131"/>
        <v>Technology</v>
      </c>
      <c r="AN656" t="str">
        <f t="shared" si="131"/>
        <v>Machines</v>
      </c>
      <c r="AO656" t="str">
        <f t="shared" si="142"/>
        <v>Same Day</v>
      </c>
      <c r="AP656" t="str">
        <f t="shared" si="143"/>
        <v>Paid</v>
      </c>
      <c r="AQ656" t="str">
        <f t="shared" si="143"/>
        <v>Completed</v>
      </c>
    </row>
    <row r="657" spans="1:43">
      <c r="A657" t="s">
        <v>2326</v>
      </c>
      <c r="B657" s="3">
        <v>45895</v>
      </c>
      <c r="C657" s="3">
        <v>45895</v>
      </c>
      <c r="D657" t="s">
        <v>2327</v>
      </c>
      <c r="E657" t="s">
        <v>165</v>
      </c>
      <c r="F657" t="s">
        <v>182</v>
      </c>
      <c r="G657" t="s">
        <v>123</v>
      </c>
      <c r="H657" t="s">
        <v>186</v>
      </c>
      <c r="I657" t="s">
        <v>187</v>
      </c>
      <c r="J657" t="s">
        <v>126</v>
      </c>
      <c r="K657" t="s">
        <v>143</v>
      </c>
      <c r="L657" t="s">
        <v>2328</v>
      </c>
      <c r="M657" t="s">
        <v>145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117</v>
      </c>
      <c r="U657" t="s">
        <v>118</v>
      </c>
      <c r="V657" s="2">
        <f t="shared" si="133"/>
        <v>0</v>
      </c>
      <c r="W657" s="2">
        <f t="shared" si="134"/>
        <v>8607.2800000000007</v>
      </c>
      <c r="X657" s="2">
        <f>W657-R657</f>
        <v>3483.2700000000004</v>
      </c>
      <c r="Y657" s="2">
        <f t="shared" si="135"/>
        <v>0.40468882155570635</v>
      </c>
      <c r="Z657" s="2">
        <f t="shared" si="136"/>
        <v>0</v>
      </c>
      <c r="AA657" s="2">
        <f t="shared" si="137"/>
        <v>8</v>
      </c>
      <c r="AB657" s="2">
        <f t="shared" si="138"/>
        <v>2025</v>
      </c>
      <c r="AC657" s="2" t="str">
        <f t="shared" si="139"/>
        <v>Valid</v>
      </c>
      <c r="AD657" s="2">
        <f t="shared" si="140"/>
        <v>0</v>
      </c>
      <c r="AE657" s="2">
        <f t="shared" si="141"/>
        <v>0</v>
      </c>
      <c r="AH657" t="str">
        <f t="shared" si="132"/>
        <v>Neha Gupta</v>
      </c>
      <c r="AI657" t="str">
        <f t="shared" si="132"/>
        <v>Home Office</v>
      </c>
      <c r="AJ657" t="str">
        <f t="shared" si="132"/>
        <v>East</v>
      </c>
      <c r="AK657" t="str">
        <f t="shared" si="132"/>
        <v>West Bengal</v>
      </c>
      <c r="AL657" t="str">
        <f t="shared" si="131"/>
        <v>Kolkata</v>
      </c>
      <c r="AM657" t="str">
        <f t="shared" si="131"/>
        <v>Furniture</v>
      </c>
      <c r="AN657" t="str">
        <f t="shared" si="131"/>
        <v>Furnishings</v>
      </c>
      <c r="AO657" t="str">
        <f t="shared" si="142"/>
        <v>Standard Class</v>
      </c>
      <c r="AP657" t="str">
        <f t="shared" si="143"/>
        <v>Paid</v>
      </c>
      <c r="AQ657" t="str">
        <f t="shared" si="143"/>
        <v>Completed</v>
      </c>
    </row>
    <row r="658" spans="1:43">
      <c r="A658" t="s">
        <v>2329</v>
      </c>
      <c r="B658" s="3">
        <v>45478</v>
      </c>
      <c r="C658" s="3">
        <v>45426</v>
      </c>
      <c r="D658" t="s">
        <v>2330</v>
      </c>
      <c r="E658" t="s">
        <v>165</v>
      </c>
      <c r="F658" t="s">
        <v>122</v>
      </c>
      <c r="G658" t="s">
        <v>110</v>
      </c>
      <c r="H658" t="s">
        <v>344</v>
      </c>
      <c r="I658" t="s">
        <v>345</v>
      </c>
      <c r="J658" t="s">
        <v>160</v>
      </c>
      <c r="K658" t="s">
        <v>385</v>
      </c>
      <c r="L658" t="s">
        <v>2331</v>
      </c>
      <c r="M658" t="s">
        <v>129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117</v>
      </c>
      <c r="U658" t="s">
        <v>118</v>
      </c>
      <c r="V658" s="2">
        <f t="shared" si="133"/>
        <v>-0.05</v>
      </c>
      <c r="W658" s="2">
        <f t="shared" si="134"/>
        <v>11554.62</v>
      </c>
      <c r="X658" s="2">
        <f>W658-R658</f>
        <v>3858.3400000000011</v>
      </c>
      <c r="Y658" s="2">
        <f t="shared" si="135"/>
        <v>0.33392184251840396</v>
      </c>
      <c r="Z658" s="2">
        <f t="shared" si="136"/>
        <v>-52</v>
      </c>
      <c r="AA658" s="2">
        <f t="shared" si="137"/>
        <v>7</v>
      </c>
      <c r="AB658" s="2">
        <f t="shared" si="138"/>
        <v>2024</v>
      </c>
      <c r="AC658" s="2" t="str">
        <f t="shared" si="139"/>
        <v>Invalid shipping record</v>
      </c>
      <c r="AD658" s="2">
        <f t="shared" si="140"/>
        <v>1</v>
      </c>
      <c r="AE658" s="2">
        <f t="shared" si="141"/>
        <v>1</v>
      </c>
      <c r="AH658" t="str">
        <f t="shared" si="132"/>
        <v>Neha Gupta</v>
      </c>
      <c r="AI658" t="str">
        <f t="shared" si="132"/>
        <v>Small Business</v>
      </c>
      <c r="AJ658" t="str">
        <f t="shared" si="132"/>
        <v>North</v>
      </c>
      <c r="AK658" t="str">
        <f t="shared" si="132"/>
        <v>Haryana</v>
      </c>
      <c r="AL658" t="str">
        <f t="shared" si="131"/>
        <v>Gurugram</v>
      </c>
      <c r="AM658" t="str">
        <f t="shared" si="131"/>
        <v>Technology</v>
      </c>
      <c r="AN658" t="str">
        <f t="shared" si="131"/>
        <v>Machines</v>
      </c>
      <c r="AO658" t="str">
        <f t="shared" si="142"/>
        <v>Same Day</v>
      </c>
      <c r="AP658" t="str">
        <f t="shared" si="143"/>
        <v>Paid</v>
      </c>
      <c r="AQ658" t="str">
        <f t="shared" si="143"/>
        <v>Completed</v>
      </c>
    </row>
    <row r="659" spans="1:43">
      <c r="A659" t="s">
        <v>2332</v>
      </c>
      <c r="B659" s="3">
        <v>45876</v>
      </c>
      <c r="C659" s="3">
        <v>45879</v>
      </c>
      <c r="D659" t="s">
        <v>2333</v>
      </c>
      <c r="E659" t="s">
        <v>176</v>
      </c>
      <c r="F659" t="s">
        <v>182</v>
      </c>
      <c r="G659" t="s">
        <v>123</v>
      </c>
      <c r="H659" t="s">
        <v>237</v>
      </c>
      <c r="I659" t="s">
        <v>238</v>
      </c>
      <c r="J659" t="s">
        <v>113</v>
      </c>
      <c r="K659" t="s">
        <v>213</v>
      </c>
      <c r="L659" t="s">
        <v>2334</v>
      </c>
      <c r="M659" t="s">
        <v>116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117</v>
      </c>
      <c r="U659" t="s">
        <v>118</v>
      </c>
      <c r="V659" s="2">
        <f t="shared" si="133"/>
        <v>0.2</v>
      </c>
      <c r="W659" s="2">
        <f t="shared" si="134"/>
        <v>2033</v>
      </c>
      <c r="X659" s="2">
        <f>W659-R659</f>
        <v>741.58999999999992</v>
      </c>
      <c r="Y659" s="2">
        <f t="shared" si="135"/>
        <v>0.36477619281849477</v>
      </c>
      <c r="Z659" s="2">
        <f t="shared" si="136"/>
        <v>3</v>
      </c>
      <c r="AA659" s="2">
        <f t="shared" si="137"/>
        <v>8</v>
      </c>
      <c r="AB659" s="2">
        <f t="shared" si="138"/>
        <v>2025</v>
      </c>
      <c r="AC659" s="2" t="str">
        <f t="shared" si="139"/>
        <v>Valid</v>
      </c>
      <c r="AD659" s="2">
        <f t="shared" si="140"/>
        <v>0</v>
      </c>
      <c r="AE659" s="2">
        <f t="shared" si="141"/>
        <v>0</v>
      </c>
      <c r="AH659" t="str">
        <f t="shared" si="132"/>
        <v>Aditi Sen</v>
      </c>
      <c r="AI659" t="str">
        <f t="shared" si="132"/>
        <v>Home Office</v>
      </c>
      <c r="AJ659" t="str">
        <f t="shared" si="132"/>
        <v>East</v>
      </c>
      <c r="AK659" t="str">
        <f t="shared" si="132"/>
        <v>Bihar</v>
      </c>
      <c r="AL659" t="str">
        <f t="shared" si="131"/>
        <v>Patna</v>
      </c>
      <c r="AM659" t="str">
        <f t="shared" si="131"/>
        <v>Office Supplies</v>
      </c>
      <c r="AN659" t="str">
        <f t="shared" si="131"/>
        <v>Storage</v>
      </c>
      <c r="AO659" t="str">
        <f t="shared" si="142"/>
        <v>Second Class</v>
      </c>
      <c r="AP659" t="str">
        <f t="shared" si="143"/>
        <v>Paid</v>
      </c>
      <c r="AQ659" t="str">
        <f t="shared" si="143"/>
        <v>Completed</v>
      </c>
    </row>
    <row r="660" spans="1:43">
      <c r="A660" t="s">
        <v>2335</v>
      </c>
      <c r="B660" s="3">
        <v>45817</v>
      </c>
      <c r="C660" s="3">
        <v>45820</v>
      </c>
      <c r="D660" t="s">
        <v>2336</v>
      </c>
      <c r="E660" t="s">
        <v>222</v>
      </c>
      <c r="F660" t="s">
        <v>109</v>
      </c>
      <c r="H660" t="s">
        <v>237</v>
      </c>
      <c r="I660" t="s">
        <v>238</v>
      </c>
      <c r="J660" t="s">
        <v>113</v>
      </c>
      <c r="K660" t="s">
        <v>133</v>
      </c>
      <c r="L660" t="s">
        <v>2337</v>
      </c>
      <c r="M660" t="s">
        <v>135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189</v>
      </c>
      <c r="U660" t="s">
        <v>44</v>
      </c>
      <c r="V660" s="2">
        <f t="shared" si="133"/>
        <v>0</v>
      </c>
      <c r="W660" s="2">
        <f t="shared" si="134"/>
        <v>19966.940000000002</v>
      </c>
      <c r="X660" s="2">
        <f>W660-R660</f>
        <v>7276.1100000000024</v>
      </c>
      <c r="Y660" s="2">
        <f t="shared" si="135"/>
        <v>0.36440786620283339</v>
      </c>
      <c r="Z660" s="2">
        <f t="shared" si="136"/>
        <v>3</v>
      </c>
      <c r="AA660" s="2">
        <f t="shared" si="137"/>
        <v>6</v>
      </c>
      <c r="AB660" s="2">
        <f t="shared" si="138"/>
        <v>2025</v>
      </c>
      <c r="AC660" s="2" t="str">
        <f t="shared" si="139"/>
        <v>Missing region</v>
      </c>
      <c r="AD660" s="2">
        <f t="shared" si="140"/>
        <v>0</v>
      </c>
      <c r="AE660" s="2">
        <f t="shared" si="141"/>
        <v>0</v>
      </c>
      <c r="AH660" t="str">
        <f t="shared" si="132"/>
        <v>Sneha Kapoor</v>
      </c>
      <c r="AI660" t="str">
        <f t="shared" si="132"/>
        <v>Consumer</v>
      </c>
      <c r="AJ660" t="s">
        <v>306</v>
      </c>
      <c r="AK660" t="str">
        <f t="shared" si="132"/>
        <v>Bihar</v>
      </c>
      <c r="AL660" t="str">
        <f t="shared" si="131"/>
        <v>Patna</v>
      </c>
      <c r="AM660" t="str">
        <f t="shared" si="131"/>
        <v>Office Supplies</v>
      </c>
      <c r="AN660" t="str">
        <f t="shared" si="131"/>
        <v>Art</v>
      </c>
      <c r="AO660" t="str">
        <f t="shared" si="142"/>
        <v>First Class</v>
      </c>
      <c r="AP660" t="str">
        <f t="shared" si="143"/>
        <v>Refunded</v>
      </c>
      <c r="AQ660" t="str">
        <f t="shared" si="143"/>
        <v>Cancelled</v>
      </c>
    </row>
    <row r="661" spans="1:43">
      <c r="A661" t="s">
        <v>2338</v>
      </c>
      <c r="B661" s="3" t="s">
        <v>235</v>
      </c>
      <c r="C661" s="3">
        <v>45679</v>
      </c>
      <c r="D661" t="s">
        <v>2339</v>
      </c>
      <c r="E661" t="s">
        <v>256</v>
      </c>
      <c r="F661" t="s">
        <v>177</v>
      </c>
      <c r="G661" t="s">
        <v>140</v>
      </c>
      <c r="H661" t="s">
        <v>270</v>
      </c>
      <c r="I661" t="s">
        <v>271</v>
      </c>
      <c r="J661" t="s">
        <v>160</v>
      </c>
      <c r="K661" t="s">
        <v>266</v>
      </c>
      <c r="L661" t="s">
        <v>2340</v>
      </c>
      <c r="M661" t="s">
        <v>116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189</v>
      </c>
      <c r="U661" t="s">
        <v>44</v>
      </c>
      <c r="V661" s="2">
        <f t="shared" si="133"/>
        <v>0.2</v>
      </c>
      <c r="W661" s="2">
        <f t="shared" si="134"/>
        <v>710.89600000000007</v>
      </c>
      <c r="X661" s="2">
        <f>W661-R661</f>
        <v>197.01600000000008</v>
      </c>
      <c r="Y661" s="2">
        <f t="shared" si="135"/>
        <v>0.27713758411919615</v>
      </c>
      <c r="Z661" s="2" t="str">
        <f t="shared" si="136"/>
        <v/>
      </c>
      <c r="AA661" s="2" t="e">
        <f t="shared" si="137"/>
        <v>#VALUE!</v>
      </c>
      <c r="AB661" s="2" t="e">
        <f t="shared" si="138"/>
        <v>#VALUE!</v>
      </c>
      <c r="AC661" s="2" t="str">
        <f t="shared" si="139"/>
        <v>Text Value Not Recognized as Date</v>
      </c>
      <c r="AD661" s="2">
        <f t="shared" si="140"/>
        <v>0</v>
      </c>
      <c r="AE661" s="2">
        <f t="shared" si="141"/>
        <v>0</v>
      </c>
      <c r="AH661" t="str">
        <f t="shared" si="132"/>
        <v>Diya Patel</v>
      </c>
      <c r="AI661" t="str">
        <f t="shared" si="132"/>
        <v>Corporate</v>
      </c>
      <c r="AJ661" t="str">
        <f t="shared" si="132"/>
        <v>South</v>
      </c>
      <c r="AK661" t="str">
        <f t="shared" si="132"/>
        <v>Karnataka</v>
      </c>
      <c r="AL661" t="str">
        <f t="shared" si="131"/>
        <v>Bengaluru</v>
      </c>
      <c r="AM661" t="str">
        <f t="shared" si="131"/>
        <v>Technology</v>
      </c>
      <c r="AN661" t="str">
        <f t="shared" si="131"/>
        <v>Phones</v>
      </c>
      <c r="AO661" t="str">
        <f t="shared" si="142"/>
        <v>Second Class</v>
      </c>
      <c r="AP661" t="str">
        <f t="shared" si="143"/>
        <v>Refunded</v>
      </c>
      <c r="AQ661" t="str">
        <f t="shared" si="143"/>
        <v>Cancelled</v>
      </c>
    </row>
    <row r="662" spans="1:43">
      <c r="A662" t="s">
        <v>2341</v>
      </c>
      <c r="B662" s="3">
        <v>45853</v>
      </c>
      <c r="C662" s="3" t="s">
        <v>2342</v>
      </c>
      <c r="D662" t="s">
        <v>2343</v>
      </c>
      <c r="E662" t="s">
        <v>139</v>
      </c>
      <c r="F662" t="s">
        <v>122</v>
      </c>
      <c r="G662" t="s">
        <v>123</v>
      </c>
      <c r="H662" t="s">
        <v>335</v>
      </c>
      <c r="I662" t="s">
        <v>336</v>
      </c>
      <c r="J662" t="s">
        <v>160</v>
      </c>
      <c r="K662" t="s">
        <v>266</v>
      </c>
      <c r="L662" t="s">
        <v>2344</v>
      </c>
      <c r="M662" t="s">
        <v>129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117</v>
      </c>
      <c r="U662" t="s">
        <v>118</v>
      </c>
      <c r="V662" s="2">
        <f t="shared" si="133"/>
        <v>0.1</v>
      </c>
      <c r="W662" s="2">
        <f t="shared" si="134"/>
        <v>15994.476000000001</v>
      </c>
      <c r="X662" s="2">
        <f>W662-R662</f>
        <v>6770.1959999999999</v>
      </c>
      <c r="Y662" s="2">
        <f t="shared" si="135"/>
        <v>0.42328338858991066</v>
      </c>
      <c r="Z662" s="2" t="str">
        <f t="shared" si="136"/>
        <v/>
      </c>
      <c r="AA662" s="2">
        <f t="shared" si="137"/>
        <v>7</v>
      </c>
      <c r="AB662" s="2">
        <f t="shared" si="138"/>
        <v>2025</v>
      </c>
      <c r="AC662" s="2" t="str">
        <f t="shared" si="139"/>
        <v>Text Value Not Recognized as Date</v>
      </c>
      <c r="AD662" s="2">
        <f t="shared" si="140"/>
        <v>0</v>
      </c>
      <c r="AE662" s="2">
        <f t="shared" si="141"/>
        <v>0</v>
      </c>
      <c r="AH662" t="str">
        <f t="shared" si="132"/>
        <v>Arjun Bose</v>
      </c>
      <c r="AI662" t="str">
        <f t="shared" si="132"/>
        <v>Small Business</v>
      </c>
      <c r="AJ662" t="str">
        <f t="shared" si="132"/>
        <v>East</v>
      </c>
      <c r="AK662" t="str">
        <f t="shared" si="132"/>
        <v>Jharkhand</v>
      </c>
      <c r="AL662" t="str">
        <f t="shared" si="131"/>
        <v>Ranchi</v>
      </c>
      <c r="AM662" t="str">
        <f t="shared" si="131"/>
        <v>Technology</v>
      </c>
      <c r="AN662" t="str">
        <f t="shared" si="131"/>
        <v>Phones</v>
      </c>
      <c r="AO662" t="str">
        <f t="shared" si="142"/>
        <v>Same Day</v>
      </c>
      <c r="AP662" t="str">
        <f t="shared" si="143"/>
        <v>Paid</v>
      </c>
      <c r="AQ662" t="str">
        <f t="shared" si="143"/>
        <v>Completed</v>
      </c>
    </row>
    <row r="663" spans="1:43">
      <c r="A663" t="s">
        <v>2345</v>
      </c>
      <c r="B663" s="3" t="s">
        <v>2346</v>
      </c>
      <c r="C663" s="3">
        <v>45434</v>
      </c>
      <c r="D663" t="s">
        <v>2347</v>
      </c>
      <c r="E663" t="s">
        <v>222</v>
      </c>
      <c r="F663" t="s">
        <v>109</v>
      </c>
      <c r="G663" t="s">
        <v>140</v>
      </c>
      <c r="H663" t="s">
        <v>171</v>
      </c>
      <c r="I663" t="s">
        <v>172</v>
      </c>
      <c r="J663" t="s">
        <v>160</v>
      </c>
      <c r="K663" t="s">
        <v>385</v>
      </c>
      <c r="L663" t="s">
        <v>2348</v>
      </c>
      <c r="M663" t="s">
        <v>116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117</v>
      </c>
      <c r="U663" t="s">
        <v>118</v>
      </c>
      <c r="V663" s="2">
        <f t="shared" si="133"/>
        <v>0</v>
      </c>
      <c r="W663" s="2">
        <f t="shared" si="134"/>
        <v>1627.5</v>
      </c>
      <c r="X663" s="2">
        <f>W663-R663</f>
        <v>687.6</v>
      </c>
      <c r="Y663" s="2">
        <f t="shared" si="135"/>
        <v>0.4224884792626728</v>
      </c>
      <c r="Z663" s="2" t="str">
        <f t="shared" si="136"/>
        <v/>
      </c>
      <c r="AA663" s="2" t="e">
        <f t="shared" si="137"/>
        <v>#VALUE!</v>
      </c>
      <c r="AB663" s="2" t="e">
        <f t="shared" si="138"/>
        <v>#VALUE!</v>
      </c>
      <c r="AC663" s="2" t="str">
        <f t="shared" si="139"/>
        <v>Text Value Not Recognized as Date</v>
      </c>
      <c r="AD663" s="2">
        <f t="shared" si="140"/>
        <v>0</v>
      </c>
      <c r="AE663" s="2">
        <f t="shared" si="141"/>
        <v>0</v>
      </c>
      <c r="AH663" t="str">
        <f t="shared" si="132"/>
        <v>Sneha Kapoor</v>
      </c>
      <c r="AI663" t="str">
        <f t="shared" si="132"/>
        <v>Consumer</v>
      </c>
      <c r="AJ663" t="str">
        <f t="shared" si="132"/>
        <v>South</v>
      </c>
      <c r="AK663" t="str">
        <f t="shared" si="132"/>
        <v>Andhra Pradesh</v>
      </c>
      <c r="AL663" t="str">
        <f t="shared" si="131"/>
        <v>Vijayawada</v>
      </c>
      <c r="AM663" t="str">
        <f t="shared" si="131"/>
        <v>Technology</v>
      </c>
      <c r="AN663" t="str">
        <f t="shared" si="131"/>
        <v>Machines</v>
      </c>
      <c r="AO663" t="str">
        <f t="shared" si="142"/>
        <v>Second Class</v>
      </c>
      <c r="AP663" t="str">
        <f t="shared" si="143"/>
        <v>Paid</v>
      </c>
      <c r="AQ663" t="str">
        <f t="shared" si="143"/>
        <v>Completed</v>
      </c>
    </row>
    <row r="664" spans="1:43">
      <c r="A664" t="s">
        <v>2349</v>
      </c>
      <c r="B664" s="3">
        <v>45305</v>
      </c>
      <c r="C664" s="3" t="s">
        <v>2350</v>
      </c>
      <c r="D664" t="s">
        <v>2351</v>
      </c>
      <c r="E664" t="s">
        <v>121</v>
      </c>
      <c r="F664" t="s">
        <v>182</v>
      </c>
      <c r="G664" t="s">
        <v>149</v>
      </c>
      <c r="H664" t="s">
        <v>111</v>
      </c>
      <c r="I664" t="s">
        <v>197</v>
      </c>
      <c r="J664" t="s">
        <v>160</v>
      </c>
      <c r="K664" t="s">
        <v>385</v>
      </c>
      <c r="L664" t="s">
        <v>2352</v>
      </c>
      <c r="M664" t="s">
        <v>129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117</v>
      </c>
      <c r="U664" t="s">
        <v>118</v>
      </c>
      <c r="V664" s="2">
        <f t="shared" si="133"/>
        <v>0.1</v>
      </c>
      <c r="W664" s="2">
        <f t="shared" si="134"/>
        <v>9637.92</v>
      </c>
      <c r="X664" s="2">
        <f>W664-R664</f>
        <v>2308.63</v>
      </c>
      <c r="Y664" s="2">
        <f t="shared" si="135"/>
        <v>0.2395361239769577</v>
      </c>
      <c r="Z664" s="2" t="str">
        <f t="shared" si="136"/>
        <v/>
      </c>
      <c r="AA664" s="2">
        <f t="shared" si="137"/>
        <v>1</v>
      </c>
      <c r="AB664" s="2">
        <f t="shared" si="138"/>
        <v>2024</v>
      </c>
      <c r="AC664" s="2" t="str">
        <f t="shared" si="139"/>
        <v>Text Value Not Recognized as Date</v>
      </c>
      <c r="AD664" s="2">
        <f t="shared" si="140"/>
        <v>0</v>
      </c>
      <c r="AE664" s="2">
        <f t="shared" si="141"/>
        <v>0</v>
      </c>
      <c r="AH664" t="str">
        <f t="shared" si="132"/>
        <v>Mira Das</v>
      </c>
      <c r="AI664" t="str">
        <f t="shared" si="132"/>
        <v>Home Office</v>
      </c>
      <c r="AJ664" t="str">
        <f t="shared" si="132"/>
        <v>West</v>
      </c>
      <c r="AK664" t="str">
        <f t="shared" si="132"/>
        <v>Rajasthan</v>
      </c>
      <c r="AL664" t="str">
        <f t="shared" si="131"/>
        <v>Udaipur</v>
      </c>
      <c r="AM664" t="str">
        <f t="shared" si="131"/>
        <v>Technology</v>
      </c>
      <c r="AN664" t="str">
        <f t="shared" si="131"/>
        <v>Machines</v>
      </c>
      <c r="AO664" t="str">
        <f t="shared" si="142"/>
        <v>Same Day</v>
      </c>
      <c r="AP664" t="str">
        <f t="shared" si="143"/>
        <v>Paid</v>
      </c>
      <c r="AQ664" t="str">
        <f t="shared" si="143"/>
        <v>Completed</v>
      </c>
    </row>
    <row r="665" spans="1:43">
      <c r="A665" t="s">
        <v>2353</v>
      </c>
      <c r="B665" s="3">
        <v>45414</v>
      </c>
      <c r="C665" s="3">
        <v>45420</v>
      </c>
      <c r="D665" t="s">
        <v>2354</v>
      </c>
      <c r="E665" t="s">
        <v>207</v>
      </c>
      <c r="F665" t="s">
        <v>182</v>
      </c>
      <c r="G665" t="s">
        <v>123</v>
      </c>
      <c r="H665" t="s">
        <v>335</v>
      </c>
      <c r="I665" t="s">
        <v>336</v>
      </c>
      <c r="J665" t="s">
        <v>160</v>
      </c>
      <c r="K665" t="s">
        <v>166</v>
      </c>
      <c r="L665" t="s">
        <v>2355</v>
      </c>
      <c r="M665" t="s">
        <v>116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117</v>
      </c>
      <c r="U665" t="s">
        <v>118</v>
      </c>
      <c r="V665" s="2">
        <f t="shared" si="133"/>
        <v>-0.24</v>
      </c>
      <c r="W665" s="2">
        <f t="shared" si="134"/>
        <v>7898.8248000000003</v>
      </c>
      <c r="X665" s="2">
        <f>W665-R665</f>
        <v>4745.8448000000008</v>
      </c>
      <c r="Y665" s="2">
        <f t="shared" si="135"/>
        <v>0.60082922715287979</v>
      </c>
      <c r="Z665" s="2">
        <f t="shared" si="136"/>
        <v>6</v>
      </c>
      <c r="AA665" s="2">
        <f t="shared" si="137"/>
        <v>5</v>
      </c>
      <c r="AB665" s="2">
        <f t="shared" si="138"/>
        <v>2024</v>
      </c>
      <c r="AC665" s="2" t="str">
        <f t="shared" si="139"/>
        <v>Invalid</v>
      </c>
      <c r="AD665" s="2">
        <f t="shared" si="140"/>
        <v>1</v>
      </c>
      <c r="AE665" s="2">
        <f t="shared" si="141"/>
        <v>1</v>
      </c>
      <c r="AH665" t="str">
        <f t="shared" si="132"/>
        <v>Rahul Verma</v>
      </c>
      <c r="AI665" t="str">
        <f t="shared" si="132"/>
        <v>Home Office</v>
      </c>
      <c r="AJ665" t="str">
        <f t="shared" si="132"/>
        <v>East</v>
      </c>
      <c r="AK665" t="str">
        <f t="shared" si="132"/>
        <v>Jharkhand</v>
      </c>
      <c r="AL665" t="str">
        <f t="shared" si="131"/>
        <v>Ranchi</v>
      </c>
      <c r="AM665" t="str">
        <f t="shared" si="131"/>
        <v>Technology</v>
      </c>
      <c r="AN665" t="str">
        <f t="shared" si="131"/>
        <v>Copiers</v>
      </c>
      <c r="AO665" t="str">
        <f t="shared" si="142"/>
        <v>Second Class</v>
      </c>
      <c r="AP665" t="str">
        <f t="shared" si="143"/>
        <v>Paid</v>
      </c>
      <c r="AQ665" t="str">
        <f t="shared" si="143"/>
        <v>Completed</v>
      </c>
    </row>
    <row r="666" spans="1:43">
      <c r="A666" t="s">
        <v>2356</v>
      </c>
      <c r="B666" s="3">
        <v>45633</v>
      </c>
      <c r="C666" s="3">
        <v>45636</v>
      </c>
      <c r="D666" t="s">
        <v>2357</v>
      </c>
      <c r="E666" t="s">
        <v>121</v>
      </c>
      <c r="F666" t="s">
        <v>182</v>
      </c>
      <c r="G666" t="s">
        <v>140</v>
      </c>
      <c r="H666" t="s">
        <v>141</v>
      </c>
      <c r="I666" t="s">
        <v>142</v>
      </c>
      <c r="J666" t="s">
        <v>160</v>
      </c>
      <c r="K666" t="s">
        <v>161</v>
      </c>
      <c r="L666" t="s">
        <v>2358</v>
      </c>
      <c r="M666" t="s">
        <v>145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117</v>
      </c>
      <c r="U666" t="s">
        <v>118</v>
      </c>
      <c r="V666" s="2">
        <f t="shared" si="133"/>
        <v>0.2</v>
      </c>
      <c r="W666" s="2">
        <f t="shared" si="134"/>
        <v>1527.0640000000001</v>
      </c>
      <c r="X666" s="2">
        <f>W666-R666</f>
        <v>471.17399999999998</v>
      </c>
      <c r="Y666" s="2">
        <f t="shared" si="135"/>
        <v>0.30854895407134209</v>
      </c>
      <c r="Z666" s="2">
        <f t="shared" si="136"/>
        <v>3</v>
      </c>
      <c r="AA666" s="2">
        <f t="shared" si="137"/>
        <v>12</v>
      </c>
      <c r="AB666" s="2">
        <f t="shared" si="138"/>
        <v>2024</v>
      </c>
      <c r="AC666" s="2" t="str">
        <f t="shared" si="139"/>
        <v>Valid</v>
      </c>
      <c r="AD666" s="2">
        <f t="shared" si="140"/>
        <v>0</v>
      </c>
      <c r="AE666" s="2">
        <f t="shared" si="141"/>
        <v>0</v>
      </c>
      <c r="AH666" t="str">
        <f t="shared" si="132"/>
        <v>Mira Das</v>
      </c>
      <c r="AI666" t="str">
        <f t="shared" si="132"/>
        <v>Home Office</v>
      </c>
      <c r="AJ666" t="str">
        <f t="shared" si="132"/>
        <v>South</v>
      </c>
      <c r="AK666" t="str">
        <f t="shared" si="132"/>
        <v>Telangana</v>
      </c>
      <c r="AL666" t="str">
        <f t="shared" si="131"/>
        <v>Hyderabad</v>
      </c>
      <c r="AM666" t="str">
        <f t="shared" si="131"/>
        <v>Technology</v>
      </c>
      <c r="AN666" t="str">
        <f t="shared" si="131"/>
        <v>Accessories</v>
      </c>
      <c r="AO666" t="str">
        <f t="shared" si="142"/>
        <v>Standard Class</v>
      </c>
      <c r="AP666" t="str">
        <f t="shared" si="143"/>
        <v>Paid</v>
      </c>
      <c r="AQ666" t="str">
        <f t="shared" si="143"/>
        <v>Completed</v>
      </c>
    </row>
    <row r="667" spans="1:43">
      <c r="A667" t="s">
        <v>2359</v>
      </c>
      <c r="B667" s="3">
        <v>45670</v>
      </c>
      <c r="C667" s="3">
        <v>45670</v>
      </c>
      <c r="D667" t="s">
        <v>2360</v>
      </c>
      <c r="E667" t="s">
        <v>207</v>
      </c>
      <c r="F667" t="s">
        <v>182</v>
      </c>
      <c r="G667" t="s">
        <v>149</v>
      </c>
      <c r="H667" t="s">
        <v>276</v>
      </c>
      <c r="I667" t="s">
        <v>277</v>
      </c>
      <c r="J667" t="s">
        <v>113</v>
      </c>
      <c r="K667" t="s">
        <v>133</v>
      </c>
      <c r="L667" t="s">
        <v>2361</v>
      </c>
      <c r="M667" t="s">
        <v>145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248</v>
      </c>
      <c r="U667" t="s">
        <v>44</v>
      </c>
      <c r="V667" s="2">
        <f t="shared" si="133"/>
        <v>0.1</v>
      </c>
      <c r="W667" s="2">
        <f t="shared" si="134"/>
        <v>5698.4039999999995</v>
      </c>
      <c r="X667" s="2">
        <f>W667-R667</f>
        <v>2057.5139999999997</v>
      </c>
      <c r="Y667" s="2">
        <f t="shared" si="135"/>
        <v>0.36106846759197836</v>
      </c>
      <c r="Z667" s="2">
        <f t="shared" si="136"/>
        <v>0</v>
      </c>
      <c r="AA667" s="2">
        <f t="shared" si="137"/>
        <v>1</v>
      </c>
      <c r="AB667" s="2">
        <f t="shared" si="138"/>
        <v>2025</v>
      </c>
      <c r="AC667" s="2" t="str">
        <f t="shared" si="139"/>
        <v>Valid</v>
      </c>
      <c r="AD667" s="2">
        <f t="shared" si="140"/>
        <v>0</v>
      </c>
      <c r="AE667" s="2">
        <f t="shared" si="141"/>
        <v>0</v>
      </c>
      <c r="AH667" t="str">
        <f t="shared" si="132"/>
        <v>Rahul Verma</v>
      </c>
      <c r="AI667" t="str">
        <f t="shared" si="132"/>
        <v>Home Office</v>
      </c>
      <c r="AJ667" t="str">
        <f t="shared" si="132"/>
        <v>West</v>
      </c>
      <c r="AK667" t="str">
        <f t="shared" si="132"/>
        <v>Gujarat</v>
      </c>
      <c r="AL667" t="str">
        <f t="shared" si="131"/>
        <v>Ahmedabad</v>
      </c>
      <c r="AM667" t="str">
        <f t="shared" si="131"/>
        <v>Office Supplies</v>
      </c>
      <c r="AN667" t="str">
        <f t="shared" si="131"/>
        <v>Art</v>
      </c>
      <c r="AO667" t="str">
        <f t="shared" si="142"/>
        <v>Standard Class</v>
      </c>
      <c r="AP667" t="str">
        <f t="shared" si="143"/>
        <v>Failed</v>
      </c>
      <c r="AQ667" t="str">
        <f t="shared" si="143"/>
        <v>Cancelled</v>
      </c>
    </row>
    <row r="668" spans="1:43">
      <c r="A668" t="s">
        <v>2362</v>
      </c>
      <c r="B668" s="3">
        <v>45464</v>
      </c>
      <c r="C668" s="3">
        <v>45469</v>
      </c>
      <c r="D668" t="s">
        <v>2363</v>
      </c>
      <c r="E668" t="s">
        <v>232</v>
      </c>
      <c r="F668" t="s">
        <v>122</v>
      </c>
      <c r="G668" t="s">
        <v>110</v>
      </c>
      <c r="H668" t="s">
        <v>211</v>
      </c>
      <c r="I668" t="s">
        <v>212</v>
      </c>
      <c r="J668" t="s">
        <v>160</v>
      </c>
      <c r="K668" t="s">
        <v>166</v>
      </c>
      <c r="L668" t="s">
        <v>2364</v>
      </c>
      <c r="M668" t="s">
        <v>129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117</v>
      </c>
      <c r="U668" t="s">
        <v>118</v>
      </c>
      <c r="V668" s="2">
        <f t="shared" si="133"/>
        <v>0.05</v>
      </c>
      <c r="W668" s="2">
        <f t="shared" si="134"/>
        <v>265.83849999999995</v>
      </c>
      <c r="X668" s="2">
        <f>W668-R668</f>
        <v>42.348499999999945</v>
      </c>
      <c r="Y668" s="2">
        <f t="shared" si="135"/>
        <v>0.15930160605028976</v>
      </c>
      <c r="Z668" s="2">
        <f t="shared" si="136"/>
        <v>5</v>
      </c>
      <c r="AA668" s="2">
        <f t="shared" si="137"/>
        <v>6</v>
      </c>
      <c r="AB668" s="2">
        <f t="shared" si="138"/>
        <v>2024</v>
      </c>
      <c r="AC668" s="2" t="str">
        <f t="shared" si="139"/>
        <v>Valid</v>
      </c>
      <c r="AD668" s="2">
        <f t="shared" si="140"/>
        <v>0</v>
      </c>
      <c r="AE668" s="2">
        <f t="shared" si="141"/>
        <v>0</v>
      </c>
      <c r="AH668" t="str">
        <f t="shared" si="132"/>
        <v>Rohan Mehta</v>
      </c>
      <c r="AI668" t="str">
        <f t="shared" si="132"/>
        <v>Small Business</v>
      </c>
      <c r="AJ668" t="str">
        <f t="shared" si="132"/>
        <v>North</v>
      </c>
      <c r="AK668" t="str">
        <f t="shared" si="132"/>
        <v>Punjab</v>
      </c>
      <c r="AL668" t="str">
        <f t="shared" si="131"/>
        <v>Ludhiana</v>
      </c>
      <c r="AM668" t="str">
        <f t="shared" si="131"/>
        <v>Technology</v>
      </c>
      <c r="AN668" t="str">
        <f t="shared" si="131"/>
        <v>Copiers</v>
      </c>
      <c r="AO668" t="str">
        <f t="shared" si="142"/>
        <v>Same Day</v>
      </c>
      <c r="AP668" t="str">
        <f t="shared" si="143"/>
        <v>Paid</v>
      </c>
      <c r="AQ668" t="str">
        <f t="shared" si="143"/>
        <v>Completed</v>
      </c>
    </row>
    <row r="669" spans="1:43">
      <c r="A669" t="s">
        <v>2365</v>
      </c>
      <c r="B669" s="3" t="s">
        <v>2366</v>
      </c>
      <c r="C669" s="3" t="s">
        <v>2367</v>
      </c>
      <c r="D669" t="s">
        <v>2368</v>
      </c>
      <c r="E669" t="s">
        <v>256</v>
      </c>
      <c r="F669" t="s">
        <v>122</v>
      </c>
      <c r="G669" t="s">
        <v>123</v>
      </c>
      <c r="H669" t="s">
        <v>237</v>
      </c>
      <c r="I669" t="s">
        <v>238</v>
      </c>
      <c r="J669" t="s">
        <v>160</v>
      </c>
      <c r="K669" t="s">
        <v>385</v>
      </c>
      <c r="L669" t="s">
        <v>2369</v>
      </c>
      <c r="M669" t="s">
        <v>145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199</v>
      </c>
      <c r="U669" t="s">
        <v>190</v>
      </c>
      <c r="V669" s="2">
        <f t="shared" si="133"/>
        <v>0</v>
      </c>
      <c r="W669" s="2">
        <f t="shared" si="134"/>
        <v>3959.14</v>
      </c>
      <c r="X669" s="2">
        <f>W669-R669</f>
        <v>719.60999999999967</v>
      </c>
      <c r="Y669" s="2">
        <f t="shared" si="135"/>
        <v>0.18175916992074029</v>
      </c>
      <c r="Z669" s="2" t="str">
        <f t="shared" si="136"/>
        <v/>
      </c>
      <c r="AA669" s="2" t="e">
        <f t="shared" si="137"/>
        <v>#VALUE!</v>
      </c>
      <c r="AB669" s="2" t="e">
        <f t="shared" si="138"/>
        <v>#VALUE!</v>
      </c>
      <c r="AC669" s="2" t="str">
        <f t="shared" si="139"/>
        <v>Text Value Not Recognized as Date</v>
      </c>
      <c r="AD669" s="2">
        <f t="shared" si="140"/>
        <v>0</v>
      </c>
      <c r="AE669" s="2">
        <f t="shared" si="141"/>
        <v>0</v>
      </c>
      <c r="AH669" t="str">
        <f t="shared" si="132"/>
        <v>Diya Patel</v>
      </c>
      <c r="AI669" t="str">
        <f t="shared" si="132"/>
        <v>Small Business</v>
      </c>
      <c r="AJ669" t="str">
        <f t="shared" si="132"/>
        <v>East</v>
      </c>
      <c r="AK669" t="str">
        <f t="shared" si="132"/>
        <v>Bihar</v>
      </c>
      <c r="AL669" t="str">
        <f t="shared" si="131"/>
        <v>Patna</v>
      </c>
      <c r="AM669" t="str">
        <f t="shared" si="131"/>
        <v>Technology</v>
      </c>
      <c r="AN669" t="str">
        <f t="shared" si="131"/>
        <v>Machines</v>
      </c>
      <c r="AO669" t="str">
        <f t="shared" si="142"/>
        <v>Standard Class</v>
      </c>
      <c r="AP669" t="str">
        <f t="shared" si="143"/>
        <v>Pending</v>
      </c>
      <c r="AQ669" t="str">
        <f t="shared" si="143"/>
        <v>Returned</v>
      </c>
    </row>
    <row r="670" spans="1:43">
      <c r="A670" t="s">
        <v>2370</v>
      </c>
      <c r="B670" s="3">
        <v>45617</v>
      </c>
      <c r="C670" s="3">
        <v>45619</v>
      </c>
      <c r="D670" t="s">
        <v>2371</v>
      </c>
      <c r="E670" t="s">
        <v>121</v>
      </c>
      <c r="F670" t="s">
        <v>177</v>
      </c>
      <c r="G670" t="s">
        <v>149</v>
      </c>
      <c r="H670" t="s">
        <v>276</v>
      </c>
      <c r="I670" t="s">
        <v>277</v>
      </c>
      <c r="J670" t="s">
        <v>113</v>
      </c>
      <c r="K670" t="s">
        <v>114</v>
      </c>
      <c r="L670" t="s">
        <v>2372</v>
      </c>
      <c r="M670" t="s">
        <v>116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117</v>
      </c>
      <c r="U670" t="s">
        <v>118</v>
      </c>
      <c r="V670" s="2">
        <f t="shared" si="133"/>
        <v>0.2</v>
      </c>
      <c r="W670" s="2">
        <f t="shared" si="134"/>
        <v>2401.84</v>
      </c>
      <c r="X670" s="2">
        <f>W670-R670</f>
        <v>528.73000000000025</v>
      </c>
      <c r="Y670" s="2">
        <f t="shared" si="135"/>
        <v>0.22013539619624964</v>
      </c>
      <c r="Z670" s="2">
        <f t="shared" si="136"/>
        <v>2</v>
      </c>
      <c r="AA670" s="2">
        <f t="shared" si="137"/>
        <v>11</v>
      </c>
      <c r="AB670" s="2">
        <f t="shared" si="138"/>
        <v>2024</v>
      </c>
      <c r="AC670" s="2" t="str">
        <f t="shared" si="139"/>
        <v>Valid</v>
      </c>
      <c r="AD670" s="2">
        <f t="shared" si="140"/>
        <v>0</v>
      </c>
      <c r="AE670" s="2">
        <f t="shared" si="141"/>
        <v>0</v>
      </c>
      <c r="AH670" t="str">
        <f t="shared" si="132"/>
        <v>Mira Das</v>
      </c>
      <c r="AI670" t="str">
        <f t="shared" si="132"/>
        <v>Corporate</v>
      </c>
      <c r="AJ670" t="str">
        <f t="shared" si="132"/>
        <v>West</v>
      </c>
      <c r="AK670" t="str">
        <f t="shared" si="132"/>
        <v>Gujarat</v>
      </c>
      <c r="AL670" t="str">
        <f t="shared" si="131"/>
        <v>Ahmedabad</v>
      </c>
      <c r="AM670" t="str">
        <f t="shared" si="131"/>
        <v>Office Supplies</v>
      </c>
      <c r="AN670" t="str">
        <f t="shared" si="131"/>
        <v>Paper</v>
      </c>
      <c r="AO670" t="str">
        <f t="shared" si="142"/>
        <v>Second Class</v>
      </c>
      <c r="AP670" t="str">
        <f t="shared" si="143"/>
        <v>Paid</v>
      </c>
      <c r="AQ670" t="str">
        <f t="shared" si="143"/>
        <v>Completed</v>
      </c>
    </row>
    <row r="671" spans="1:43">
      <c r="A671" t="s">
        <v>2373</v>
      </c>
      <c r="B671" s="3">
        <v>45375</v>
      </c>
      <c r="C671" s="3">
        <v>45383</v>
      </c>
      <c r="D671" t="s">
        <v>2374</v>
      </c>
      <c r="E671" t="s">
        <v>148</v>
      </c>
      <c r="F671" t="s">
        <v>182</v>
      </c>
      <c r="G671" t="s">
        <v>149</v>
      </c>
      <c r="H671" t="s">
        <v>150</v>
      </c>
      <c r="I671" t="s">
        <v>151</v>
      </c>
      <c r="J671" t="s">
        <v>126</v>
      </c>
      <c r="K671" t="s">
        <v>127</v>
      </c>
      <c r="L671" t="s">
        <v>2375</v>
      </c>
      <c r="M671" t="s">
        <v>116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117</v>
      </c>
      <c r="U671" t="s">
        <v>118</v>
      </c>
      <c r="V671" s="2">
        <f t="shared" si="133"/>
        <v>0.25</v>
      </c>
      <c r="W671" s="2">
        <f t="shared" si="134"/>
        <v>5102.16</v>
      </c>
      <c r="X671" s="2">
        <f>W671-R671</f>
        <v>1875.71</v>
      </c>
      <c r="Y671" s="2">
        <f t="shared" si="135"/>
        <v>0.36763057214983458</v>
      </c>
      <c r="Z671" s="2">
        <f t="shared" si="136"/>
        <v>8</v>
      </c>
      <c r="AA671" s="2">
        <f t="shared" si="137"/>
        <v>3</v>
      </c>
      <c r="AB671" s="2">
        <f t="shared" si="138"/>
        <v>2024</v>
      </c>
      <c r="AC671" s="2" t="str">
        <f t="shared" si="139"/>
        <v>Valid</v>
      </c>
      <c r="AD671" s="2">
        <f t="shared" si="140"/>
        <v>0</v>
      </c>
      <c r="AE671" s="2">
        <f t="shared" si="141"/>
        <v>0</v>
      </c>
      <c r="AH671" t="str">
        <f t="shared" si="132"/>
        <v>Ananya Rao</v>
      </c>
      <c r="AI671" t="str">
        <f t="shared" si="132"/>
        <v>Home Office</v>
      </c>
      <c r="AJ671" t="str">
        <f t="shared" si="132"/>
        <v>West</v>
      </c>
      <c r="AK671" t="str">
        <f t="shared" si="132"/>
        <v>Maharashtra</v>
      </c>
      <c r="AL671" t="str">
        <f t="shared" si="131"/>
        <v>Mumbai</v>
      </c>
      <c r="AM671" t="str">
        <f t="shared" si="131"/>
        <v>Furniture</v>
      </c>
      <c r="AN671" t="str">
        <f t="shared" si="131"/>
        <v>Tables</v>
      </c>
      <c r="AO671" t="str">
        <f t="shared" si="142"/>
        <v>Second Class</v>
      </c>
      <c r="AP671" t="str">
        <f t="shared" si="143"/>
        <v>Paid</v>
      </c>
      <c r="AQ671" t="str">
        <f t="shared" si="143"/>
        <v>Completed</v>
      </c>
    </row>
    <row r="672" spans="1:43">
      <c r="A672" t="s">
        <v>2376</v>
      </c>
      <c r="B672" s="3">
        <v>45690</v>
      </c>
      <c r="C672" s="3">
        <v>45694</v>
      </c>
      <c r="D672" t="s">
        <v>1841</v>
      </c>
      <c r="E672" t="s">
        <v>222</v>
      </c>
      <c r="F672" t="s">
        <v>177</v>
      </c>
      <c r="G672" t="s">
        <v>110</v>
      </c>
      <c r="H672" t="s">
        <v>227</v>
      </c>
      <c r="I672" t="s">
        <v>228</v>
      </c>
      <c r="J672" t="s">
        <v>126</v>
      </c>
      <c r="K672" t="s">
        <v>127</v>
      </c>
      <c r="L672" t="s">
        <v>2377</v>
      </c>
      <c r="M672" t="s">
        <v>145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117</v>
      </c>
      <c r="U672" t="s">
        <v>118</v>
      </c>
      <c r="V672" s="2">
        <f t="shared" si="133"/>
        <v>0.1</v>
      </c>
      <c r="W672" s="2">
        <f t="shared" si="134"/>
        <v>6176.5920000000006</v>
      </c>
      <c r="X672" s="2">
        <f>W672-R672</f>
        <v>2615.6320000000005</v>
      </c>
      <c r="Y672" s="2">
        <f t="shared" si="135"/>
        <v>0.42347495188285067</v>
      </c>
      <c r="Z672" s="2">
        <f t="shared" si="136"/>
        <v>4</v>
      </c>
      <c r="AA672" s="2">
        <f t="shared" si="137"/>
        <v>2</v>
      </c>
      <c r="AB672" s="2">
        <f t="shared" si="138"/>
        <v>2025</v>
      </c>
      <c r="AC672" s="2" t="str">
        <f t="shared" si="139"/>
        <v>Valid</v>
      </c>
      <c r="AD672" s="2">
        <f t="shared" si="140"/>
        <v>0</v>
      </c>
      <c r="AE672" s="2">
        <f t="shared" si="141"/>
        <v>0</v>
      </c>
      <c r="AH672" t="str">
        <f t="shared" si="132"/>
        <v>Sneha Kapoor</v>
      </c>
      <c r="AI672" t="str">
        <f t="shared" si="132"/>
        <v>Corporate</v>
      </c>
      <c r="AJ672" t="str">
        <f t="shared" si="132"/>
        <v>North</v>
      </c>
      <c r="AK672" t="str">
        <f t="shared" si="132"/>
        <v>Uttar Pradesh</v>
      </c>
      <c r="AL672" t="str">
        <f t="shared" si="131"/>
        <v>Noida</v>
      </c>
      <c r="AM672" t="str">
        <f t="shared" si="131"/>
        <v>Furniture</v>
      </c>
      <c r="AN672" t="str">
        <f t="shared" si="131"/>
        <v>Tables</v>
      </c>
      <c r="AO672" t="str">
        <f t="shared" si="142"/>
        <v>Standard Class</v>
      </c>
      <c r="AP672" t="str">
        <f t="shared" si="143"/>
        <v>Paid</v>
      </c>
      <c r="AQ672" t="str">
        <f t="shared" si="143"/>
        <v>Completed</v>
      </c>
    </row>
    <row r="673" spans="1:43">
      <c r="A673" t="s">
        <v>2378</v>
      </c>
      <c r="B673" s="3">
        <v>45373</v>
      </c>
      <c r="C673" s="3" t="s">
        <v>2379</v>
      </c>
      <c r="D673" t="s">
        <v>2380</v>
      </c>
      <c r="E673" t="s">
        <v>176</v>
      </c>
      <c r="F673" t="s">
        <v>182</v>
      </c>
      <c r="G673" t="s">
        <v>149</v>
      </c>
      <c r="H673" t="s">
        <v>287</v>
      </c>
      <c r="I673" t="s">
        <v>288</v>
      </c>
      <c r="J673" t="s">
        <v>160</v>
      </c>
      <c r="K673" t="s">
        <v>2381</v>
      </c>
      <c r="L673" t="s">
        <v>2382</v>
      </c>
      <c r="M673" t="s">
        <v>116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117</v>
      </c>
      <c r="U673" t="s">
        <v>118</v>
      </c>
      <c r="V673" s="2">
        <f t="shared" si="133"/>
        <v>0.05</v>
      </c>
      <c r="W673" s="2">
        <f t="shared" si="134"/>
        <v>31203.310500000003</v>
      </c>
      <c r="X673" s="2">
        <f>W673-R673</f>
        <v>13465.180500000002</v>
      </c>
      <c r="Y673" s="2">
        <f t="shared" si="135"/>
        <v>0.43153051020019179</v>
      </c>
      <c r="Z673" s="2" t="str">
        <f t="shared" si="136"/>
        <v/>
      </c>
      <c r="AA673" s="2">
        <f t="shared" si="137"/>
        <v>3</v>
      </c>
      <c r="AB673" s="2">
        <f t="shared" si="138"/>
        <v>2024</v>
      </c>
      <c r="AC673" s="2" t="str">
        <f t="shared" si="139"/>
        <v>Text Value Not Recognized as Date</v>
      </c>
      <c r="AD673" s="2">
        <f t="shared" si="140"/>
        <v>0</v>
      </c>
      <c r="AE673" s="2">
        <f t="shared" si="141"/>
        <v>0</v>
      </c>
      <c r="AH673" t="str">
        <f t="shared" si="132"/>
        <v>Aditi Sen</v>
      </c>
      <c r="AI673" t="str">
        <f t="shared" si="132"/>
        <v>Home Office</v>
      </c>
      <c r="AJ673" t="str">
        <f t="shared" si="132"/>
        <v>West</v>
      </c>
      <c r="AK673" t="str">
        <f t="shared" si="132"/>
        <v>Goa</v>
      </c>
      <c r="AL673" t="str">
        <f t="shared" si="131"/>
        <v>Panaji</v>
      </c>
      <c r="AM673" t="str">
        <f t="shared" si="131"/>
        <v>Technology</v>
      </c>
      <c r="AN673" t="str">
        <f t="shared" si="131"/>
        <v>Copiers</v>
      </c>
      <c r="AO673" t="str">
        <f t="shared" si="142"/>
        <v>Second Class</v>
      </c>
      <c r="AP673" t="str">
        <f t="shared" si="143"/>
        <v>Paid</v>
      </c>
      <c r="AQ673" t="str">
        <f t="shared" si="143"/>
        <v>Completed</v>
      </c>
    </row>
    <row r="674" spans="1:43">
      <c r="A674" t="s">
        <v>2383</v>
      </c>
      <c r="B674" s="3">
        <v>45539</v>
      </c>
      <c r="C674" s="3">
        <v>45540</v>
      </c>
      <c r="D674" t="s">
        <v>2384</v>
      </c>
      <c r="E674" t="s">
        <v>176</v>
      </c>
      <c r="F674" t="s">
        <v>177</v>
      </c>
      <c r="G674" t="s">
        <v>149</v>
      </c>
      <c r="H674" t="s">
        <v>158</v>
      </c>
      <c r="I674" t="s">
        <v>159</v>
      </c>
      <c r="J674" t="s">
        <v>126</v>
      </c>
      <c r="K674" t="s">
        <v>152</v>
      </c>
      <c r="L674" t="s">
        <v>2385</v>
      </c>
      <c r="M674" t="s">
        <v>145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117</v>
      </c>
      <c r="U674" t="s">
        <v>190</v>
      </c>
      <c r="V674" s="2">
        <f t="shared" si="133"/>
        <v>0.05</v>
      </c>
      <c r="W674" s="2">
        <f t="shared" si="134"/>
        <v>12010.5175</v>
      </c>
      <c r="X674" s="2">
        <f>W674-R674</f>
        <v>4145.9075000000003</v>
      </c>
      <c r="Y674" s="2">
        <f t="shared" si="135"/>
        <v>0.34518974723612039</v>
      </c>
      <c r="Z674" s="2">
        <f t="shared" si="136"/>
        <v>1</v>
      </c>
      <c r="AA674" s="2">
        <f t="shared" si="137"/>
        <v>9</v>
      </c>
      <c r="AB674" s="2">
        <f t="shared" si="138"/>
        <v>2024</v>
      </c>
      <c r="AC674" s="2" t="str">
        <f t="shared" si="139"/>
        <v>Valid</v>
      </c>
      <c r="AD674" s="2">
        <f t="shared" si="140"/>
        <v>0</v>
      </c>
      <c r="AE674" s="2">
        <f t="shared" si="141"/>
        <v>0</v>
      </c>
      <c r="AH674" t="str">
        <f t="shared" si="132"/>
        <v>Aditi Sen</v>
      </c>
      <c r="AI674" t="str">
        <f t="shared" si="132"/>
        <v>Corporate</v>
      </c>
      <c r="AJ674" t="str">
        <f t="shared" si="132"/>
        <v>West</v>
      </c>
      <c r="AK674" t="str">
        <f t="shared" si="132"/>
        <v>Madhya Pradesh</v>
      </c>
      <c r="AL674" t="str">
        <f t="shared" si="131"/>
        <v>Indore</v>
      </c>
      <c r="AM674" t="str">
        <f t="shared" si="131"/>
        <v>Furniture</v>
      </c>
      <c r="AN674" t="str">
        <f t="shared" si="131"/>
        <v>Chairs</v>
      </c>
      <c r="AO674" t="str">
        <f t="shared" si="142"/>
        <v>Standard Class</v>
      </c>
      <c r="AP674" t="str">
        <f t="shared" si="143"/>
        <v>Paid</v>
      </c>
      <c r="AQ674" t="str">
        <f t="shared" si="143"/>
        <v>Returned</v>
      </c>
    </row>
    <row r="675" spans="1:43">
      <c r="A675" t="s">
        <v>2386</v>
      </c>
      <c r="B675" s="3">
        <v>45701</v>
      </c>
      <c r="C675" s="3">
        <v>45704</v>
      </c>
      <c r="D675" t="s">
        <v>2387</v>
      </c>
      <c r="E675" t="s">
        <v>139</v>
      </c>
      <c r="F675" t="s">
        <v>122</v>
      </c>
      <c r="G675" t="s">
        <v>149</v>
      </c>
      <c r="H675" t="s">
        <v>111</v>
      </c>
      <c r="I675" t="s">
        <v>197</v>
      </c>
      <c r="J675" t="s">
        <v>126</v>
      </c>
      <c r="K675" t="s">
        <v>252</v>
      </c>
      <c r="L675" t="s">
        <v>2388</v>
      </c>
      <c r="M675" t="s">
        <v>116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117</v>
      </c>
      <c r="U675" t="s">
        <v>118</v>
      </c>
      <c r="V675" s="2">
        <f t="shared" si="133"/>
        <v>0.15</v>
      </c>
      <c r="W675" s="2">
        <f t="shared" si="134"/>
        <v>13847.86</v>
      </c>
      <c r="X675" s="2">
        <f>W675-R675</f>
        <v>5376.08</v>
      </c>
      <c r="Y675" s="2">
        <f t="shared" si="135"/>
        <v>0.38822460654570451</v>
      </c>
      <c r="Z675" s="2">
        <f t="shared" si="136"/>
        <v>3</v>
      </c>
      <c r="AA675" s="2">
        <f t="shared" si="137"/>
        <v>2</v>
      </c>
      <c r="AB675" s="2">
        <f t="shared" si="138"/>
        <v>2025</v>
      </c>
      <c r="AC675" s="2" t="str">
        <f t="shared" si="139"/>
        <v>Valid</v>
      </c>
      <c r="AD675" s="2">
        <f t="shared" si="140"/>
        <v>0</v>
      </c>
      <c r="AE675" s="2">
        <f t="shared" si="141"/>
        <v>0</v>
      </c>
      <c r="AH675" t="str">
        <f t="shared" si="132"/>
        <v>Arjun Bose</v>
      </c>
      <c r="AI675" t="str">
        <f t="shared" si="132"/>
        <v>Small Business</v>
      </c>
      <c r="AJ675" t="str">
        <f t="shared" si="132"/>
        <v>West</v>
      </c>
      <c r="AK675" t="str">
        <f t="shared" si="132"/>
        <v>Rajasthan</v>
      </c>
      <c r="AL675" t="str">
        <f t="shared" si="131"/>
        <v>Udaipur</v>
      </c>
      <c r="AM675" t="str">
        <f t="shared" si="131"/>
        <v>Furniture</v>
      </c>
      <c r="AN675" t="str">
        <f t="shared" si="131"/>
        <v>Bookcases</v>
      </c>
      <c r="AO675" t="str">
        <f t="shared" si="142"/>
        <v>Second Class</v>
      </c>
      <c r="AP675" t="str">
        <f t="shared" si="143"/>
        <v>Paid</v>
      </c>
      <c r="AQ675" t="str">
        <f t="shared" si="143"/>
        <v>Completed</v>
      </c>
    </row>
    <row r="676" spans="1:43">
      <c r="A676" t="s">
        <v>2389</v>
      </c>
      <c r="B676" s="3">
        <v>45430</v>
      </c>
      <c r="C676" s="3">
        <v>45433</v>
      </c>
      <c r="D676" t="s">
        <v>2390</v>
      </c>
      <c r="E676" t="s">
        <v>157</v>
      </c>
      <c r="F676" t="s">
        <v>177</v>
      </c>
      <c r="G676" t="s">
        <v>123</v>
      </c>
      <c r="H676" t="s">
        <v>335</v>
      </c>
      <c r="I676" t="s">
        <v>336</v>
      </c>
      <c r="J676" t="s">
        <v>160</v>
      </c>
      <c r="K676" t="s">
        <v>161</v>
      </c>
      <c r="L676" t="s">
        <v>2391</v>
      </c>
      <c r="M676" t="s">
        <v>116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199</v>
      </c>
      <c r="U676" t="s">
        <v>190</v>
      </c>
      <c r="V676" s="2">
        <f t="shared" si="133"/>
        <v>0</v>
      </c>
      <c r="W676" s="2">
        <f t="shared" si="134"/>
        <v>1033.71</v>
      </c>
      <c r="X676" s="2">
        <f>W676-R676</f>
        <v>402.89</v>
      </c>
      <c r="Y676" s="2">
        <f t="shared" si="135"/>
        <v>0.38975147768716562</v>
      </c>
      <c r="Z676" s="2">
        <f t="shared" si="136"/>
        <v>3</v>
      </c>
      <c r="AA676" s="2">
        <f t="shared" si="137"/>
        <v>5</v>
      </c>
      <c r="AB676" s="2">
        <f t="shared" si="138"/>
        <v>2024</v>
      </c>
      <c r="AC676" s="2" t="str">
        <f t="shared" si="139"/>
        <v>Valid</v>
      </c>
      <c r="AD676" s="2">
        <f t="shared" si="140"/>
        <v>0</v>
      </c>
      <c r="AE676" s="2">
        <f t="shared" si="141"/>
        <v>0</v>
      </c>
      <c r="AH676" t="str">
        <f t="shared" si="132"/>
        <v>Vikram Iyer</v>
      </c>
      <c r="AI676" t="str">
        <f t="shared" si="132"/>
        <v>Corporate</v>
      </c>
      <c r="AJ676" t="str">
        <f t="shared" si="132"/>
        <v>East</v>
      </c>
      <c r="AK676" t="str">
        <f t="shared" si="132"/>
        <v>Jharkhand</v>
      </c>
      <c r="AL676" t="str">
        <f t="shared" si="131"/>
        <v>Ranchi</v>
      </c>
      <c r="AM676" t="str">
        <f t="shared" si="131"/>
        <v>Technology</v>
      </c>
      <c r="AN676" t="str">
        <f t="shared" si="131"/>
        <v>Accessories</v>
      </c>
      <c r="AO676" t="str">
        <f t="shared" si="142"/>
        <v>Second Class</v>
      </c>
      <c r="AP676" t="str">
        <f t="shared" si="143"/>
        <v>Pending</v>
      </c>
      <c r="AQ676" t="str">
        <f t="shared" si="143"/>
        <v>Returned</v>
      </c>
    </row>
    <row r="677" spans="1:43">
      <c r="A677" t="s">
        <v>2392</v>
      </c>
      <c r="B677" s="3">
        <v>45844</v>
      </c>
      <c r="C677" s="3">
        <v>45818</v>
      </c>
      <c r="D677" t="s">
        <v>2281</v>
      </c>
      <c r="E677" t="s">
        <v>218</v>
      </c>
      <c r="F677" t="s">
        <v>109</v>
      </c>
      <c r="G677" t="s">
        <v>110</v>
      </c>
      <c r="H677" t="s">
        <v>111</v>
      </c>
      <c r="I677" t="s">
        <v>112</v>
      </c>
      <c r="J677" t="s">
        <v>126</v>
      </c>
      <c r="K677" t="s">
        <v>143</v>
      </c>
      <c r="L677" t="s">
        <v>2393</v>
      </c>
      <c r="M677" t="s">
        <v>129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117</v>
      </c>
      <c r="U677" t="s">
        <v>118</v>
      </c>
      <c r="V677" s="2">
        <f t="shared" si="133"/>
        <v>0</v>
      </c>
      <c r="W677" s="2">
        <f t="shared" si="134"/>
        <v>2889.7799999999997</v>
      </c>
      <c r="X677" s="2">
        <f>W677-R677</f>
        <v>1078.5499999999997</v>
      </c>
      <c r="Y677" s="2">
        <f t="shared" si="135"/>
        <v>0.37322910394562903</v>
      </c>
      <c r="Z677" s="2">
        <f t="shared" si="136"/>
        <v>-26</v>
      </c>
      <c r="AA677" s="2">
        <f t="shared" si="137"/>
        <v>7</v>
      </c>
      <c r="AB677" s="2">
        <f t="shared" si="138"/>
        <v>2025</v>
      </c>
      <c r="AC677" s="2" t="str">
        <f t="shared" si="139"/>
        <v>Invalid shipping record</v>
      </c>
      <c r="AD677" s="2">
        <f t="shared" si="140"/>
        <v>0</v>
      </c>
      <c r="AE677" s="2">
        <f t="shared" si="141"/>
        <v>0</v>
      </c>
      <c r="AH677" t="str">
        <f t="shared" si="132"/>
        <v>Aarav Sharma</v>
      </c>
      <c r="AI677" t="str">
        <f t="shared" si="132"/>
        <v>Consumer</v>
      </c>
      <c r="AJ677" t="str">
        <f t="shared" si="132"/>
        <v>North</v>
      </c>
      <c r="AK677" t="str">
        <f t="shared" si="132"/>
        <v>Rajasthan</v>
      </c>
      <c r="AL677" t="str">
        <f t="shared" si="131"/>
        <v>Jaipur</v>
      </c>
      <c r="AM677" t="str">
        <f t="shared" si="131"/>
        <v>Furniture</v>
      </c>
      <c r="AN677" t="str">
        <f t="shared" si="131"/>
        <v>Furnishings</v>
      </c>
      <c r="AO677" t="str">
        <f t="shared" si="142"/>
        <v>Same Day</v>
      </c>
      <c r="AP677" t="str">
        <f t="shared" si="143"/>
        <v>Paid</v>
      </c>
      <c r="AQ677" t="str">
        <f t="shared" si="143"/>
        <v>Completed</v>
      </c>
    </row>
    <row r="678" spans="1:43">
      <c r="A678" t="s">
        <v>2394</v>
      </c>
      <c r="B678" s="3">
        <v>45911</v>
      </c>
      <c r="C678" s="3">
        <v>45918</v>
      </c>
      <c r="D678" t="s">
        <v>2395</v>
      </c>
      <c r="E678" t="s">
        <v>207</v>
      </c>
      <c r="F678" t="s">
        <v>122</v>
      </c>
      <c r="G678" t="s">
        <v>110</v>
      </c>
      <c r="H678" t="s">
        <v>465</v>
      </c>
      <c r="I678" t="s">
        <v>466</v>
      </c>
      <c r="J678" t="s">
        <v>160</v>
      </c>
      <c r="K678" t="s">
        <v>266</v>
      </c>
      <c r="L678" t="s">
        <v>2396</v>
      </c>
      <c r="M678" t="s">
        <v>129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117</v>
      </c>
      <c r="U678" t="s">
        <v>118</v>
      </c>
      <c r="V678" s="2">
        <f t="shared" si="133"/>
        <v>0.15</v>
      </c>
      <c r="W678" s="2">
        <f t="shared" si="134"/>
        <v>20296.699499999999</v>
      </c>
      <c r="X678" s="2">
        <f>W678-R678</f>
        <v>5375.829499999998</v>
      </c>
      <c r="Y678" s="2">
        <f t="shared" si="135"/>
        <v>0.26486225014071862</v>
      </c>
      <c r="Z678" s="2">
        <f t="shared" si="136"/>
        <v>7</v>
      </c>
      <c r="AA678" s="2">
        <f t="shared" si="137"/>
        <v>9</v>
      </c>
      <c r="AB678" s="2">
        <f t="shared" si="138"/>
        <v>2025</v>
      </c>
      <c r="AC678" s="2" t="str">
        <f t="shared" si="139"/>
        <v>Conflicting Duplicate Order ID</v>
      </c>
      <c r="AD678" s="2">
        <f t="shared" si="140"/>
        <v>0</v>
      </c>
      <c r="AE678" s="2">
        <f t="shared" si="141"/>
        <v>0</v>
      </c>
      <c r="AH678" t="str">
        <f t="shared" si="132"/>
        <v>Rahul Verma</v>
      </c>
      <c r="AI678" t="str">
        <f t="shared" si="132"/>
        <v>Small Business</v>
      </c>
      <c r="AJ678" t="str">
        <f t="shared" si="132"/>
        <v>North</v>
      </c>
      <c r="AK678" t="str">
        <f t="shared" si="132"/>
        <v>Delhi</v>
      </c>
      <c r="AL678" t="str">
        <f t="shared" si="131"/>
        <v>New Delhi</v>
      </c>
      <c r="AM678" t="str">
        <f t="shared" si="131"/>
        <v>Technology</v>
      </c>
      <c r="AN678" t="str">
        <f t="shared" si="131"/>
        <v>Phones</v>
      </c>
      <c r="AO678" t="str">
        <f t="shared" si="142"/>
        <v>Same Day</v>
      </c>
      <c r="AP678" t="str">
        <f t="shared" si="143"/>
        <v>Paid</v>
      </c>
      <c r="AQ678" t="str">
        <f t="shared" si="143"/>
        <v>Completed</v>
      </c>
    </row>
    <row r="679" spans="1:43">
      <c r="A679" t="s">
        <v>2397</v>
      </c>
      <c r="B679" s="3">
        <v>45465</v>
      </c>
      <c r="C679" s="3" t="s">
        <v>2398</v>
      </c>
      <c r="D679" t="s">
        <v>107</v>
      </c>
      <c r="E679" t="s">
        <v>132</v>
      </c>
      <c r="F679" t="s">
        <v>182</v>
      </c>
      <c r="G679" t="s">
        <v>140</v>
      </c>
      <c r="H679" t="s">
        <v>270</v>
      </c>
      <c r="I679" t="s">
        <v>271</v>
      </c>
      <c r="J679" t="s">
        <v>126</v>
      </c>
      <c r="K679" t="s">
        <v>152</v>
      </c>
      <c r="L679" t="s">
        <v>2399</v>
      </c>
      <c r="M679" t="s">
        <v>129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117</v>
      </c>
      <c r="U679" t="s">
        <v>118</v>
      </c>
      <c r="V679" s="2">
        <f t="shared" si="133"/>
        <v>0</v>
      </c>
      <c r="W679" s="2">
        <f t="shared" si="134"/>
        <v>18364.36</v>
      </c>
      <c r="X679" s="2">
        <f>W679-R679</f>
        <v>2918.5500000000011</v>
      </c>
      <c r="Y679" s="2">
        <f t="shared" si="135"/>
        <v>0.15892467801763857</v>
      </c>
      <c r="Z679" s="2" t="str">
        <f t="shared" si="136"/>
        <v/>
      </c>
      <c r="AA679" s="2">
        <f t="shared" si="137"/>
        <v>6</v>
      </c>
      <c r="AB679" s="2">
        <f t="shared" si="138"/>
        <v>2024</v>
      </c>
      <c r="AC679" s="2" t="str">
        <f t="shared" si="139"/>
        <v>Text Value Not Recognized as Date</v>
      </c>
      <c r="AD679" s="2">
        <f t="shared" si="140"/>
        <v>0</v>
      </c>
      <c r="AE679" s="2">
        <f t="shared" si="141"/>
        <v>0</v>
      </c>
      <c r="AH679" t="str">
        <f t="shared" si="132"/>
        <v>Isha Nair</v>
      </c>
      <c r="AI679" t="str">
        <f t="shared" si="132"/>
        <v>Home Office</v>
      </c>
      <c r="AJ679" t="str">
        <f t="shared" si="132"/>
        <v>South</v>
      </c>
      <c r="AK679" t="str">
        <f t="shared" si="132"/>
        <v>Karnataka</v>
      </c>
      <c r="AL679" t="str">
        <f t="shared" si="131"/>
        <v>Bengaluru</v>
      </c>
      <c r="AM679" t="str">
        <f t="shared" si="131"/>
        <v>Furniture</v>
      </c>
      <c r="AN679" t="str">
        <f t="shared" si="131"/>
        <v>Chairs</v>
      </c>
      <c r="AO679" t="str">
        <f t="shared" si="142"/>
        <v>Same Day</v>
      </c>
      <c r="AP679" t="str">
        <f t="shared" si="143"/>
        <v>Paid</v>
      </c>
      <c r="AQ679" t="str">
        <f t="shared" si="143"/>
        <v>Completed</v>
      </c>
    </row>
    <row r="680" spans="1:43">
      <c r="A680" t="s">
        <v>2400</v>
      </c>
      <c r="B680" s="3" t="s">
        <v>2401</v>
      </c>
      <c r="C680" s="3">
        <v>45627</v>
      </c>
      <c r="D680" t="s">
        <v>2402</v>
      </c>
      <c r="E680" t="s">
        <v>375</v>
      </c>
      <c r="F680" t="s">
        <v>177</v>
      </c>
      <c r="G680" t="s">
        <v>140</v>
      </c>
      <c r="H680" t="s">
        <v>270</v>
      </c>
      <c r="I680" t="s">
        <v>271</v>
      </c>
      <c r="J680" t="s">
        <v>126</v>
      </c>
      <c r="K680" t="s">
        <v>127</v>
      </c>
      <c r="L680" t="s">
        <v>2403</v>
      </c>
      <c r="M680" t="s">
        <v>116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117</v>
      </c>
      <c r="U680" t="s">
        <v>118</v>
      </c>
      <c r="V680" s="2">
        <f t="shared" si="133"/>
        <v>0.15</v>
      </c>
      <c r="W680" s="2">
        <f t="shared" si="134"/>
        <v>21141.6165</v>
      </c>
      <c r="X680" s="2">
        <f>W680-R680</f>
        <v>9465.2865000000002</v>
      </c>
      <c r="Y680" s="2">
        <f t="shared" si="135"/>
        <v>0.44770874071999178</v>
      </c>
      <c r="Z680" s="2" t="str">
        <f t="shared" si="136"/>
        <v/>
      </c>
      <c r="AA680" s="2" t="e">
        <f t="shared" si="137"/>
        <v>#VALUE!</v>
      </c>
      <c r="AB680" s="2" t="e">
        <f t="shared" si="138"/>
        <v>#VALUE!</v>
      </c>
      <c r="AC680" s="2" t="str">
        <f t="shared" si="139"/>
        <v>Text Value Not Recognized as Date</v>
      </c>
      <c r="AD680" s="2">
        <f t="shared" si="140"/>
        <v>0</v>
      </c>
      <c r="AE680" s="2">
        <f t="shared" si="141"/>
        <v>0</v>
      </c>
      <c r="AH680" t="str">
        <f t="shared" si="132"/>
        <v>Kabir Singh</v>
      </c>
      <c r="AI680" t="str">
        <f t="shared" si="132"/>
        <v>Corporate</v>
      </c>
      <c r="AJ680" t="str">
        <f t="shared" si="132"/>
        <v>South</v>
      </c>
      <c r="AK680" t="str">
        <f t="shared" si="132"/>
        <v>Karnataka</v>
      </c>
      <c r="AL680" t="str">
        <f t="shared" si="131"/>
        <v>Bengaluru</v>
      </c>
      <c r="AM680" t="str">
        <f t="shared" si="131"/>
        <v>Furniture</v>
      </c>
      <c r="AN680" t="str">
        <f t="shared" si="131"/>
        <v>Tables</v>
      </c>
      <c r="AO680" t="str">
        <f t="shared" si="142"/>
        <v>Second Class</v>
      </c>
      <c r="AP680" t="str">
        <f t="shared" si="143"/>
        <v>Paid</v>
      </c>
      <c r="AQ680" t="str">
        <f t="shared" si="143"/>
        <v>Completed</v>
      </c>
    </row>
    <row r="681" spans="1:43">
      <c r="A681" t="s">
        <v>2404</v>
      </c>
      <c r="B681" s="3" t="s">
        <v>2405</v>
      </c>
      <c r="C681" s="3" t="s">
        <v>559</v>
      </c>
      <c r="D681" t="s">
        <v>2406</v>
      </c>
      <c r="E681" t="s">
        <v>232</v>
      </c>
      <c r="F681" t="s">
        <v>177</v>
      </c>
      <c r="G681" t="s">
        <v>110</v>
      </c>
      <c r="H681" t="s">
        <v>211</v>
      </c>
      <c r="I681" t="s">
        <v>212</v>
      </c>
      <c r="J681" t="s">
        <v>160</v>
      </c>
      <c r="K681" t="s">
        <v>166</v>
      </c>
      <c r="L681" t="s">
        <v>2407</v>
      </c>
      <c r="M681" t="s">
        <v>129</v>
      </c>
      <c r="N681">
        <v>4</v>
      </c>
      <c r="O681">
        <v>1410.57</v>
      </c>
      <c r="P681" t="s">
        <v>586</v>
      </c>
      <c r="Q681">
        <v>5360.17</v>
      </c>
      <c r="R681">
        <v>3881.51</v>
      </c>
      <c r="S681">
        <v>1478.66</v>
      </c>
      <c r="T681" t="s">
        <v>189</v>
      </c>
      <c r="U681" t="s">
        <v>44</v>
      </c>
      <c r="V681" s="2" t="str">
        <f t="shared" si="133"/>
        <v>70%</v>
      </c>
      <c r="W681" s="2">
        <f t="shared" si="134"/>
        <v>1692.6840000000002</v>
      </c>
      <c r="X681" s="2">
        <f>W681-R681</f>
        <v>-2188.826</v>
      </c>
      <c r="Y681" s="2">
        <f t="shared" si="135"/>
        <v>-1.2931096412561351</v>
      </c>
      <c r="Z681" s="2" t="str">
        <f t="shared" si="136"/>
        <v/>
      </c>
      <c r="AA681" s="2" t="e">
        <f t="shared" si="137"/>
        <v>#VALUE!</v>
      </c>
      <c r="AB681" s="2" t="e">
        <f t="shared" si="138"/>
        <v>#VALUE!</v>
      </c>
      <c r="AC681" s="2" t="str">
        <f t="shared" si="139"/>
        <v>Text Value Not Recognized as Date</v>
      </c>
      <c r="AD681" s="2">
        <f t="shared" si="140"/>
        <v>1</v>
      </c>
      <c r="AE681" s="2">
        <f t="shared" si="141"/>
        <v>1</v>
      </c>
      <c r="AH681" t="str">
        <f t="shared" si="132"/>
        <v>Rohan Mehta</v>
      </c>
      <c r="AI681" t="str">
        <f t="shared" si="132"/>
        <v>Corporate</v>
      </c>
      <c r="AJ681" t="str">
        <f t="shared" si="132"/>
        <v>North</v>
      </c>
      <c r="AK681" t="str">
        <f t="shared" si="132"/>
        <v>Punjab</v>
      </c>
      <c r="AL681" t="str">
        <f t="shared" si="131"/>
        <v>Ludhiana</v>
      </c>
      <c r="AM681" t="str">
        <f t="shared" si="131"/>
        <v>Technology</v>
      </c>
      <c r="AN681" t="str">
        <f t="shared" si="131"/>
        <v>Copiers</v>
      </c>
      <c r="AO681" t="str">
        <f t="shared" si="142"/>
        <v>Same Day</v>
      </c>
      <c r="AP681" t="str">
        <f t="shared" si="143"/>
        <v>Refunded</v>
      </c>
      <c r="AQ681" t="str">
        <f t="shared" si="143"/>
        <v>Cancelled</v>
      </c>
    </row>
    <row r="682" spans="1:43">
      <c r="A682" t="s">
        <v>2408</v>
      </c>
      <c r="B682" s="3">
        <v>45441</v>
      </c>
      <c r="C682" s="3">
        <v>45448</v>
      </c>
      <c r="D682" t="s">
        <v>2409</v>
      </c>
      <c r="E682" t="s">
        <v>375</v>
      </c>
      <c r="F682" t="s">
        <v>177</v>
      </c>
      <c r="G682" t="s">
        <v>140</v>
      </c>
      <c r="H682" t="s">
        <v>357</v>
      </c>
      <c r="I682" t="s">
        <v>358</v>
      </c>
      <c r="J682" t="s">
        <v>160</v>
      </c>
      <c r="K682" t="s">
        <v>161</v>
      </c>
      <c r="L682" t="s">
        <v>2410</v>
      </c>
      <c r="M682" t="s">
        <v>135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117</v>
      </c>
      <c r="U682" t="s">
        <v>118</v>
      </c>
      <c r="V682" s="2">
        <f t="shared" si="133"/>
        <v>0</v>
      </c>
      <c r="W682" s="2">
        <f t="shared" si="134"/>
        <v>14800.96</v>
      </c>
      <c r="X682" s="2">
        <f>W682-R682</f>
        <v>2752.5699999999997</v>
      </c>
      <c r="Y682" s="2">
        <f t="shared" si="135"/>
        <v>0.18597239638509933</v>
      </c>
      <c r="Z682" s="2">
        <f t="shared" si="136"/>
        <v>7</v>
      </c>
      <c r="AA682" s="2">
        <f t="shared" si="137"/>
        <v>5</v>
      </c>
      <c r="AB682" s="2">
        <f t="shared" si="138"/>
        <v>2024</v>
      </c>
      <c r="AC682" s="2" t="str">
        <f t="shared" si="139"/>
        <v>Valid</v>
      </c>
      <c r="AD682" s="2">
        <f t="shared" si="140"/>
        <v>0</v>
      </c>
      <c r="AE682" s="2">
        <f t="shared" si="141"/>
        <v>0</v>
      </c>
      <c r="AH682" t="str">
        <f t="shared" si="132"/>
        <v>Kabir Singh</v>
      </c>
      <c r="AI682" t="str">
        <f t="shared" si="132"/>
        <v>Corporate</v>
      </c>
      <c r="AJ682" t="str">
        <f t="shared" si="132"/>
        <v>South</v>
      </c>
      <c r="AK682" t="str">
        <f t="shared" si="132"/>
        <v>Tamil Nadu</v>
      </c>
      <c r="AL682" t="str">
        <f t="shared" si="131"/>
        <v>Chennai</v>
      </c>
      <c r="AM682" t="str">
        <f t="shared" si="131"/>
        <v>Technology</v>
      </c>
      <c r="AN682" t="str">
        <f t="shared" si="131"/>
        <v>Accessories</v>
      </c>
      <c r="AO682" t="str">
        <f t="shared" si="142"/>
        <v>First Class</v>
      </c>
      <c r="AP682" t="str">
        <f t="shared" si="143"/>
        <v>Paid</v>
      </c>
      <c r="AQ682" t="str">
        <f t="shared" si="143"/>
        <v>Completed</v>
      </c>
    </row>
    <row r="683" spans="1:43">
      <c r="A683" t="s">
        <v>2411</v>
      </c>
      <c r="B683" s="3">
        <v>45477</v>
      </c>
      <c r="C683" s="3">
        <v>45483</v>
      </c>
      <c r="D683" t="s">
        <v>2412</v>
      </c>
      <c r="E683" t="s">
        <v>157</v>
      </c>
      <c r="F683" t="s">
        <v>177</v>
      </c>
      <c r="G683" t="s">
        <v>110</v>
      </c>
      <c r="H683" t="s">
        <v>465</v>
      </c>
      <c r="I683" t="s">
        <v>466</v>
      </c>
      <c r="J683" t="s">
        <v>126</v>
      </c>
      <c r="K683" t="s">
        <v>127</v>
      </c>
      <c r="L683" t="s">
        <v>2413</v>
      </c>
      <c r="M683" t="s">
        <v>116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117</v>
      </c>
      <c r="U683" t="s">
        <v>44</v>
      </c>
      <c r="V683" s="2">
        <f t="shared" si="133"/>
        <v>0</v>
      </c>
      <c r="W683" s="2">
        <f t="shared" si="134"/>
        <v>6001.35</v>
      </c>
      <c r="X683" s="2">
        <f>W683-R683</f>
        <v>1818.3600000000006</v>
      </c>
      <c r="Y683" s="2">
        <f t="shared" si="135"/>
        <v>0.30299182683896131</v>
      </c>
      <c r="Z683" s="2">
        <f t="shared" si="136"/>
        <v>6</v>
      </c>
      <c r="AA683" s="2">
        <f t="shared" si="137"/>
        <v>7</v>
      </c>
      <c r="AB683" s="2">
        <f t="shared" si="138"/>
        <v>2024</v>
      </c>
      <c r="AC683" s="2" t="str">
        <f t="shared" si="139"/>
        <v>Valid</v>
      </c>
      <c r="AD683" s="2">
        <f t="shared" si="140"/>
        <v>0</v>
      </c>
      <c r="AE683" s="2">
        <f t="shared" si="141"/>
        <v>0</v>
      </c>
      <c r="AH683" t="str">
        <f t="shared" si="132"/>
        <v>Vikram Iyer</v>
      </c>
      <c r="AI683" t="str">
        <f t="shared" si="132"/>
        <v>Corporate</v>
      </c>
      <c r="AJ683" t="str">
        <f t="shared" si="132"/>
        <v>North</v>
      </c>
      <c r="AK683" t="str">
        <f t="shared" si="132"/>
        <v>Delhi</v>
      </c>
      <c r="AL683" t="str">
        <f t="shared" si="131"/>
        <v>New Delhi</v>
      </c>
      <c r="AM683" t="str">
        <f t="shared" si="131"/>
        <v>Furniture</v>
      </c>
      <c r="AN683" t="str">
        <f t="shared" si="131"/>
        <v>Tables</v>
      </c>
      <c r="AO683" t="str">
        <f t="shared" si="142"/>
        <v>Second Class</v>
      </c>
      <c r="AP683" t="str">
        <f t="shared" si="143"/>
        <v>Paid</v>
      </c>
      <c r="AQ683" t="str">
        <f t="shared" si="143"/>
        <v>Cancelled</v>
      </c>
    </row>
    <row r="684" spans="1:43">
      <c r="A684" t="s">
        <v>2414</v>
      </c>
      <c r="B684" s="3">
        <v>45693</v>
      </c>
      <c r="C684" s="3">
        <v>45779</v>
      </c>
      <c r="D684" t="s">
        <v>2415</v>
      </c>
      <c r="E684" t="s">
        <v>2416</v>
      </c>
      <c r="F684" t="s">
        <v>177</v>
      </c>
      <c r="G684" t="s">
        <v>110</v>
      </c>
      <c r="H684" t="s">
        <v>344</v>
      </c>
      <c r="I684" t="s">
        <v>345</v>
      </c>
      <c r="J684" t="s">
        <v>113</v>
      </c>
      <c r="K684" t="s">
        <v>213</v>
      </c>
      <c r="L684" t="s">
        <v>2417</v>
      </c>
      <c r="M684" t="s">
        <v>129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117</v>
      </c>
      <c r="U684" t="s">
        <v>118</v>
      </c>
      <c r="V684" s="2">
        <f t="shared" si="133"/>
        <v>0</v>
      </c>
      <c r="W684" s="2">
        <f t="shared" si="134"/>
        <v>7772.34</v>
      </c>
      <c r="X684" s="2">
        <f>W684-R684</f>
        <v>3658.6800000000003</v>
      </c>
      <c r="Y684" s="2">
        <f t="shared" si="135"/>
        <v>0.47073082237781677</v>
      </c>
      <c r="Z684" s="2">
        <f t="shared" si="136"/>
        <v>86</v>
      </c>
      <c r="AA684" s="2">
        <f t="shared" si="137"/>
        <v>2</v>
      </c>
      <c r="AB684" s="2">
        <f t="shared" si="138"/>
        <v>2025</v>
      </c>
      <c r="AC684" s="2" t="str">
        <f t="shared" si="139"/>
        <v>Valid</v>
      </c>
      <c r="AD684" s="2">
        <f t="shared" si="140"/>
        <v>1</v>
      </c>
      <c r="AE684" s="2">
        <f t="shared" si="141"/>
        <v>1</v>
      </c>
      <c r="AH684" t="str">
        <f t="shared" si="132"/>
        <v>Ananya Rao</v>
      </c>
      <c r="AI684" t="str">
        <f t="shared" si="132"/>
        <v>Corporate</v>
      </c>
      <c r="AJ684" t="str">
        <f t="shared" si="132"/>
        <v>North</v>
      </c>
      <c r="AK684" t="str">
        <f t="shared" si="132"/>
        <v>Haryana</v>
      </c>
      <c r="AL684" t="str">
        <f t="shared" si="131"/>
        <v>Gurugram</v>
      </c>
      <c r="AM684" t="str">
        <f t="shared" si="131"/>
        <v>Office Supplies</v>
      </c>
      <c r="AN684" t="str">
        <f t="shared" si="131"/>
        <v>Storage</v>
      </c>
      <c r="AO684" t="str">
        <f t="shared" si="142"/>
        <v>Same Day</v>
      </c>
      <c r="AP684" t="str">
        <f t="shared" si="143"/>
        <v>Paid</v>
      </c>
      <c r="AQ684" t="str">
        <f t="shared" si="143"/>
        <v>Completed</v>
      </c>
    </row>
    <row r="685" spans="1:43">
      <c r="A685" t="s">
        <v>2418</v>
      </c>
      <c r="B685" s="3">
        <v>45858</v>
      </c>
      <c r="C685" s="3" t="s">
        <v>1322</v>
      </c>
      <c r="D685" t="s">
        <v>2419</v>
      </c>
      <c r="E685" t="s">
        <v>139</v>
      </c>
      <c r="F685" t="s">
        <v>122</v>
      </c>
      <c r="G685" t="s">
        <v>140</v>
      </c>
      <c r="H685" t="s">
        <v>141</v>
      </c>
      <c r="I685" t="s">
        <v>142</v>
      </c>
      <c r="J685" t="s">
        <v>126</v>
      </c>
      <c r="K685" t="s">
        <v>143</v>
      </c>
      <c r="L685" t="s">
        <v>2420</v>
      </c>
      <c r="M685" t="s">
        <v>116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189</v>
      </c>
      <c r="U685" t="s">
        <v>44</v>
      </c>
      <c r="V685" s="2">
        <f t="shared" si="133"/>
        <v>0.2</v>
      </c>
      <c r="W685" s="2">
        <f t="shared" si="134"/>
        <v>7902.9600000000009</v>
      </c>
      <c r="X685" s="2">
        <f>W685-R685</f>
        <v>2390.9300000000012</v>
      </c>
      <c r="Y685" s="2">
        <f t="shared" si="135"/>
        <v>0.30253601182341816</v>
      </c>
      <c r="Z685" s="2" t="str">
        <f t="shared" si="136"/>
        <v/>
      </c>
      <c r="AA685" s="2">
        <f t="shared" si="137"/>
        <v>7</v>
      </c>
      <c r="AB685" s="2">
        <f t="shared" si="138"/>
        <v>2025</v>
      </c>
      <c r="AC685" s="2" t="str">
        <f t="shared" si="139"/>
        <v>Text Value Not Recognized as Date</v>
      </c>
      <c r="AD685" s="2">
        <f t="shared" si="140"/>
        <v>0</v>
      </c>
      <c r="AE685" s="2">
        <f t="shared" si="141"/>
        <v>0</v>
      </c>
      <c r="AH685" t="str">
        <f t="shared" si="132"/>
        <v>Arjun Bose</v>
      </c>
      <c r="AI685" t="str">
        <f t="shared" si="132"/>
        <v>Small Business</v>
      </c>
      <c r="AJ685" t="str">
        <f t="shared" si="132"/>
        <v>South</v>
      </c>
      <c r="AK685" t="str">
        <f t="shared" si="132"/>
        <v>Telangana</v>
      </c>
      <c r="AL685" t="str">
        <f t="shared" si="131"/>
        <v>Hyderabad</v>
      </c>
      <c r="AM685" t="str">
        <f t="shared" si="131"/>
        <v>Furniture</v>
      </c>
      <c r="AN685" t="str">
        <f t="shared" si="131"/>
        <v>Furnishings</v>
      </c>
      <c r="AO685" t="str">
        <f t="shared" si="142"/>
        <v>Second Class</v>
      </c>
      <c r="AP685" t="str">
        <f t="shared" si="143"/>
        <v>Refunded</v>
      </c>
      <c r="AQ685" t="str">
        <f t="shared" si="143"/>
        <v>Cancelled</v>
      </c>
    </row>
    <row r="686" spans="1:43">
      <c r="A686" t="s">
        <v>2421</v>
      </c>
      <c r="B686" s="3">
        <v>45859</v>
      </c>
      <c r="C686" s="3" t="s">
        <v>457</v>
      </c>
      <c r="D686" t="s">
        <v>2422</v>
      </c>
      <c r="E686" t="s">
        <v>132</v>
      </c>
      <c r="F686" t="s">
        <v>182</v>
      </c>
      <c r="G686" t="s">
        <v>140</v>
      </c>
      <c r="H686" t="s">
        <v>357</v>
      </c>
      <c r="I686" t="s">
        <v>358</v>
      </c>
      <c r="J686" t="s">
        <v>126</v>
      </c>
      <c r="K686" t="s">
        <v>252</v>
      </c>
      <c r="L686" t="s">
        <v>2423</v>
      </c>
      <c r="M686" t="s">
        <v>135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189</v>
      </c>
      <c r="U686" t="s">
        <v>44</v>
      </c>
      <c r="V686" s="2">
        <f t="shared" si="133"/>
        <v>0.2</v>
      </c>
      <c r="W686" s="2">
        <f t="shared" si="134"/>
        <v>24621.239999999998</v>
      </c>
      <c r="X686" s="2">
        <f>W686-R686</f>
        <v>7465.7599999999984</v>
      </c>
      <c r="Y686" s="2">
        <f t="shared" si="135"/>
        <v>0.3032243705028666</v>
      </c>
      <c r="Z686" s="2" t="str">
        <f t="shared" si="136"/>
        <v/>
      </c>
      <c r="AA686" s="2">
        <f t="shared" si="137"/>
        <v>7</v>
      </c>
      <c r="AB686" s="2">
        <f t="shared" si="138"/>
        <v>2025</v>
      </c>
      <c r="AC686" s="2" t="str">
        <f t="shared" si="139"/>
        <v>Text Value Not Recognized as Date</v>
      </c>
      <c r="AD686" s="2">
        <f t="shared" si="140"/>
        <v>0</v>
      </c>
      <c r="AE686" s="2">
        <f t="shared" si="141"/>
        <v>0</v>
      </c>
      <c r="AH686" t="str">
        <f t="shared" si="132"/>
        <v>Isha Nair</v>
      </c>
      <c r="AI686" t="str">
        <f t="shared" si="132"/>
        <v>Home Office</v>
      </c>
      <c r="AJ686" t="str">
        <f t="shared" si="132"/>
        <v>South</v>
      </c>
      <c r="AK686" t="str">
        <f t="shared" si="132"/>
        <v>Tamil Nadu</v>
      </c>
      <c r="AL686" t="str">
        <f t="shared" si="131"/>
        <v>Chennai</v>
      </c>
      <c r="AM686" t="str">
        <f t="shared" si="131"/>
        <v>Furniture</v>
      </c>
      <c r="AN686" t="str">
        <f t="shared" si="131"/>
        <v>Bookcases</v>
      </c>
      <c r="AO686" t="str">
        <f t="shared" si="142"/>
        <v>First Class</v>
      </c>
      <c r="AP686" t="str">
        <f t="shared" si="143"/>
        <v>Refunded</v>
      </c>
      <c r="AQ686" t="str">
        <f t="shared" si="143"/>
        <v>Cancelled</v>
      </c>
    </row>
    <row r="687" spans="1:43">
      <c r="A687" t="s">
        <v>2424</v>
      </c>
      <c r="B687" s="3">
        <v>45931</v>
      </c>
      <c r="C687" s="3">
        <v>45933</v>
      </c>
      <c r="D687" t="s">
        <v>2057</v>
      </c>
      <c r="E687" t="s">
        <v>165</v>
      </c>
      <c r="F687" t="s">
        <v>177</v>
      </c>
      <c r="G687" t="s">
        <v>149</v>
      </c>
      <c r="H687" t="s">
        <v>287</v>
      </c>
      <c r="I687" t="s">
        <v>288</v>
      </c>
      <c r="J687" t="s">
        <v>113</v>
      </c>
      <c r="K687" t="s">
        <v>133</v>
      </c>
      <c r="L687" t="s">
        <v>2425</v>
      </c>
      <c r="M687" t="s">
        <v>145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248</v>
      </c>
      <c r="U687" t="s">
        <v>44</v>
      </c>
      <c r="V687" s="2">
        <f t="shared" si="133"/>
        <v>0.55000000000000004</v>
      </c>
      <c r="W687" s="2">
        <f t="shared" si="134"/>
        <v>3313.5074999999993</v>
      </c>
      <c r="X687" s="2">
        <f>W687-R687</f>
        <v>-2293.2825000000007</v>
      </c>
      <c r="Y687" s="2">
        <f t="shared" si="135"/>
        <v>-0.69210119488185895</v>
      </c>
      <c r="Z687" s="2">
        <f t="shared" si="136"/>
        <v>2</v>
      </c>
      <c r="AA687" s="2">
        <f t="shared" si="137"/>
        <v>10</v>
      </c>
      <c r="AB687" s="2">
        <f t="shared" si="138"/>
        <v>2025</v>
      </c>
      <c r="AC687" s="2" t="str">
        <f t="shared" si="139"/>
        <v>Valid</v>
      </c>
      <c r="AD687" s="2">
        <f t="shared" si="140"/>
        <v>1</v>
      </c>
      <c r="AE687" s="2">
        <f t="shared" si="141"/>
        <v>1</v>
      </c>
      <c r="AH687" t="str">
        <f t="shared" si="132"/>
        <v>Neha Gupta</v>
      </c>
      <c r="AI687" t="str">
        <f t="shared" si="132"/>
        <v>Corporate</v>
      </c>
      <c r="AJ687" t="str">
        <f t="shared" si="132"/>
        <v>West</v>
      </c>
      <c r="AK687" t="str">
        <f t="shared" si="132"/>
        <v>Goa</v>
      </c>
      <c r="AL687" t="str">
        <f t="shared" si="131"/>
        <v>Panaji</v>
      </c>
      <c r="AM687" t="str">
        <f t="shared" si="131"/>
        <v>Office Supplies</v>
      </c>
      <c r="AN687" t="str">
        <f t="shared" si="131"/>
        <v>Art</v>
      </c>
      <c r="AO687" t="str">
        <f t="shared" si="142"/>
        <v>Standard Class</v>
      </c>
      <c r="AP687" t="str">
        <f t="shared" si="143"/>
        <v>Failed</v>
      </c>
      <c r="AQ687" t="str">
        <f t="shared" si="143"/>
        <v>Cancelled</v>
      </c>
    </row>
    <row r="688" spans="1:43">
      <c r="A688" t="s">
        <v>2426</v>
      </c>
      <c r="B688" s="3" t="s">
        <v>2427</v>
      </c>
      <c r="C688" s="3">
        <v>45384</v>
      </c>
      <c r="D688" t="s">
        <v>2428</v>
      </c>
      <c r="E688" t="s">
        <v>222</v>
      </c>
      <c r="F688" t="s">
        <v>182</v>
      </c>
      <c r="G688" t="s">
        <v>140</v>
      </c>
      <c r="H688" t="s">
        <v>357</v>
      </c>
      <c r="I688" t="s">
        <v>358</v>
      </c>
      <c r="J688" t="s">
        <v>160</v>
      </c>
      <c r="K688" t="s">
        <v>166</v>
      </c>
      <c r="L688" t="s">
        <v>2429</v>
      </c>
      <c r="M688" t="s">
        <v>145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117</v>
      </c>
      <c r="U688" t="s">
        <v>118</v>
      </c>
      <c r="V688" s="2">
        <f t="shared" si="133"/>
        <v>0</v>
      </c>
      <c r="W688" s="2">
        <f t="shared" si="134"/>
        <v>4698.26</v>
      </c>
      <c r="X688" s="2">
        <f>W688-R688</f>
        <v>2043.3400000000001</v>
      </c>
      <c r="Y688" s="2">
        <f t="shared" si="135"/>
        <v>0.43491420227914163</v>
      </c>
      <c r="Z688" s="2" t="str">
        <f t="shared" si="136"/>
        <v/>
      </c>
      <c r="AA688" s="2" t="e">
        <f t="shared" si="137"/>
        <v>#VALUE!</v>
      </c>
      <c r="AB688" s="2" t="e">
        <f t="shared" si="138"/>
        <v>#VALUE!</v>
      </c>
      <c r="AC688" s="2" t="str">
        <f t="shared" si="139"/>
        <v>Text Value Not Recognized as Date</v>
      </c>
      <c r="AD688" s="2">
        <f t="shared" si="140"/>
        <v>0</v>
      </c>
      <c r="AE688" s="2">
        <f t="shared" si="141"/>
        <v>0</v>
      </c>
      <c r="AH688" t="str">
        <f t="shared" si="132"/>
        <v>Sneha Kapoor</v>
      </c>
      <c r="AI688" t="str">
        <f t="shared" si="132"/>
        <v>Home Office</v>
      </c>
      <c r="AJ688" t="str">
        <f t="shared" si="132"/>
        <v>South</v>
      </c>
      <c r="AK688" t="str">
        <f t="shared" si="132"/>
        <v>Tamil Nadu</v>
      </c>
      <c r="AL688" t="str">
        <f t="shared" si="131"/>
        <v>Chennai</v>
      </c>
      <c r="AM688" t="str">
        <f t="shared" si="131"/>
        <v>Technology</v>
      </c>
      <c r="AN688" t="str">
        <f t="shared" si="131"/>
        <v>Copiers</v>
      </c>
      <c r="AO688" t="str">
        <f t="shared" si="142"/>
        <v>Standard Class</v>
      </c>
      <c r="AP688" t="str">
        <f t="shared" si="143"/>
        <v>Paid</v>
      </c>
      <c r="AQ688" t="str">
        <f t="shared" si="143"/>
        <v>Completed</v>
      </c>
    </row>
    <row r="689" spans="1:43">
      <c r="A689" t="s">
        <v>2430</v>
      </c>
      <c r="B689" s="3">
        <v>45938</v>
      </c>
      <c r="C689" s="3" t="s">
        <v>2431</v>
      </c>
      <c r="D689" t="s">
        <v>2432</v>
      </c>
      <c r="E689" t="s">
        <v>121</v>
      </c>
      <c r="F689" t="s">
        <v>182</v>
      </c>
      <c r="G689" t="s">
        <v>110</v>
      </c>
      <c r="H689" t="s">
        <v>211</v>
      </c>
      <c r="I689" t="s">
        <v>212</v>
      </c>
      <c r="J689" t="s">
        <v>126</v>
      </c>
      <c r="K689" t="s">
        <v>127</v>
      </c>
      <c r="L689" t="s">
        <v>2433</v>
      </c>
      <c r="M689" t="s">
        <v>135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248</v>
      </c>
      <c r="U689" t="s">
        <v>44</v>
      </c>
      <c r="V689" s="2">
        <f t="shared" si="133"/>
        <v>0</v>
      </c>
      <c r="W689" s="2">
        <f t="shared" si="134"/>
        <v>688.2</v>
      </c>
      <c r="X689" s="2">
        <f>W689-R689</f>
        <v>190.52000000000004</v>
      </c>
      <c r="Y689" s="2">
        <f t="shared" si="135"/>
        <v>0.27683812845103173</v>
      </c>
      <c r="Z689" s="2" t="str">
        <f t="shared" si="136"/>
        <v/>
      </c>
      <c r="AA689" s="2">
        <f t="shared" si="137"/>
        <v>10</v>
      </c>
      <c r="AB689" s="2">
        <f t="shared" si="138"/>
        <v>2025</v>
      </c>
      <c r="AC689" s="2" t="str">
        <f t="shared" si="139"/>
        <v>Text Value Not Recognized as Date</v>
      </c>
      <c r="AD689" s="2">
        <f t="shared" si="140"/>
        <v>0</v>
      </c>
      <c r="AE689" s="2">
        <f t="shared" si="141"/>
        <v>0</v>
      </c>
      <c r="AH689" t="str">
        <f t="shared" si="132"/>
        <v>Mira Das</v>
      </c>
      <c r="AI689" t="str">
        <f t="shared" si="132"/>
        <v>Home Office</v>
      </c>
      <c r="AJ689" t="str">
        <f t="shared" si="132"/>
        <v>North</v>
      </c>
      <c r="AK689" t="str">
        <f t="shared" si="132"/>
        <v>Punjab</v>
      </c>
      <c r="AL689" t="str">
        <f t="shared" si="131"/>
        <v>Ludhiana</v>
      </c>
      <c r="AM689" t="str">
        <f t="shared" si="131"/>
        <v>Furniture</v>
      </c>
      <c r="AN689" t="str">
        <f t="shared" si="131"/>
        <v>Tables</v>
      </c>
      <c r="AO689" t="str">
        <f t="shared" si="142"/>
        <v>First Class</v>
      </c>
      <c r="AP689" t="str">
        <f t="shared" si="143"/>
        <v>Failed</v>
      </c>
      <c r="AQ689" t="str">
        <f t="shared" si="143"/>
        <v>Cancelled</v>
      </c>
    </row>
    <row r="690" spans="1:43">
      <c r="A690" t="s">
        <v>2434</v>
      </c>
      <c r="B690" s="3">
        <v>45714</v>
      </c>
      <c r="C690" s="3">
        <v>45715</v>
      </c>
      <c r="D690" t="s">
        <v>2435</v>
      </c>
      <c r="E690" t="s">
        <v>165</v>
      </c>
      <c r="F690" t="s">
        <v>182</v>
      </c>
      <c r="G690" t="s">
        <v>110</v>
      </c>
      <c r="H690" t="s">
        <v>344</v>
      </c>
      <c r="I690" t="s">
        <v>345</v>
      </c>
      <c r="J690" t="s">
        <v>113</v>
      </c>
      <c r="K690" t="s">
        <v>133</v>
      </c>
      <c r="L690" t="s">
        <v>2436</v>
      </c>
      <c r="M690" t="s">
        <v>116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117</v>
      </c>
      <c r="U690" t="s">
        <v>118</v>
      </c>
      <c r="V690" s="2">
        <f t="shared" si="133"/>
        <v>0.15</v>
      </c>
      <c r="W690" s="2">
        <f t="shared" si="134"/>
        <v>15492.065999999999</v>
      </c>
      <c r="X690" s="2">
        <f>W690-R690</f>
        <v>2910.8359999999993</v>
      </c>
      <c r="Y690" s="2">
        <f t="shared" si="135"/>
        <v>0.18789204745190213</v>
      </c>
      <c r="Z690" s="2">
        <f t="shared" si="136"/>
        <v>1</v>
      </c>
      <c r="AA690" s="2">
        <f t="shared" si="137"/>
        <v>2</v>
      </c>
      <c r="AB690" s="2">
        <f t="shared" si="138"/>
        <v>2025</v>
      </c>
      <c r="AC690" s="2" t="str">
        <f t="shared" si="139"/>
        <v>Valid</v>
      </c>
      <c r="AD690" s="2">
        <f t="shared" si="140"/>
        <v>0</v>
      </c>
      <c r="AE690" s="2">
        <f t="shared" si="141"/>
        <v>0</v>
      </c>
      <c r="AH690" t="str">
        <f t="shared" si="132"/>
        <v>Neha Gupta</v>
      </c>
      <c r="AI690" t="str">
        <f t="shared" si="132"/>
        <v>Home Office</v>
      </c>
      <c r="AJ690" t="str">
        <f t="shared" si="132"/>
        <v>North</v>
      </c>
      <c r="AK690" t="str">
        <f t="shared" si="132"/>
        <v>Haryana</v>
      </c>
      <c r="AL690" t="str">
        <f t="shared" si="131"/>
        <v>Gurugram</v>
      </c>
      <c r="AM690" t="str">
        <f t="shared" si="131"/>
        <v>Office Supplies</v>
      </c>
      <c r="AN690" t="str">
        <f t="shared" si="131"/>
        <v>Art</v>
      </c>
      <c r="AO690" t="str">
        <f t="shared" si="142"/>
        <v>Second Class</v>
      </c>
      <c r="AP690" t="str">
        <f t="shared" si="143"/>
        <v>Paid</v>
      </c>
      <c r="AQ690" t="str">
        <f t="shared" si="143"/>
        <v>Completed</v>
      </c>
    </row>
    <row r="691" spans="1:43">
      <c r="A691" t="s">
        <v>2437</v>
      </c>
      <c r="B691" s="3">
        <v>45422</v>
      </c>
      <c r="C691" s="3">
        <v>45571</v>
      </c>
      <c r="D691" t="s">
        <v>2438</v>
      </c>
      <c r="E691" t="s">
        <v>232</v>
      </c>
      <c r="F691" t="s">
        <v>122</v>
      </c>
      <c r="G691" t="s">
        <v>110</v>
      </c>
      <c r="H691" t="s">
        <v>211</v>
      </c>
      <c r="I691" t="s">
        <v>212</v>
      </c>
      <c r="J691" t="s">
        <v>126</v>
      </c>
      <c r="K691" t="s">
        <v>127</v>
      </c>
      <c r="L691" t="s">
        <v>2439</v>
      </c>
      <c r="M691" t="s">
        <v>145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248</v>
      </c>
      <c r="U691" t="s">
        <v>44</v>
      </c>
      <c r="V691" s="2">
        <f t="shared" si="133"/>
        <v>0.15</v>
      </c>
      <c r="W691" s="2">
        <f t="shared" si="134"/>
        <v>3745.2870000000003</v>
      </c>
      <c r="X691" s="2">
        <f>W691-R691</f>
        <v>1442.6370000000002</v>
      </c>
      <c r="Y691" s="2">
        <f t="shared" si="135"/>
        <v>0.38518730340291679</v>
      </c>
      <c r="Z691" s="2">
        <f t="shared" si="136"/>
        <v>149</v>
      </c>
      <c r="AA691" s="2">
        <f t="shared" si="137"/>
        <v>5</v>
      </c>
      <c r="AB691" s="2">
        <f t="shared" si="138"/>
        <v>2024</v>
      </c>
      <c r="AC691" s="2" t="str">
        <f t="shared" si="139"/>
        <v>Valid</v>
      </c>
      <c r="AD691" s="2">
        <f t="shared" si="140"/>
        <v>0</v>
      </c>
      <c r="AE691" s="2">
        <f t="shared" si="141"/>
        <v>0</v>
      </c>
      <c r="AH691" t="str">
        <f t="shared" si="132"/>
        <v>Rohan Mehta</v>
      </c>
      <c r="AI691" t="str">
        <f t="shared" si="132"/>
        <v>Small Business</v>
      </c>
      <c r="AJ691" t="str">
        <f t="shared" si="132"/>
        <v>North</v>
      </c>
      <c r="AK691" t="str">
        <f t="shared" si="132"/>
        <v>Punjab</v>
      </c>
      <c r="AL691" t="str">
        <f t="shared" si="131"/>
        <v>Ludhiana</v>
      </c>
      <c r="AM691" t="str">
        <f t="shared" si="131"/>
        <v>Furniture</v>
      </c>
      <c r="AN691" t="str">
        <f t="shared" si="131"/>
        <v>Tables</v>
      </c>
      <c r="AO691" t="str">
        <f t="shared" si="142"/>
        <v>Standard Class</v>
      </c>
      <c r="AP691" t="str">
        <f t="shared" si="143"/>
        <v>Failed</v>
      </c>
      <c r="AQ691" t="str">
        <f t="shared" si="143"/>
        <v>Cancelled</v>
      </c>
    </row>
    <row r="692" spans="1:43">
      <c r="A692" t="s">
        <v>2440</v>
      </c>
      <c r="B692" s="3">
        <v>45546</v>
      </c>
      <c r="C692" s="3">
        <v>45550</v>
      </c>
      <c r="D692" t="s">
        <v>2441</v>
      </c>
      <c r="E692" t="s">
        <v>222</v>
      </c>
      <c r="F692" t="s">
        <v>177</v>
      </c>
      <c r="G692" t="s">
        <v>140</v>
      </c>
      <c r="H692" t="s">
        <v>357</v>
      </c>
      <c r="I692" t="s">
        <v>358</v>
      </c>
      <c r="J692" t="s">
        <v>113</v>
      </c>
      <c r="K692" t="s">
        <v>133</v>
      </c>
      <c r="L692" t="s">
        <v>2442</v>
      </c>
      <c r="M692" t="s">
        <v>145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248</v>
      </c>
      <c r="U692" t="s">
        <v>190</v>
      </c>
      <c r="V692" s="2">
        <f t="shared" si="133"/>
        <v>0</v>
      </c>
      <c r="W692" s="2">
        <f t="shared" si="134"/>
        <v>3462.52</v>
      </c>
      <c r="X692" s="2">
        <f>W692-R692</f>
        <v>665.23</v>
      </c>
      <c r="Y692" s="2">
        <f t="shared" si="135"/>
        <v>0.19212307798944123</v>
      </c>
      <c r="Z692" s="2">
        <f t="shared" si="136"/>
        <v>4</v>
      </c>
      <c r="AA692" s="2">
        <f t="shared" si="137"/>
        <v>9</v>
      </c>
      <c r="AB692" s="2">
        <f t="shared" si="138"/>
        <v>2024</v>
      </c>
      <c r="AC692" s="2" t="str">
        <f t="shared" si="139"/>
        <v>Valid</v>
      </c>
      <c r="AD692" s="2">
        <f t="shared" si="140"/>
        <v>0</v>
      </c>
      <c r="AE692" s="2">
        <f t="shared" si="141"/>
        <v>0</v>
      </c>
      <c r="AH692" t="str">
        <f t="shared" si="132"/>
        <v>Sneha Kapoor</v>
      </c>
      <c r="AI692" t="str">
        <f t="shared" si="132"/>
        <v>Corporate</v>
      </c>
      <c r="AJ692" t="str">
        <f t="shared" si="132"/>
        <v>South</v>
      </c>
      <c r="AK692" t="str">
        <f t="shared" si="132"/>
        <v>Tamil Nadu</v>
      </c>
      <c r="AL692" t="str">
        <f t="shared" si="131"/>
        <v>Chennai</v>
      </c>
      <c r="AM692" t="str">
        <f t="shared" si="131"/>
        <v>Office Supplies</v>
      </c>
      <c r="AN692" t="str">
        <f t="shared" si="131"/>
        <v>Art</v>
      </c>
      <c r="AO692" t="str">
        <f t="shared" si="142"/>
        <v>Standard Class</v>
      </c>
      <c r="AP692" t="str">
        <f t="shared" si="143"/>
        <v>Failed</v>
      </c>
      <c r="AQ692" t="str">
        <f t="shared" si="143"/>
        <v>Returned</v>
      </c>
    </row>
    <row r="693" spans="1:43">
      <c r="A693" t="s">
        <v>2443</v>
      </c>
      <c r="B693" s="3" t="s">
        <v>1861</v>
      </c>
      <c r="C693" s="3" t="s">
        <v>2444</v>
      </c>
      <c r="D693" t="s">
        <v>2445</v>
      </c>
      <c r="E693" t="s">
        <v>232</v>
      </c>
      <c r="F693" t="s">
        <v>109</v>
      </c>
      <c r="G693" t="s">
        <v>123</v>
      </c>
      <c r="H693" t="s">
        <v>124</v>
      </c>
      <c r="I693" t="s">
        <v>125</v>
      </c>
      <c r="J693" t="s">
        <v>160</v>
      </c>
      <c r="K693" t="s">
        <v>166</v>
      </c>
      <c r="L693" t="s">
        <v>2446</v>
      </c>
      <c r="M693" t="s">
        <v>116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117</v>
      </c>
      <c r="U693" t="s">
        <v>118</v>
      </c>
      <c r="V693" s="2">
        <f t="shared" si="133"/>
        <v>0.05</v>
      </c>
      <c r="W693" s="2">
        <f t="shared" si="134"/>
        <v>8767.1699999999983</v>
      </c>
      <c r="X693" s="2">
        <f>W693-R693</f>
        <v>3668.9699999999984</v>
      </c>
      <c r="Y693" s="2">
        <f t="shared" si="135"/>
        <v>0.41848966085977563</v>
      </c>
      <c r="Z693" s="2" t="str">
        <f t="shared" si="136"/>
        <v/>
      </c>
      <c r="AA693" s="2" t="e">
        <f t="shared" si="137"/>
        <v>#VALUE!</v>
      </c>
      <c r="AB693" s="2" t="e">
        <f t="shared" si="138"/>
        <v>#VALUE!</v>
      </c>
      <c r="AC693" s="2" t="str">
        <f t="shared" si="139"/>
        <v>Text Value Not Recognized as Date</v>
      </c>
      <c r="AD693" s="2">
        <f t="shared" si="140"/>
        <v>0</v>
      </c>
      <c r="AE693" s="2">
        <f t="shared" si="141"/>
        <v>0</v>
      </c>
      <c r="AH693" t="str">
        <f t="shared" si="132"/>
        <v>Rohan Mehta</v>
      </c>
      <c r="AI693" t="str">
        <f t="shared" si="132"/>
        <v>Consumer</v>
      </c>
      <c r="AJ693" t="str">
        <f t="shared" si="132"/>
        <v>East</v>
      </c>
      <c r="AK693" t="str">
        <f t="shared" si="132"/>
        <v>Odisha</v>
      </c>
      <c r="AL693" t="str">
        <f t="shared" si="131"/>
        <v>Bhubaneswar</v>
      </c>
      <c r="AM693" t="str">
        <f t="shared" si="131"/>
        <v>Technology</v>
      </c>
      <c r="AN693" t="str">
        <f t="shared" si="131"/>
        <v>Copiers</v>
      </c>
      <c r="AO693" t="str">
        <f t="shared" si="142"/>
        <v>Second Class</v>
      </c>
      <c r="AP693" t="str">
        <f t="shared" si="143"/>
        <v>Paid</v>
      </c>
      <c r="AQ693" t="str">
        <f t="shared" si="143"/>
        <v>Completed</v>
      </c>
    </row>
    <row r="694" spans="1:43">
      <c r="A694" t="s">
        <v>2447</v>
      </c>
      <c r="B694" s="3">
        <v>45787</v>
      </c>
      <c r="C694" s="3">
        <v>45940</v>
      </c>
      <c r="D694" t="s">
        <v>2448</v>
      </c>
      <c r="E694" t="s">
        <v>132</v>
      </c>
      <c r="F694" t="s">
        <v>1364</v>
      </c>
      <c r="G694" t="s">
        <v>140</v>
      </c>
      <c r="H694" t="s">
        <v>270</v>
      </c>
      <c r="I694" t="s">
        <v>271</v>
      </c>
      <c r="J694" t="s">
        <v>126</v>
      </c>
      <c r="K694" t="s">
        <v>143</v>
      </c>
      <c r="L694" t="s">
        <v>2449</v>
      </c>
      <c r="M694" t="s">
        <v>116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117</v>
      </c>
      <c r="U694" t="s">
        <v>118</v>
      </c>
      <c r="V694" s="2">
        <f t="shared" si="133"/>
        <v>0.1</v>
      </c>
      <c r="W694" s="2">
        <f t="shared" si="134"/>
        <v>8516.4480000000003</v>
      </c>
      <c r="X694" s="2">
        <f>W694-R694</f>
        <v>2612.6379999999999</v>
      </c>
      <c r="Y694" s="2">
        <f t="shared" si="135"/>
        <v>0.30677554774009069</v>
      </c>
      <c r="Z694" s="2">
        <f t="shared" si="136"/>
        <v>153</v>
      </c>
      <c r="AA694" s="2">
        <f t="shared" si="137"/>
        <v>5</v>
      </c>
      <c r="AB694" s="2">
        <f t="shared" si="138"/>
        <v>2025</v>
      </c>
      <c r="AC694" s="2" t="str">
        <f t="shared" si="139"/>
        <v>Valid</v>
      </c>
      <c r="AD694" s="2">
        <f t="shared" si="140"/>
        <v>0</v>
      </c>
      <c r="AE694" s="2">
        <f t="shared" si="141"/>
        <v>0</v>
      </c>
      <c r="AH694" t="str">
        <f t="shared" si="132"/>
        <v>Isha Nair</v>
      </c>
      <c r="AI694" t="str">
        <f t="shared" si="132"/>
        <v>Corporate</v>
      </c>
      <c r="AJ694" t="str">
        <f t="shared" si="132"/>
        <v>South</v>
      </c>
      <c r="AK694" t="str">
        <f t="shared" si="132"/>
        <v>Karnataka</v>
      </c>
      <c r="AL694" t="str">
        <f t="shared" si="131"/>
        <v>Bengaluru</v>
      </c>
      <c r="AM694" t="str">
        <f t="shared" si="131"/>
        <v>Furniture</v>
      </c>
      <c r="AN694" t="str">
        <f t="shared" si="131"/>
        <v>Furnishings</v>
      </c>
      <c r="AO694" t="str">
        <f t="shared" si="142"/>
        <v>Second Class</v>
      </c>
      <c r="AP694" t="str">
        <f t="shared" si="143"/>
        <v>Paid</v>
      </c>
      <c r="AQ694" t="str">
        <f t="shared" si="143"/>
        <v>Completed</v>
      </c>
    </row>
    <row r="695" spans="1:43">
      <c r="A695" t="s">
        <v>2450</v>
      </c>
      <c r="B695" s="3">
        <v>45720</v>
      </c>
      <c r="C695" s="3">
        <v>45758</v>
      </c>
      <c r="D695" t="s">
        <v>2451</v>
      </c>
      <c r="E695" t="s">
        <v>139</v>
      </c>
      <c r="F695" t="s">
        <v>109</v>
      </c>
      <c r="G695" t="s">
        <v>140</v>
      </c>
      <c r="H695" t="s">
        <v>357</v>
      </c>
      <c r="I695" t="s">
        <v>358</v>
      </c>
      <c r="J695" t="s">
        <v>126</v>
      </c>
      <c r="K695" t="s">
        <v>252</v>
      </c>
      <c r="L695" t="s">
        <v>2452</v>
      </c>
      <c r="M695" t="s">
        <v>116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117</v>
      </c>
      <c r="U695" t="s">
        <v>118</v>
      </c>
      <c r="V695" s="2">
        <f t="shared" si="133"/>
        <v>0.05</v>
      </c>
      <c r="W695" s="2">
        <f t="shared" si="134"/>
        <v>11826.844500000001</v>
      </c>
      <c r="X695" s="2">
        <f>W695-R695</f>
        <v>3790.884500000001</v>
      </c>
      <c r="Y695" s="2">
        <f t="shared" si="135"/>
        <v>0.32053220112938835</v>
      </c>
      <c r="Z695" s="2">
        <f t="shared" si="136"/>
        <v>38</v>
      </c>
      <c r="AA695" s="2">
        <f t="shared" si="137"/>
        <v>3</v>
      </c>
      <c r="AB695" s="2">
        <f t="shared" si="138"/>
        <v>2025</v>
      </c>
      <c r="AC695" s="2" t="str">
        <f t="shared" si="139"/>
        <v>Valid</v>
      </c>
      <c r="AD695" s="2">
        <f t="shared" si="140"/>
        <v>0</v>
      </c>
      <c r="AE695" s="2">
        <f t="shared" si="141"/>
        <v>0</v>
      </c>
      <c r="AH695" t="str">
        <f t="shared" si="132"/>
        <v>Arjun Bose</v>
      </c>
      <c r="AI695" t="str">
        <f t="shared" si="132"/>
        <v>Consumer</v>
      </c>
      <c r="AJ695" t="str">
        <f t="shared" si="132"/>
        <v>South</v>
      </c>
      <c r="AK695" t="str">
        <f t="shared" si="132"/>
        <v>Tamil Nadu</v>
      </c>
      <c r="AL695" t="str">
        <f t="shared" si="131"/>
        <v>Chennai</v>
      </c>
      <c r="AM695" t="str">
        <f t="shared" si="131"/>
        <v>Furniture</v>
      </c>
      <c r="AN695" t="str">
        <f t="shared" si="131"/>
        <v>Bookcases</v>
      </c>
      <c r="AO695" t="str">
        <f t="shared" si="142"/>
        <v>Second Class</v>
      </c>
      <c r="AP695" t="str">
        <f t="shared" si="143"/>
        <v>Paid</v>
      </c>
      <c r="AQ695" t="str">
        <f t="shared" si="143"/>
        <v>Completed</v>
      </c>
    </row>
    <row r="696" spans="1:43">
      <c r="A696" t="s">
        <v>2453</v>
      </c>
      <c r="B696" s="3">
        <v>45665</v>
      </c>
      <c r="C696" s="3">
        <v>45908</v>
      </c>
      <c r="D696" t="s">
        <v>1329</v>
      </c>
      <c r="E696" t="s">
        <v>132</v>
      </c>
      <c r="F696" t="s">
        <v>109</v>
      </c>
      <c r="G696" t="s">
        <v>140</v>
      </c>
      <c r="H696" t="s">
        <v>171</v>
      </c>
      <c r="I696" t="s">
        <v>172</v>
      </c>
      <c r="J696" t="s">
        <v>113</v>
      </c>
      <c r="K696" t="s">
        <v>213</v>
      </c>
      <c r="L696" t="s">
        <v>2454</v>
      </c>
      <c r="M696" t="s">
        <v>135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117</v>
      </c>
      <c r="U696" t="s">
        <v>118</v>
      </c>
      <c r="V696" s="2">
        <f t="shared" si="133"/>
        <v>0.15</v>
      </c>
      <c r="W696" s="2">
        <f t="shared" si="134"/>
        <v>11629.019999999999</v>
      </c>
      <c r="X696" s="2">
        <f>W696-R696</f>
        <v>2001.8099999999995</v>
      </c>
      <c r="Y696" s="2">
        <f t="shared" si="135"/>
        <v>0.17213918283741877</v>
      </c>
      <c r="Z696" s="2">
        <f t="shared" si="136"/>
        <v>243</v>
      </c>
      <c r="AA696" s="2">
        <f t="shared" si="137"/>
        <v>1</v>
      </c>
      <c r="AB696" s="2">
        <f t="shared" si="138"/>
        <v>2025</v>
      </c>
      <c r="AC696" s="2" t="str">
        <f t="shared" si="139"/>
        <v>Conflicting Duplicate Order ID</v>
      </c>
      <c r="AD696" s="2">
        <f t="shared" si="140"/>
        <v>0</v>
      </c>
      <c r="AE696" s="2">
        <f t="shared" si="141"/>
        <v>0</v>
      </c>
      <c r="AH696" t="str">
        <f t="shared" si="132"/>
        <v>Isha Nair</v>
      </c>
      <c r="AI696" t="str">
        <f t="shared" si="132"/>
        <v>Consumer</v>
      </c>
      <c r="AJ696" t="str">
        <f t="shared" si="132"/>
        <v>South</v>
      </c>
      <c r="AK696" t="str">
        <f t="shared" si="132"/>
        <v>Andhra Pradesh</v>
      </c>
      <c r="AL696" t="str">
        <f t="shared" si="131"/>
        <v>Vijayawada</v>
      </c>
      <c r="AM696" t="str">
        <f t="shared" si="131"/>
        <v>Office Supplies</v>
      </c>
      <c r="AN696" t="str">
        <f t="shared" si="131"/>
        <v>Storage</v>
      </c>
      <c r="AO696" t="str">
        <f t="shared" si="142"/>
        <v>First Class</v>
      </c>
      <c r="AP696" t="str">
        <f t="shared" si="143"/>
        <v>Paid</v>
      </c>
      <c r="AQ696" t="str">
        <f t="shared" si="143"/>
        <v>Completed</v>
      </c>
    </row>
    <row r="697" spans="1:43">
      <c r="A697" t="s">
        <v>2455</v>
      </c>
      <c r="B697" s="3">
        <v>45474</v>
      </c>
      <c r="C697" s="3">
        <v>45298</v>
      </c>
      <c r="D697" t="s">
        <v>2456</v>
      </c>
      <c r="E697" t="s">
        <v>218</v>
      </c>
      <c r="F697" t="s">
        <v>109</v>
      </c>
      <c r="G697" t="s">
        <v>149</v>
      </c>
      <c r="H697" t="s">
        <v>158</v>
      </c>
      <c r="I697" t="s">
        <v>159</v>
      </c>
      <c r="J697" t="s">
        <v>160</v>
      </c>
      <c r="K697" t="s">
        <v>385</v>
      </c>
      <c r="L697" t="s">
        <v>2457</v>
      </c>
      <c r="M697" t="s">
        <v>145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117</v>
      </c>
      <c r="U697" t="s">
        <v>118</v>
      </c>
      <c r="V697" s="2">
        <f t="shared" si="133"/>
        <v>0</v>
      </c>
      <c r="W697" s="2">
        <f t="shared" si="134"/>
        <v>1029.56</v>
      </c>
      <c r="X697" s="2">
        <f>W697-R697</f>
        <v>403.2299999999999</v>
      </c>
      <c r="Y697" s="2">
        <f t="shared" si="135"/>
        <v>0.39165274486188267</v>
      </c>
      <c r="Z697" s="2">
        <f t="shared" si="136"/>
        <v>-176</v>
      </c>
      <c r="AA697" s="2">
        <f t="shared" si="137"/>
        <v>7</v>
      </c>
      <c r="AB697" s="2">
        <f t="shared" si="138"/>
        <v>2024</v>
      </c>
      <c r="AC697" s="2" t="str">
        <f t="shared" si="139"/>
        <v>Invalid shipping record</v>
      </c>
      <c r="AD697" s="2">
        <f t="shared" si="140"/>
        <v>0</v>
      </c>
      <c r="AE697" s="2">
        <f t="shared" si="141"/>
        <v>0</v>
      </c>
      <c r="AH697" t="str">
        <f t="shared" si="132"/>
        <v>Aarav Sharma</v>
      </c>
      <c r="AI697" t="str">
        <f t="shared" si="132"/>
        <v>Consumer</v>
      </c>
      <c r="AJ697" t="str">
        <f t="shared" si="132"/>
        <v>West</v>
      </c>
      <c r="AK697" t="str">
        <f t="shared" si="132"/>
        <v>Madhya Pradesh</v>
      </c>
      <c r="AL697" t="str">
        <f t="shared" si="131"/>
        <v>Indore</v>
      </c>
      <c r="AM697" t="str">
        <f t="shared" si="131"/>
        <v>Technology</v>
      </c>
      <c r="AN697" t="str">
        <f t="shared" si="131"/>
        <v>Machines</v>
      </c>
      <c r="AO697" t="str">
        <f t="shared" si="142"/>
        <v>Standard Class</v>
      </c>
      <c r="AP697" t="str">
        <f t="shared" si="143"/>
        <v>Paid</v>
      </c>
      <c r="AQ697" t="str">
        <f t="shared" si="143"/>
        <v>Completed</v>
      </c>
    </row>
    <row r="698" spans="1:43">
      <c r="A698" t="s">
        <v>2458</v>
      </c>
      <c r="B698" s="3">
        <v>45922</v>
      </c>
      <c r="C698" s="3">
        <v>45925</v>
      </c>
      <c r="D698" t="s">
        <v>2459</v>
      </c>
      <c r="E698" t="s">
        <v>132</v>
      </c>
      <c r="F698" t="s">
        <v>122</v>
      </c>
      <c r="G698" t="s">
        <v>140</v>
      </c>
      <c r="H698" t="s">
        <v>282</v>
      </c>
      <c r="I698" t="s">
        <v>283</v>
      </c>
      <c r="J698" t="s">
        <v>160</v>
      </c>
      <c r="K698" t="s">
        <v>266</v>
      </c>
      <c r="L698" t="s">
        <v>2460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117</v>
      </c>
      <c r="U698" t="s">
        <v>118</v>
      </c>
      <c r="V698" s="2">
        <f t="shared" si="133"/>
        <v>0.25</v>
      </c>
      <c r="W698" s="2">
        <f t="shared" si="134"/>
        <v>3536.5199999999995</v>
      </c>
      <c r="X698" s="2">
        <f>W698-R698</f>
        <v>1434.1099999999997</v>
      </c>
      <c r="Y698" s="2">
        <f t="shared" si="135"/>
        <v>0.40551446054313278</v>
      </c>
      <c r="Z698" s="2">
        <f t="shared" si="136"/>
        <v>3</v>
      </c>
      <c r="AA698" s="2">
        <f t="shared" si="137"/>
        <v>9</v>
      </c>
      <c r="AB698" s="2">
        <f t="shared" si="138"/>
        <v>2025</v>
      </c>
      <c r="AC698" s="2" t="str">
        <f t="shared" si="139"/>
        <v>Missing ship_mode</v>
      </c>
      <c r="AD698" s="2">
        <f t="shared" si="140"/>
        <v>0</v>
      </c>
      <c r="AE698" s="2">
        <f t="shared" si="141"/>
        <v>1</v>
      </c>
      <c r="AH698" t="str">
        <f t="shared" si="132"/>
        <v>Isha Nair</v>
      </c>
      <c r="AI698" t="str">
        <f t="shared" si="132"/>
        <v>Small Business</v>
      </c>
      <c r="AJ698" t="str">
        <f t="shared" si="132"/>
        <v>South</v>
      </c>
      <c r="AK698" t="str">
        <f t="shared" si="132"/>
        <v>Kerala</v>
      </c>
      <c r="AL698" t="str">
        <f t="shared" si="131"/>
        <v>Kochi</v>
      </c>
      <c r="AM698" t="str">
        <f t="shared" si="131"/>
        <v>Technology</v>
      </c>
      <c r="AN698" t="str">
        <f t="shared" si="131"/>
        <v>Phones</v>
      </c>
      <c r="AO698" t="s">
        <v>306</v>
      </c>
      <c r="AP698" t="str">
        <f t="shared" si="143"/>
        <v>Paid</v>
      </c>
      <c r="AQ698" t="str">
        <f t="shared" si="143"/>
        <v>Completed</v>
      </c>
    </row>
    <row r="699" spans="1:43">
      <c r="A699" t="s">
        <v>2461</v>
      </c>
      <c r="B699" s="3">
        <v>45717</v>
      </c>
      <c r="C699" s="3">
        <v>45841</v>
      </c>
      <c r="D699" t="s">
        <v>2462</v>
      </c>
      <c r="E699" t="s">
        <v>139</v>
      </c>
      <c r="F699" t="s">
        <v>177</v>
      </c>
      <c r="G699" t="s">
        <v>140</v>
      </c>
      <c r="H699" t="s">
        <v>171</v>
      </c>
      <c r="I699" t="s">
        <v>172</v>
      </c>
      <c r="J699" t="s">
        <v>113</v>
      </c>
      <c r="K699" t="s">
        <v>178</v>
      </c>
      <c r="L699" t="s">
        <v>2463</v>
      </c>
      <c r="M699" t="s">
        <v>135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189</v>
      </c>
      <c r="U699" t="s">
        <v>190</v>
      </c>
      <c r="V699" s="2">
        <f t="shared" si="133"/>
        <v>0</v>
      </c>
      <c r="W699" s="2">
        <f t="shared" si="134"/>
        <v>3970.0499999999997</v>
      </c>
      <c r="X699" s="2">
        <f>W699-R699</f>
        <v>2120.75</v>
      </c>
      <c r="Y699" s="2">
        <f t="shared" si="135"/>
        <v>0.53418722686112274</v>
      </c>
      <c r="Z699" s="2">
        <f t="shared" si="136"/>
        <v>124</v>
      </c>
      <c r="AA699" s="2">
        <f t="shared" si="137"/>
        <v>3</v>
      </c>
      <c r="AB699" s="2">
        <f t="shared" si="138"/>
        <v>2025</v>
      </c>
      <c r="AC699" s="2" t="str">
        <f t="shared" si="139"/>
        <v>Valid</v>
      </c>
      <c r="AD699" s="2">
        <f t="shared" si="140"/>
        <v>1</v>
      </c>
      <c r="AE699" s="2">
        <f t="shared" si="141"/>
        <v>1</v>
      </c>
      <c r="AH699" t="str">
        <f t="shared" si="132"/>
        <v>Arjun Bose</v>
      </c>
      <c r="AI699" t="str">
        <f t="shared" si="132"/>
        <v>Corporate</v>
      </c>
      <c r="AJ699" t="str">
        <f t="shared" si="132"/>
        <v>South</v>
      </c>
      <c r="AK699" t="str">
        <f t="shared" si="132"/>
        <v>Andhra Pradesh</v>
      </c>
      <c r="AL699" t="str">
        <f t="shared" ref="AL699:AN762" si="144">PROPER(TRIM(I699))</f>
        <v>Vijayawada</v>
      </c>
      <c r="AM699" t="str">
        <f t="shared" si="144"/>
        <v>Office Supplies</v>
      </c>
      <c r="AN699" t="str">
        <f t="shared" si="144"/>
        <v>Labels</v>
      </c>
      <c r="AO699" t="str">
        <f t="shared" si="142"/>
        <v>First Class</v>
      </c>
      <c r="AP699" t="str">
        <f t="shared" si="143"/>
        <v>Refunded</v>
      </c>
      <c r="AQ699" t="str">
        <f t="shared" si="143"/>
        <v>Returned</v>
      </c>
    </row>
    <row r="700" spans="1:43">
      <c r="A700" t="s">
        <v>2464</v>
      </c>
      <c r="B700" s="3" t="s">
        <v>2465</v>
      </c>
      <c r="C700" s="3">
        <v>45549</v>
      </c>
      <c r="D700" t="s">
        <v>2466</v>
      </c>
      <c r="E700" t="s">
        <v>121</v>
      </c>
      <c r="F700" t="s">
        <v>177</v>
      </c>
      <c r="G700" t="s">
        <v>110</v>
      </c>
      <c r="H700" t="s">
        <v>111</v>
      </c>
      <c r="I700" t="s">
        <v>112</v>
      </c>
      <c r="J700" t="s">
        <v>160</v>
      </c>
      <c r="K700" t="s">
        <v>385</v>
      </c>
      <c r="L700" t="s">
        <v>2467</v>
      </c>
      <c r="M700" t="s">
        <v>145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117</v>
      </c>
      <c r="U700" t="s">
        <v>190</v>
      </c>
      <c r="V700" s="2">
        <f t="shared" si="133"/>
        <v>0.15</v>
      </c>
      <c r="W700" s="2">
        <f t="shared" si="134"/>
        <v>27755.287999999997</v>
      </c>
      <c r="X700" s="2">
        <f>W700-R700</f>
        <v>4003.377999999997</v>
      </c>
      <c r="Y700" s="2">
        <f t="shared" si="135"/>
        <v>0.14423838801456493</v>
      </c>
      <c r="Z700" s="2" t="str">
        <f t="shared" si="136"/>
        <v/>
      </c>
      <c r="AA700" s="2" t="e">
        <f t="shared" si="137"/>
        <v>#VALUE!</v>
      </c>
      <c r="AB700" s="2" t="e">
        <f t="shared" si="138"/>
        <v>#VALUE!</v>
      </c>
      <c r="AC700" s="2" t="str">
        <f t="shared" si="139"/>
        <v>Text Value Not Recognized as Date</v>
      </c>
      <c r="AD700" s="2">
        <f t="shared" si="140"/>
        <v>1</v>
      </c>
      <c r="AE700" s="2">
        <f t="shared" si="141"/>
        <v>0</v>
      </c>
      <c r="AH700" t="str">
        <f t="shared" ref="AH700:AK763" si="145">PROPER(TRIM(E700))</f>
        <v>Mira Das</v>
      </c>
      <c r="AI700" t="str">
        <f t="shared" si="145"/>
        <v>Corporate</v>
      </c>
      <c r="AJ700" t="str">
        <f t="shared" si="145"/>
        <v>North</v>
      </c>
      <c r="AK700" t="str">
        <f t="shared" si="145"/>
        <v>Rajasthan</v>
      </c>
      <c r="AL700" t="str">
        <f t="shared" si="144"/>
        <v>Jaipur</v>
      </c>
      <c r="AM700" t="str">
        <f t="shared" si="144"/>
        <v>Technology</v>
      </c>
      <c r="AN700" t="str">
        <f t="shared" si="144"/>
        <v>Machines</v>
      </c>
      <c r="AO700" t="str">
        <f t="shared" si="142"/>
        <v>Standard Class</v>
      </c>
      <c r="AP700" t="str">
        <f t="shared" si="143"/>
        <v>Paid</v>
      </c>
      <c r="AQ700" t="str">
        <f t="shared" si="143"/>
        <v>Returned</v>
      </c>
    </row>
    <row r="701" spans="1:43">
      <c r="A701" t="s">
        <v>2468</v>
      </c>
      <c r="B701" s="3">
        <v>45454</v>
      </c>
      <c r="C701" s="3">
        <v>45454</v>
      </c>
      <c r="D701" t="s">
        <v>2469</v>
      </c>
      <c r="E701" t="s">
        <v>139</v>
      </c>
      <c r="F701" t="s">
        <v>122</v>
      </c>
      <c r="G701" t="s">
        <v>140</v>
      </c>
      <c r="H701" t="s">
        <v>270</v>
      </c>
      <c r="I701" t="s">
        <v>271</v>
      </c>
      <c r="J701" t="s">
        <v>126</v>
      </c>
      <c r="K701" t="s">
        <v>252</v>
      </c>
      <c r="L701" t="s">
        <v>2470</v>
      </c>
      <c r="M701" t="s">
        <v>145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117</v>
      </c>
      <c r="U701" t="s">
        <v>118</v>
      </c>
      <c r="V701" s="2">
        <f t="shared" si="133"/>
        <v>0.25</v>
      </c>
      <c r="W701" s="2">
        <f t="shared" si="134"/>
        <v>9450.7425000000003</v>
      </c>
      <c r="X701" s="2">
        <f>W701-R701</f>
        <v>1652.1824999999999</v>
      </c>
      <c r="Y701" s="2">
        <f t="shared" si="135"/>
        <v>0.17482039109625511</v>
      </c>
      <c r="Z701" s="2">
        <f t="shared" si="136"/>
        <v>0</v>
      </c>
      <c r="AA701" s="2">
        <f t="shared" si="137"/>
        <v>6</v>
      </c>
      <c r="AB701" s="2">
        <f t="shared" si="138"/>
        <v>2024</v>
      </c>
      <c r="AC701" s="2" t="str">
        <f t="shared" si="139"/>
        <v>Valid</v>
      </c>
      <c r="AD701" s="2">
        <f t="shared" si="140"/>
        <v>0</v>
      </c>
      <c r="AE701" s="2">
        <f t="shared" si="141"/>
        <v>0</v>
      </c>
      <c r="AH701" t="str">
        <f t="shared" si="145"/>
        <v>Arjun Bose</v>
      </c>
      <c r="AI701" t="str">
        <f t="shared" si="145"/>
        <v>Small Business</v>
      </c>
      <c r="AJ701" t="str">
        <f t="shared" si="145"/>
        <v>South</v>
      </c>
      <c r="AK701" t="str">
        <f t="shared" si="145"/>
        <v>Karnataka</v>
      </c>
      <c r="AL701" t="str">
        <f t="shared" si="144"/>
        <v>Bengaluru</v>
      </c>
      <c r="AM701" t="str">
        <f t="shared" si="144"/>
        <v>Furniture</v>
      </c>
      <c r="AN701" t="str">
        <f t="shared" si="144"/>
        <v>Bookcases</v>
      </c>
      <c r="AO701" t="str">
        <f t="shared" si="142"/>
        <v>Standard Class</v>
      </c>
      <c r="AP701" t="str">
        <f t="shared" si="143"/>
        <v>Paid</v>
      </c>
      <c r="AQ701" t="str">
        <f t="shared" si="143"/>
        <v>Completed</v>
      </c>
    </row>
    <row r="702" spans="1:43">
      <c r="A702" t="s">
        <v>2471</v>
      </c>
      <c r="B702" s="3" t="s">
        <v>2472</v>
      </c>
      <c r="C702" s="3">
        <v>45556</v>
      </c>
      <c r="D702" t="s">
        <v>2473</v>
      </c>
      <c r="E702" t="s">
        <v>165</v>
      </c>
      <c r="F702" t="s">
        <v>177</v>
      </c>
      <c r="G702" t="s">
        <v>123</v>
      </c>
      <c r="H702" t="s">
        <v>186</v>
      </c>
      <c r="I702" t="s">
        <v>187</v>
      </c>
      <c r="J702" t="s">
        <v>160</v>
      </c>
      <c r="K702" t="s">
        <v>385</v>
      </c>
      <c r="L702" t="s">
        <v>2474</v>
      </c>
      <c r="M702" t="s">
        <v>145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117</v>
      </c>
      <c r="U702" t="s">
        <v>118</v>
      </c>
      <c r="V702" s="2">
        <f t="shared" si="133"/>
        <v>0.15</v>
      </c>
      <c r="W702" s="2">
        <f t="shared" si="134"/>
        <v>7792.5450000000001</v>
      </c>
      <c r="X702" s="2">
        <f>W702-R702</f>
        <v>3100.8150000000005</v>
      </c>
      <c r="Y702" s="2">
        <f t="shared" si="135"/>
        <v>0.39792070498149201</v>
      </c>
      <c r="Z702" s="2" t="str">
        <f t="shared" si="136"/>
        <v/>
      </c>
      <c r="AA702" s="2" t="e">
        <f t="shared" si="137"/>
        <v>#VALUE!</v>
      </c>
      <c r="AB702" s="2" t="e">
        <f t="shared" si="138"/>
        <v>#VALUE!</v>
      </c>
      <c r="AC702" s="2" t="str">
        <f t="shared" si="139"/>
        <v>Text Value Not Recognized as Date</v>
      </c>
      <c r="AD702" s="2">
        <f t="shared" si="140"/>
        <v>0</v>
      </c>
      <c r="AE702" s="2">
        <f t="shared" si="141"/>
        <v>0</v>
      </c>
      <c r="AH702" t="str">
        <f t="shared" si="145"/>
        <v>Neha Gupta</v>
      </c>
      <c r="AI702" t="str">
        <f t="shared" si="145"/>
        <v>Corporate</v>
      </c>
      <c r="AJ702" t="str">
        <f t="shared" si="145"/>
        <v>East</v>
      </c>
      <c r="AK702" t="str">
        <f t="shared" si="145"/>
        <v>West Bengal</v>
      </c>
      <c r="AL702" t="str">
        <f t="shared" si="144"/>
        <v>Kolkata</v>
      </c>
      <c r="AM702" t="str">
        <f t="shared" si="144"/>
        <v>Technology</v>
      </c>
      <c r="AN702" t="str">
        <f t="shared" si="144"/>
        <v>Machines</v>
      </c>
      <c r="AO702" t="str">
        <f t="shared" si="142"/>
        <v>Standard Class</v>
      </c>
      <c r="AP702" t="str">
        <f t="shared" si="143"/>
        <v>Paid</v>
      </c>
      <c r="AQ702" t="str">
        <f t="shared" si="143"/>
        <v>Completed</v>
      </c>
    </row>
    <row r="703" spans="1:43">
      <c r="A703" t="s">
        <v>2475</v>
      </c>
      <c r="B703" s="3" t="s">
        <v>1247</v>
      </c>
      <c r="C703" s="3">
        <v>45416</v>
      </c>
      <c r="D703" t="s">
        <v>2476</v>
      </c>
      <c r="E703" t="s">
        <v>232</v>
      </c>
      <c r="F703" t="s">
        <v>122</v>
      </c>
      <c r="G703" t="s">
        <v>149</v>
      </c>
      <c r="H703" t="s">
        <v>276</v>
      </c>
      <c r="I703" t="s">
        <v>277</v>
      </c>
      <c r="J703" t="s">
        <v>113</v>
      </c>
      <c r="K703" t="s">
        <v>133</v>
      </c>
      <c r="L703" t="s">
        <v>2477</v>
      </c>
      <c r="M703" t="s">
        <v>129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117</v>
      </c>
      <c r="U703" t="s">
        <v>190</v>
      </c>
      <c r="V703" s="2">
        <f t="shared" si="133"/>
        <v>0</v>
      </c>
      <c r="W703" s="2">
        <f t="shared" si="134"/>
        <v>8574.58</v>
      </c>
      <c r="X703" s="2">
        <f>W703-R703</f>
        <v>1888.7699999999995</v>
      </c>
      <c r="Y703" s="2">
        <f t="shared" si="135"/>
        <v>0.22027551203674112</v>
      </c>
      <c r="Z703" s="2" t="str">
        <f t="shared" si="136"/>
        <v/>
      </c>
      <c r="AA703" s="2" t="e">
        <f t="shared" si="137"/>
        <v>#VALUE!</v>
      </c>
      <c r="AB703" s="2" t="e">
        <f t="shared" si="138"/>
        <v>#VALUE!</v>
      </c>
      <c r="AC703" s="2" t="str">
        <f t="shared" si="139"/>
        <v>Text Value Not Recognized as Date</v>
      </c>
      <c r="AD703" s="2">
        <f t="shared" si="140"/>
        <v>0</v>
      </c>
      <c r="AE703" s="2">
        <f t="shared" si="141"/>
        <v>0</v>
      </c>
      <c r="AH703" t="str">
        <f t="shared" si="145"/>
        <v>Rohan Mehta</v>
      </c>
      <c r="AI703" t="str">
        <f t="shared" si="145"/>
        <v>Small Business</v>
      </c>
      <c r="AJ703" t="str">
        <f t="shared" si="145"/>
        <v>West</v>
      </c>
      <c r="AK703" t="str">
        <f t="shared" si="145"/>
        <v>Gujarat</v>
      </c>
      <c r="AL703" t="str">
        <f t="shared" si="144"/>
        <v>Ahmedabad</v>
      </c>
      <c r="AM703" t="str">
        <f t="shared" si="144"/>
        <v>Office Supplies</v>
      </c>
      <c r="AN703" t="str">
        <f t="shared" si="144"/>
        <v>Art</v>
      </c>
      <c r="AO703" t="str">
        <f t="shared" si="142"/>
        <v>Same Day</v>
      </c>
      <c r="AP703" t="str">
        <f t="shared" si="143"/>
        <v>Paid</v>
      </c>
      <c r="AQ703" t="str">
        <f t="shared" si="143"/>
        <v>Returned</v>
      </c>
    </row>
    <row r="704" spans="1:43">
      <c r="A704" t="s">
        <v>2478</v>
      </c>
      <c r="B704" s="3">
        <v>45690</v>
      </c>
      <c r="C704" s="3">
        <v>45694</v>
      </c>
      <c r="D704" t="s">
        <v>2479</v>
      </c>
      <c r="E704" t="s">
        <v>108</v>
      </c>
      <c r="F704" t="s">
        <v>122</v>
      </c>
      <c r="G704" t="s">
        <v>149</v>
      </c>
      <c r="H704" t="s">
        <v>111</v>
      </c>
      <c r="I704" t="s">
        <v>197</v>
      </c>
      <c r="J704" t="s">
        <v>126</v>
      </c>
      <c r="K704" t="s">
        <v>127</v>
      </c>
      <c r="L704" t="s">
        <v>2480</v>
      </c>
      <c r="M704" t="s">
        <v>116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117</v>
      </c>
      <c r="U704" t="s">
        <v>118</v>
      </c>
      <c r="V704" s="2">
        <f t="shared" si="133"/>
        <v>0.1</v>
      </c>
      <c r="W704" s="2">
        <f t="shared" si="134"/>
        <v>2692.8180000000002</v>
      </c>
      <c r="X704" s="2">
        <f>W704-R704</f>
        <v>872.73800000000028</v>
      </c>
      <c r="Y704" s="2">
        <f t="shared" si="135"/>
        <v>0.32409839803506968</v>
      </c>
      <c r="Z704" s="2">
        <f t="shared" si="136"/>
        <v>4</v>
      </c>
      <c r="AA704" s="2">
        <f t="shared" si="137"/>
        <v>2</v>
      </c>
      <c r="AB704" s="2">
        <f t="shared" si="138"/>
        <v>2025</v>
      </c>
      <c r="AC704" s="2" t="str">
        <f t="shared" si="139"/>
        <v>Valid</v>
      </c>
      <c r="AD704" s="2">
        <f t="shared" si="140"/>
        <v>0</v>
      </c>
      <c r="AE704" s="2">
        <f t="shared" si="141"/>
        <v>0</v>
      </c>
      <c r="AH704" t="str">
        <f t="shared" si="145"/>
        <v>Karan Malhotra</v>
      </c>
      <c r="AI704" t="str">
        <f t="shared" si="145"/>
        <v>Small Business</v>
      </c>
      <c r="AJ704" t="str">
        <f t="shared" si="145"/>
        <v>West</v>
      </c>
      <c r="AK704" t="str">
        <f t="shared" si="145"/>
        <v>Rajasthan</v>
      </c>
      <c r="AL704" t="str">
        <f t="shared" si="144"/>
        <v>Udaipur</v>
      </c>
      <c r="AM704" t="str">
        <f t="shared" si="144"/>
        <v>Furniture</v>
      </c>
      <c r="AN704" t="str">
        <f t="shared" si="144"/>
        <v>Tables</v>
      </c>
      <c r="AO704" t="str">
        <f t="shared" si="142"/>
        <v>Second Class</v>
      </c>
      <c r="AP704" t="str">
        <f t="shared" si="143"/>
        <v>Paid</v>
      </c>
      <c r="AQ704" t="str">
        <f t="shared" si="143"/>
        <v>Completed</v>
      </c>
    </row>
    <row r="705" spans="1:43">
      <c r="A705" t="s">
        <v>2481</v>
      </c>
      <c r="B705" s="3">
        <v>45584</v>
      </c>
      <c r="C705" s="3">
        <v>45585</v>
      </c>
      <c r="D705" t="s">
        <v>2482</v>
      </c>
      <c r="E705" t="s">
        <v>176</v>
      </c>
      <c r="F705" t="s">
        <v>177</v>
      </c>
      <c r="G705" t="s">
        <v>110</v>
      </c>
      <c r="H705" t="s">
        <v>111</v>
      </c>
      <c r="I705" t="s">
        <v>112</v>
      </c>
      <c r="J705" t="s">
        <v>126</v>
      </c>
      <c r="K705" t="s">
        <v>127</v>
      </c>
      <c r="L705" t="s">
        <v>2483</v>
      </c>
      <c r="M705" t="s">
        <v>135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117</v>
      </c>
      <c r="U705" t="s">
        <v>118</v>
      </c>
      <c r="V705" s="2">
        <f t="shared" si="133"/>
        <v>0.1</v>
      </c>
      <c r="W705" s="2">
        <f t="shared" si="134"/>
        <v>1035.027</v>
      </c>
      <c r="X705" s="2">
        <f>W705-R705</f>
        <v>180.67700000000002</v>
      </c>
      <c r="Y705" s="2">
        <f t="shared" si="135"/>
        <v>0.1745625959516032</v>
      </c>
      <c r="Z705" s="2">
        <f t="shared" si="136"/>
        <v>1</v>
      </c>
      <c r="AA705" s="2">
        <f t="shared" si="137"/>
        <v>10</v>
      </c>
      <c r="AB705" s="2">
        <f t="shared" si="138"/>
        <v>2024</v>
      </c>
      <c r="AC705" s="2" t="str">
        <f t="shared" si="139"/>
        <v>Valid</v>
      </c>
      <c r="AD705" s="2">
        <f t="shared" si="140"/>
        <v>0</v>
      </c>
      <c r="AE705" s="2">
        <f t="shared" si="141"/>
        <v>0</v>
      </c>
      <c r="AH705" t="str">
        <f t="shared" si="145"/>
        <v>Aditi Sen</v>
      </c>
      <c r="AI705" t="str">
        <f t="shared" si="145"/>
        <v>Corporate</v>
      </c>
      <c r="AJ705" t="str">
        <f t="shared" si="145"/>
        <v>North</v>
      </c>
      <c r="AK705" t="str">
        <f t="shared" si="145"/>
        <v>Rajasthan</v>
      </c>
      <c r="AL705" t="str">
        <f t="shared" si="144"/>
        <v>Jaipur</v>
      </c>
      <c r="AM705" t="str">
        <f t="shared" si="144"/>
        <v>Furniture</v>
      </c>
      <c r="AN705" t="str">
        <f t="shared" si="144"/>
        <v>Tables</v>
      </c>
      <c r="AO705" t="str">
        <f t="shared" si="142"/>
        <v>First Class</v>
      </c>
      <c r="AP705" t="str">
        <f t="shared" si="143"/>
        <v>Paid</v>
      </c>
      <c r="AQ705" t="str">
        <f t="shared" si="143"/>
        <v>Completed</v>
      </c>
    </row>
    <row r="706" spans="1:43">
      <c r="A706" t="s">
        <v>2484</v>
      </c>
      <c r="B706" s="3">
        <v>45364</v>
      </c>
      <c r="C706" s="3">
        <v>45371</v>
      </c>
      <c r="D706" t="s">
        <v>2485</v>
      </c>
      <c r="E706" t="s">
        <v>203</v>
      </c>
      <c r="F706" t="s">
        <v>182</v>
      </c>
      <c r="G706" t="s">
        <v>140</v>
      </c>
      <c r="H706" t="s">
        <v>357</v>
      </c>
      <c r="I706" t="s">
        <v>358</v>
      </c>
      <c r="J706" t="s">
        <v>126</v>
      </c>
      <c r="K706" t="s">
        <v>252</v>
      </c>
      <c r="L706" t="s">
        <v>2486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117</v>
      </c>
      <c r="U706" t="s">
        <v>118</v>
      </c>
      <c r="V706" s="2">
        <f t="shared" si="133"/>
        <v>0.15</v>
      </c>
      <c r="W706" s="2">
        <f t="shared" si="134"/>
        <v>2401.7855</v>
      </c>
      <c r="X706" s="2">
        <f>W706-R706</f>
        <v>581.44550000000004</v>
      </c>
      <c r="Y706" s="2">
        <f t="shared" si="135"/>
        <v>0.24208885431276025</v>
      </c>
      <c r="Z706" s="2">
        <f t="shared" si="136"/>
        <v>7</v>
      </c>
      <c r="AA706" s="2">
        <f t="shared" si="137"/>
        <v>3</v>
      </c>
      <c r="AB706" s="2">
        <f t="shared" si="138"/>
        <v>2024</v>
      </c>
      <c r="AC706" s="2" t="str">
        <f t="shared" si="139"/>
        <v>Conflicting Duplicate Order ID</v>
      </c>
      <c r="AD706" s="2">
        <f t="shared" si="140"/>
        <v>0</v>
      </c>
      <c r="AE706" s="2">
        <f t="shared" si="141"/>
        <v>0</v>
      </c>
      <c r="AH706" t="str">
        <f t="shared" si="145"/>
        <v>Priya Menon</v>
      </c>
      <c r="AI706" t="str">
        <f t="shared" si="145"/>
        <v>Home Office</v>
      </c>
      <c r="AJ706" t="str">
        <f t="shared" si="145"/>
        <v>South</v>
      </c>
      <c r="AK706" t="str">
        <f t="shared" si="145"/>
        <v>Tamil Nadu</v>
      </c>
      <c r="AL706" t="str">
        <f t="shared" si="144"/>
        <v>Chennai</v>
      </c>
      <c r="AM706" t="str">
        <f t="shared" si="144"/>
        <v>Furniture</v>
      </c>
      <c r="AN706" t="str">
        <f t="shared" si="144"/>
        <v>Bookcases</v>
      </c>
      <c r="AO706" t="s">
        <v>306</v>
      </c>
      <c r="AP706" t="str">
        <f t="shared" si="143"/>
        <v>Paid</v>
      </c>
      <c r="AQ706" t="str">
        <f t="shared" si="143"/>
        <v>Completed</v>
      </c>
    </row>
    <row r="707" spans="1:43">
      <c r="A707" t="s">
        <v>2487</v>
      </c>
      <c r="B707" s="3">
        <v>45543</v>
      </c>
      <c r="C707" s="3">
        <v>45549</v>
      </c>
      <c r="D707" t="s">
        <v>2488</v>
      </c>
      <c r="E707" t="s">
        <v>232</v>
      </c>
      <c r="F707" t="s">
        <v>109</v>
      </c>
      <c r="G707" t="s">
        <v>110</v>
      </c>
      <c r="H707" t="s">
        <v>111</v>
      </c>
      <c r="I707" t="s">
        <v>112</v>
      </c>
      <c r="J707" t="s">
        <v>113</v>
      </c>
      <c r="K707" t="s">
        <v>246</v>
      </c>
      <c r="L707" t="s">
        <v>2489</v>
      </c>
      <c r="M707" t="s">
        <v>145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117</v>
      </c>
      <c r="U707" t="s">
        <v>118</v>
      </c>
      <c r="V707" s="2">
        <f t="shared" ref="V707:V770" si="146">IF(ISBLANK(P707), 0, P707)</f>
        <v>0.05</v>
      </c>
      <c r="W707" s="2">
        <f t="shared" ref="W707:W770" si="147">N707 * O707 * (1 - P707)</f>
        <v>16015.8125</v>
      </c>
      <c r="X707" s="2">
        <f>W707-R707</f>
        <v>4663.4325000000008</v>
      </c>
      <c r="Y707" s="2">
        <f t="shared" ref="Y707:Y770" si="148">IFERROR(X707 / W707, 0)</f>
        <v>0.29117676671102394</v>
      </c>
      <c r="Z707" s="2">
        <f t="shared" ref="Z707:Z770" si="149">IF(OR(ISBLANK(B707), ISBLANK(C707), ISTEXT(B707), ISTEXT(C707)), "", C707 - B707)</f>
        <v>6</v>
      </c>
      <c r="AA707" s="2">
        <f t="shared" ref="AA707:AA770" si="150">MONTH(B707)</f>
        <v>9</v>
      </c>
      <c r="AB707" s="2">
        <f t="shared" ref="AB707:AB770" si="151">YEAR(B707)</f>
        <v>2024</v>
      </c>
      <c r="AC707" s="2" t="str">
        <f t="shared" ref="AC707:AC770" si="152">IF(COUNTIF(A:A, A707) &gt; 1, "Conflicting Duplicate Order ID",
 IF(OR(G707="Unknown", ISBLANK(G707)), "Missing region",
 IF(OR(M707="Unknown", ISBLANK(M707)), "Missing ship_mode",
 IF(OR(ISBLANK(B707), ISBLANK(C707)), "Missing Date",
 IF(OR(ISTEXT(B707), ISTEXT(C707)), "Text Value Not Recognized as Date",
 IF(C707 &lt; B707, "Invalid shipping record",
 IF(P707 &lt; 0, "Invalid",
 IF(P707 &gt; 0.7, "Invalid",
 "Valid"))))))))</f>
        <v>Valid</v>
      </c>
      <c r="AD707" s="2">
        <f t="shared" ref="AD707:AD770" si="153">IF(ABS(Q707 - W707) &gt; 0.01, 1, 0)</f>
        <v>0</v>
      </c>
      <c r="AE707" s="2">
        <f t="shared" ref="AE707:AE770" si="154">IF(ABS(S707 - X707) &gt; 0.01, 1, 0)</f>
        <v>0</v>
      </c>
      <c r="AH707" t="str">
        <f t="shared" si="145"/>
        <v>Rohan Mehta</v>
      </c>
      <c r="AI707" t="str">
        <f t="shared" si="145"/>
        <v>Consumer</v>
      </c>
      <c r="AJ707" t="str">
        <f t="shared" si="145"/>
        <v>North</v>
      </c>
      <c r="AK707" t="str">
        <f t="shared" si="145"/>
        <v>Rajasthan</v>
      </c>
      <c r="AL707" t="str">
        <f t="shared" si="144"/>
        <v>Jaipur</v>
      </c>
      <c r="AM707" t="str">
        <f t="shared" si="144"/>
        <v>Office Supplies</v>
      </c>
      <c r="AN707" t="str">
        <f t="shared" si="144"/>
        <v>Binders</v>
      </c>
      <c r="AO707" t="str">
        <f t="shared" ref="AO707:AO770" si="155">PROPER(TRIM(M707))</f>
        <v>Standard Class</v>
      </c>
      <c r="AP707" t="str">
        <f t="shared" ref="AP707:AQ767" si="156">PROPER(TRIM(T707))</f>
        <v>Paid</v>
      </c>
      <c r="AQ707" t="str">
        <f t="shared" si="156"/>
        <v>Completed</v>
      </c>
    </row>
    <row r="708" spans="1:43">
      <c r="A708" t="s">
        <v>2490</v>
      </c>
      <c r="B708" s="3" t="s">
        <v>2491</v>
      </c>
      <c r="C708" s="3" t="s">
        <v>841</v>
      </c>
      <c r="D708" t="s">
        <v>2492</v>
      </c>
      <c r="E708" t="s">
        <v>132</v>
      </c>
      <c r="F708" t="s">
        <v>122</v>
      </c>
      <c r="G708" t="s">
        <v>123</v>
      </c>
      <c r="H708" t="s">
        <v>124</v>
      </c>
      <c r="I708" t="s">
        <v>125</v>
      </c>
      <c r="J708" t="s">
        <v>113</v>
      </c>
      <c r="K708" t="s">
        <v>114</v>
      </c>
      <c r="L708" t="s">
        <v>2493</v>
      </c>
      <c r="M708" t="s">
        <v>129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117</v>
      </c>
      <c r="U708" t="s">
        <v>118</v>
      </c>
      <c r="V708" s="2">
        <f t="shared" si="146"/>
        <v>0.1</v>
      </c>
      <c r="W708" s="2">
        <f t="shared" si="147"/>
        <v>1901.4750000000001</v>
      </c>
      <c r="X708" s="2">
        <f>W708-R708</f>
        <v>547.19500000000016</v>
      </c>
      <c r="Y708" s="2">
        <f t="shared" si="148"/>
        <v>0.28777396494826391</v>
      </c>
      <c r="Z708" s="2" t="str">
        <f t="shared" si="149"/>
        <v/>
      </c>
      <c r="AA708" s="2" t="e">
        <f t="shared" si="150"/>
        <v>#VALUE!</v>
      </c>
      <c r="AB708" s="2" t="e">
        <f t="shared" si="151"/>
        <v>#VALUE!</v>
      </c>
      <c r="AC708" s="2" t="str">
        <f t="shared" si="152"/>
        <v>Text Value Not Recognized as Date</v>
      </c>
      <c r="AD708" s="2">
        <f t="shared" si="153"/>
        <v>0</v>
      </c>
      <c r="AE708" s="2">
        <f t="shared" si="154"/>
        <v>0</v>
      </c>
      <c r="AH708" t="str">
        <f t="shared" si="145"/>
        <v>Isha Nair</v>
      </c>
      <c r="AI708" t="str">
        <f t="shared" si="145"/>
        <v>Small Business</v>
      </c>
      <c r="AJ708" t="str">
        <f t="shared" si="145"/>
        <v>East</v>
      </c>
      <c r="AK708" t="str">
        <f t="shared" si="145"/>
        <v>Odisha</v>
      </c>
      <c r="AL708" t="str">
        <f t="shared" si="144"/>
        <v>Bhubaneswar</v>
      </c>
      <c r="AM708" t="str">
        <f t="shared" si="144"/>
        <v>Office Supplies</v>
      </c>
      <c r="AN708" t="str">
        <f t="shared" si="144"/>
        <v>Paper</v>
      </c>
      <c r="AO708" t="str">
        <f t="shared" si="155"/>
        <v>Same Day</v>
      </c>
      <c r="AP708" t="str">
        <f t="shared" si="156"/>
        <v>Paid</v>
      </c>
      <c r="AQ708" t="str">
        <f t="shared" si="156"/>
        <v>Completed</v>
      </c>
    </row>
    <row r="709" spans="1:43">
      <c r="A709" t="s">
        <v>2494</v>
      </c>
      <c r="B709" s="3" t="s">
        <v>2495</v>
      </c>
      <c r="C709" s="3">
        <v>45834</v>
      </c>
      <c r="D709" t="s">
        <v>2496</v>
      </c>
      <c r="E709" t="s">
        <v>157</v>
      </c>
      <c r="F709" t="s">
        <v>109</v>
      </c>
      <c r="G709" t="s">
        <v>110</v>
      </c>
      <c r="H709" t="s">
        <v>111</v>
      </c>
      <c r="I709" t="s">
        <v>112</v>
      </c>
      <c r="J709" t="s">
        <v>160</v>
      </c>
      <c r="K709" t="s">
        <v>161</v>
      </c>
      <c r="L709" t="s">
        <v>2497</v>
      </c>
      <c r="M709" t="s">
        <v>129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117</v>
      </c>
      <c r="U709" t="s">
        <v>118</v>
      </c>
      <c r="V709" s="2">
        <f t="shared" si="146"/>
        <v>0.55000000000000004</v>
      </c>
      <c r="W709" s="2">
        <f t="shared" si="147"/>
        <v>8375.9849999999988</v>
      </c>
      <c r="X709" s="2">
        <f>W709-R709</f>
        <v>-3302.3350000000009</v>
      </c>
      <c r="Y709" s="2">
        <f t="shared" si="148"/>
        <v>-0.39426228676388525</v>
      </c>
      <c r="Z709" s="2" t="str">
        <f t="shared" si="149"/>
        <v/>
      </c>
      <c r="AA709" s="2" t="e">
        <f t="shared" si="150"/>
        <v>#VALUE!</v>
      </c>
      <c r="AB709" s="2" t="e">
        <f t="shared" si="151"/>
        <v>#VALUE!</v>
      </c>
      <c r="AC709" s="2" t="str">
        <f t="shared" si="152"/>
        <v>Text Value Not Recognized as Date</v>
      </c>
      <c r="AD709" s="2">
        <f t="shared" si="153"/>
        <v>1</v>
      </c>
      <c r="AE709" s="2">
        <f t="shared" si="154"/>
        <v>1</v>
      </c>
      <c r="AH709" t="str">
        <f t="shared" si="145"/>
        <v>Vikram Iyer</v>
      </c>
      <c r="AI709" t="str">
        <f t="shared" si="145"/>
        <v>Consumer</v>
      </c>
      <c r="AJ709" t="str">
        <f t="shared" si="145"/>
        <v>North</v>
      </c>
      <c r="AK709" t="str">
        <f t="shared" si="145"/>
        <v>Rajasthan</v>
      </c>
      <c r="AL709" t="str">
        <f t="shared" si="144"/>
        <v>Jaipur</v>
      </c>
      <c r="AM709" t="str">
        <f t="shared" si="144"/>
        <v>Technology</v>
      </c>
      <c r="AN709" t="str">
        <f t="shared" si="144"/>
        <v>Accessories</v>
      </c>
      <c r="AO709" t="str">
        <f t="shared" si="155"/>
        <v>Same Day</v>
      </c>
      <c r="AP709" t="str">
        <f t="shared" si="156"/>
        <v>Paid</v>
      </c>
      <c r="AQ709" t="str">
        <f t="shared" si="156"/>
        <v>Completed</v>
      </c>
    </row>
    <row r="710" spans="1:43">
      <c r="A710" t="s">
        <v>2498</v>
      </c>
      <c r="B710" s="3">
        <v>45736</v>
      </c>
      <c r="C710" s="3">
        <v>45742</v>
      </c>
      <c r="D710" t="s">
        <v>2499</v>
      </c>
      <c r="E710" t="s">
        <v>222</v>
      </c>
      <c r="F710" t="s">
        <v>109</v>
      </c>
      <c r="G710" t="s">
        <v>123</v>
      </c>
      <c r="H710" t="s">
        <v>260</v>
      </c>
      <c r="I710" t="s">
        <v>261</v>
      </c>
      <c r="J710" t="s">
        <v>126</v>
      </c>
      <c r="K710" t="s">
        <v>252</v>
      </c>
      <c r="L710" t="s">
        <v>2500</v>
      </c>
      <c r="M710" t="s">
        <v>135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117</v>
      </c>
      <c r="U710" t="s">
        <v>118</v>
      </c>
      <c r="V710" s="2">
        <f t="shared" si="146"/>
        <v>0.05</v>
      </c>
      <c r="W710" s="2">
        <f t="shared" si="147"/>
        <v>16559.108</v>
      </c>
      <c r="X710" s="2">
        <f>W710-R710</f>
        <v>3325.3179999999993</v>
      </c>
      <c r="Y710" s="2">
        <f t="shared" si="148"/>
        <v>0.20081504390212318</v>
      </c>
      <c r="Z710" s="2">
        <f t="shared" si="149"/>
        <v>6</v>
      </c>
      <c r="AA710" s="2">
        <f t="shared" si="150"/>
        <v>3</v>
      </c>
      <c r="AB710" s="2">
        <f t="shared" si="151"/>
        <v>2025</v>
      </c>
      <c r="AC710" s="2" t="str">
        <f t="shared" si="152"/>
        <v>Valid</v>
      </c>
      <c r="AD710" s="2">
        <f t="shared" si="153"/>
        <v>0</v>
      </c>
      <c r="AE710" s="2">
        <f t="shared" si="154"/>
        <v>0</v>
      </c>
      <c r="AH710" t="str">
        <f t="shared" si="145"/>
        <v>Sneha Kapoor</v>
      </c>
      <c r="AI710" t="str">
        <f t="shared" si="145"/>
        <v>Consumer</v>
      </c>
      <c r="AJ710" t="str">
        <f t="shared" si="145"/>
        <v>East</v>
      </c>
      <c r="AK710" t="str">
        <f t="shared" si="145"/>
        <v>Assam</v>
      </c>
      <c r="AL710" t="str">
        <f t="shared" si="144"/>
        <v>Guwahati</v>
      </c>
      <c r="AM710" t="str">
        <f t="shared" si="144"/>
        <v>Furniture</v>
      </c>
      <c r="AN710" t="str">
        <f t="shared" si="144"/>
        <v>Bookcases</v>
      </c>
      <c r="AO710" t="str">
        <f t="shared" si="155"/>
        <v>First Class</v>
      </c>
      <c r="AP710" t="str">
        <f t="shared" si="156"/>
        <v>Paid</v>
      </c>
      <c r="AQ710" t="str">
        <f t="shared" si="156"/>
        <v>Completed</v>
      </c>
    </row>
    <row r="711" spans="1:43">
      <c r="A711" t="s">
        <v>2501</v>
      </c>
      <c r="B711" s="3">
        <v>45676</v>
      </c>
      <c r="C711" s="3">
        <v>45680</v>
      </c>
      <c r="D711" t="s">
        <v>2502</v>
      </c>
      <c r="E711" t="s">
        <v>375</v>
      </c>
      <c r="F711" t="s">
        <v>182</v>
      </c>
      <c r="G711" t="s">
        <v>110</v>
      </c>
      <c r="H711" t="s">
        <v>211</v>
      </c>
      <c r="I711" t="s">
        <v>212</v>
      </c>
      <c r="J711" t="s">
        <v>160</v>
      </c>
      <c r="K711" t="s">
        <v>266</v>
      </c>
      <c r="L711" t="s">
        <v>2503</v>
      </c>
      <c r="M711" t="s">
        <v>129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117</v>
      </c>
      <c r="U711" t="s">
        <v>44</v>
      </c>
      <c r="V711" s="2">
        <f t="shared" si="146"/>
        <v>0.15</v>
      </c>
      <c r="W711" s="2">
        <f t="shared" si="147"/>
        <v>8110.0879999999988</v>
      </c>
      <c r="X711" s="2">
        <f>W711-R711</f>
        <v>1692.7679999999991</v>
      </c>
      <c r="Y711" s="2">
        <f t="shared" si="148"/>
        <v>0.2087237524426368</v>
      </c>
      <c r="Z711" s="2">
        <f t="shared" si="149"/>
        <v>4</v>
      </c>
      <c r="AA711" s="2">
        <f t="shared" si="150"/>
        <v>1</v>
      </c>
      <c r="AB711" s="2">
        <f t="shared" si="151"/>
        <v>2025</v>
      </c>
      <c r="AC711" s="2" t="str">
        <f t="shared" si="152"/>
        <v>Valid</v>
      </c>
      <c r="AD711" s="2">
        <f t="shared" si="153"/>
        <v>0</v>
      </c>
      <c r="AE711" s="2">
        <f t="shared" si="154"/>
        <v>0</v>
      </c>
      <c r="AH711" t="str">
        <f t="shared" si="145"/>
        <v>Kabir Singh</v>
      </c>
      <c r="AI711" t="str">
        <f t="shared" si="145"/>
        <v>Home Office</v>
      </c>
      <c r="AJ711" t="str">
        <f t="shared" si="145"/>
        <v>North</v>
      </c>
      <c r="AK711" t="str">
        <f t="shared" si="145"/>
        <v>Punjab</v>
      </c>
      <c r="AL711" t="str">
        <f t="shared" si="144"/>
        <v>Ludhiana</v>
      </c>
      <c r="AM711" t="str">
        <f t="shared" si="144"/>
        <v>Technology</v>
      </c>
      <c r="AN711" t="str">
        <f t="shared" si="144"/>
        <v>Phones</v>
      </c>
      <c r="AO711" t="str">
        <f t="shared" si="155"/>
        <v>Same Day</v>
      </c>
      <c r="AP711" t="str">
        <f t="shared" si="156"/>
        <v>Paid</v>
      </c>
      <c r="AQ711" t="str">
        <f t="shared" si="156"/>
        <v>Cancelled</v>
      </c>
    </row>
    <row r="712" spans="1:43">
      <c r="A712" t="s">
        <v>2504</v>
      </c>
      <c r="B712" s="3">
        <v>45485</v>
      </c>
      <c r="C712" s="3">
        <v>45492</v>
      </c>
      <c r="D712" t="s">
        <v>2505</v>
      </c>
      <c r="E712" t="s">
        <v>157</v>
      </c>
      <c r="F712" t="s">
        <v>177</v>
      </c>
      <c r="G712" t="s">
        <v>110</v>
      </c>
      <c r="H712" t="s">
        <v>211</v>
      </c>
      <c r="I712" t="s">
        <v>212</v>
      </c>
      <c r="J712" t="s">
        <v>113</v>
      </c>
      <c r="K712" t="s">
        <v>133</v>
      </c>
      <c r="L712" t="s">
        <v>2506</v>
      </c>
      <c r="M712" t="s">
        <v>116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117</v>
      </c>
      <c r="U712" t="s">
        <v>118</v>
      </c>
      <c r="V712" s="2">
        <f t="shared" si="146"/>
        <v>0.05</v>
      </c>
      <c r="W712" s="2">
        <f t="shared" si="147"/>
        <v>7406.01</v>
      </c>
      <c r="X712" s="2">
        <f>W712-R712</f>
        <v>1464.2700000000004</v>
      </c>
      <c r="Y712" s="2">
        <f t="shared" si="148"/>
        <v>0.19771374869869207</v>
      </c>
      <c r="Z712" s="2">
        <f t="shared" si="149"/>
        <v>7</v>
      </c>
      <c r="AA712" s="2">
        <f t="shared" si="150"/>
        <v>7</v>
      </c>
      <c r="AB712" s="2">
        <f t="shared" si="151"/>
        <v>2024</v>
      </c>
      <c r="AC712" s="2" t="str">
        <f t="shared" si="152"/>
        <v>Valid</v>
      </c>
      <c r="AD712" s="2">
        <f t="shared" si="153"/>
        <v>0</v>
      </c>
      <c r="AE712" s="2">
        <f t="shared" si="154"/>
        <v>0</v>
      </c>
      <c r="AH712" t="str">
        <f t="shared" si="145"/>
        <v>Vikram Iyer</v>
      </c>
      <c r="AI712" t="str">
        <f t="shared" si="145"/>
        <v>Corporate</v>
      </c>
      <c r="AJ712" t="str">
        <f t="shared" si="145"/>
        <v>North</v>
      </c>
      <c r="AK712" t="str">
        <f t="shared" si="145"/>
        <v>Punjab</v>
      </c>
      <c r="AL712" t="str">
        <f t="shared" si="144"/>
        <v>Ludhiana</v>
      </c>
      <c r="AM712" t="str">
        <f t="shared" si="144"/>
        <v>Office Supplies</v>
      </c>
      <c r="AN712" t="str">
        <f t="shared" si="144"/>
        <v>Art</v>
      </c>
      <c r="AO712" t="str">
        <f t="shared" si="155"/>
        <v>Second Class</v>
      </c>
      <c r="AP712" t="str">
        <f t="shared" si="156"/>
        <v>Paid</v>
      </c>
      <c r="AQ712" t="str">
        <f t="shared" si="156"/>
        <v>Completed</v>
      </c>
    </row>
    <row r="713" spans="1:43">
      <c r="A713" t="s">
        <v>2507</v>
      </c>
      <c r="B713" s="3">
        <v>45690</v>
      </c>
      <c r="C713" s="3">
        <v>45690</v>
      </c>
      <c r="D713" t="s">
        <v>2508</v>
      </c>
      <c r="E713" t="s">
        <v>375</v>
      </c>
      <c r="F713" t="s">
        <v>177</v>
      </c>
      <c r="G713" t="s">
        <v>123</v>
      </c>
      <c r="H713" t="s">
        <v>186</v>
      </c>
      <c r="I713" t="s">
        <v>187</v>
      </c>
      <c r="J713" t="s">
        <v>160</v>
      </c>
      <c r="K713" t="s">
        <v>385</v>
      </c>
      <c r="L713" t="s">
        <v>2509</v>
      </c>
      <c r="M713" t="s">
        <v>135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199</v>
      </c>
      <c r="U713" t="s">
        <v>190</v>
      </c>
      <c r="V713" s="2">
        <f t="shared" si="146"/>
        <v>0.05</v>
      </c>
      <c r="W713" s="2">
        <f t="shared" si="147"/>
        <v>4110.4124999999995</v>
      </c>
      <c r="X713" s="2">
        <f>W713-R713</f>
        <v>1716.2724999999996</v>
      </c>
      <c r="Y713" s="2">
        <f t="shared" si="148"/>
        <v>0.41754264322619683</v>
      </c>
      <c r="Z713" s="2">
        <f t="shared" si="149"/>
        <v>0</v>
      </c>
      <c r="AA713" s="2">
        <f t="shared" si="150"/>
        <v>2</v>
      </c>
      <c r="AB713" s="2">
        <f t="shared" si="151"/>
        <v>2025</v>
      </c>
      <c r="AC713" s="2" t="str">
        <f t="shared" si="152"/>
        <v>Valid</v>
      </c>
      <c r="AD713" s="2">
        <f t="shared" si="153"/>
        <v>0</v>
      </c>
      <c r="AE713" s="2">
        <f t="shared" si="154"/>
        <v>0</v>
      </c>
      <c r="AH713" t="str">
        <f t="shared" si="145"/>
        <v>Kabir Singh</v>
      </c>
      <c r="AI713" t="str">
        <f t="shared" si="145"/>
        <v>Corporate</v>
      </c>
      <c r="AJ713" t="str">
        <f t="shared" si="145"/>
        <v>East</v>
      </c>
      <c r="AK713" t="str">
        <f t="shared" si="145"/>
        <v>West Bengal</v>
      </c>
      <c r="AL713" t="str">
        <f t="shared" si="144"/>
        <v>Kolkata</v>
      </c>
      <c r="AM713" t="str">
        <f t="shared" si="144"/>
        <v>Technology</v>
      </c>
      <c r="AN713" t="str">
        <f t="shared" si="144"/>
        <v>Machines</v>
      </c>
      <c r="AO713" t="str">
        <f t="shared" si="155"/>
        <v>First Class</v>
      </c>
      <c r="AP713" t="str">
        <f t="shared" si="156"/>
        <v>Pending</v>
      </c>
      <c r="AQ713" t="str">
        <f t="shared" si="156"/>
        <v>Returned</v>
      </c>
    </row>
    <row r="714" spans="1:43">
      <c r="A714" t="s">
        <v>2510</v>
      </c>
      <c r="B714" s="3">
        <v>45332</v>
      </c>
      <c r="C714" s="3">
        <v>45340</v>
      </c>
      <c r="D714" t="s">
        <v>2511</v>
      </c>
      <c r="E714" t="s">
        <v>132</v>
      </c>
      <c r="F714" t="s">
        <v>182</v>
      </c>
      <c r="G714" t="s">
        <v>149</v>
      </c>
      <c r="H714" t="s">
        <v>158</v>
      </c>
      <c r="I714" t="s">
        <v>159</v>
      </c>
      <c r="J714" t="s">
        <v>126</v>
      </c>
      <c r="K714" t="s">
        <v>152</v>
      </c>
      <c r="L714" t="s">
        <v>2512</v>
      </c>
      <c r="M714" t="s">
        <v>135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117</v>
      </c>
      <c r="U714" t="s">
        <v>118</v>
      </c>
      <c r="V714" s="2">
        <f t="shared" si="146"/>
        <v>0</v>
      </c>
      <c r="W714" s="2">
        <f t="shared" si="147"/>
        <v>9680.0199999999986</v>
      </c>
      <c r="X714" s="2">
        <f>W714-R714</f>
        <v>2803.3599999999988</v>
      </c>
      <c r="Y714" s="2">
        <f t="shared" si="148"/>
        <v>0.28960270743242256</v>
      </c>
      <c r="Z714" s="2">
        <f t="shared" si="149"/>
        <v>8</v>
      </c>
      <c r="AA714" s="2">
        <f t="shared" si="150"/>
        <v>2</v>
      </c>
      <c r="AB714" s="2">
        <f t="shared" si="151"/>
        <v>2024</v>
      </c>
      <c r="AC714" s="2" t="str">
        <f t="shared" si="152"/>
        <v>Conflicting Duplicate Order ID</v>
      </c>
      <c r="AD714" s="2">
        <f t="shared" si="153"/>
        <v>0</v>
      </c>
      <c r="AE714" s="2">
        <f t="shared" si="154"/>
        <v>0</v>
      </c>
      <c r="AH714" t="str">
        <f t="shared" si="145"/>
        <v>Isha Nair</v>
      </c>
      <c r="AI714" t="str">
        <f t="shared" si="145"/>
        <v>Home Office</v>
      </c>
      <c r="AJ714" t="str">
        <f t="shared" si="145"/>
        <v>West</v>
      </c>
      <c r="AK714" t="str">
        <f t="shared" si="145"/>
        <v>Madhya Pradesh</v>
      </c>
      <c r="AL714" t="str">
        <f t="shared" si="144"/>
        <v>Indore</v>
      </c>
      <c r="AM714" t="str">
        <f t="shared" si="144"/>
        <v>Furniture</v>
      </c>
      <c r="AN714" t="str">
        <f t="shared" si="144"/>
        <v>Chairs</v>
      </c>
      <c r="AO714" t="str">
        <f t="shared" si="155"/>
        <v>First Class</v>
      </c>
      <c r="AP714" t="str">
        <f t="shared" si="156"/>
        <v>Paid</v>
      </c>
      <c r="AQ714" t="str">
        <f t="shared" si="156"/>
        <v>Completed</v>
      </c>
    </row>
    <row r="715" spans="1:43">
      <c r="A715" t="s">
        <v>2513</v>
      </c>
      <c r="B715" s="3">
        <v>45814</v>
      </c>
      <c r="C715" s="3">
        <v>45818</v>
      </c>
      <c r="D715" t="s">
        <v>741</v>
      </c>
      <c r="E715" t="s">
        <v>121</v>
      </c>
      <c r="F715" t="s">
        <v>109</v>
      </c>
      <c r="G715" t="s">
        <v>149</v>
      </c>
      <c r="H715" t="s">
        <v>111</v>
      </c>
      <c r="I715" t="s">
        <v>197</v>
      </c>
      <c r="J715" t="s">
        <v>160</v>
      </c>
      <c r="K715" t="s">
        <v>385</v>
      </c>
      <c r="L715" t="s">
        <v>2514</v>
      </c>
      <c r="M715" t="s">
        <v>116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117</v>
      </c>
      <c r="U715" t="s">
        <v>118</v>
      </c>
      <c r="V715" s="2">
        <f t="shared" si="146"/>
        <v>0.25</v>
      </c>
      <c r="W715" s="2">
        <f t="shared" si="147"/>
        <v>217.47750000000002</v>
      </c>
      <c r="X715" s="2">
        <f>W715-R715</f>
        <v>85.347500000000025</v>
      </c>
      <c r="Y715" s="2">
        <f t="shared" si="148"/>
        <v>0.39244289639158081</v>
      </c>
      <c r="Z715" s="2">
        <f t="shared" si="149"/>
        <v>4</v>
      </c>
      <c r="AA715" s="2">
        <f t="shared" si="150"/>
        <v>6</v>
      </c>
      <c r="AB715" s="2">
        <f t="shared" si="151"/>
        <v>2025</v>
      </c>
      <c r="AC715" s="2" t="str">
        <f t="shared" si="152"/>
        <v>Valid</v>
      </c>
      <c r="AD715" s="2">
        <f t="shared" si="153"/>
        <v>0</v>
      </c>
      <c r="AE715" s="2">
        <f t="shared" si="154"/>
        <v>0</v>
      </c>
      <c r="AH715" t="str">
        <f t="shared" si="145"/>
        <v>Mira Das</v>
      </c>
      <c r="AI715" t="str">
        <f t="shared" si="145"/>
        <v>Consumer</v>
      </c>
      <c r="AJ715" t="str">
        <f t="shared" si="145"/>
        <v>West</v>
      </c>
      <c r="AK715" t="str">
        <f t="shared" si="145"/>
        <v>Rajasthan</v>
      </c>
      <c r="AL715" t="str">
        <f t="shared" si="144"/>
        <v>Udaipur</v>
      </c>
      <c r="AM715" t="str">
        <f t="shared" si="144"/>
        <v>Technology</v>
      </c>
      <c r="AN715" t="str">
        <f t="shared" si="144"/>
        <v>Machines</v>
      </c>
      <c r="AO715" t="str">
        <f t="shared" si="155"/>
        <v>Second Class</v>
      </c>
      <c r="AP715" t="str">
        <f t="shared" si="156"/>
        <v>Paid</v>
      </c>
      <c r="AQ715" t="str">
        <f t="shared" si="156"/>
        <v>Completed</v>
      </c>
    </row>
    <row r="716" spans="1:43">
      <c r="A716" t="s">
        <v>2515</v>
      </c>
      <c r="B716" s="3">
        <v>45738</v>
      </c>
      <c r="C716" s="3">
        <v>45739</v>
      </c>
      <c r="D716" t="s">
        <v>2516</v>
      </c>
      <c r="E716" t="s">
        <v>108</v>
      </c>
      <c r="F716" t="s">
        <v>182</v>
      </c>
      <c r="G716" t="s">
        <v>110</v>
      </c>
      <c r="H716" t="s">
        <v>465</v>
      </c>
      <c r="I716" t="s">
        <v>466</v>
      </c>
      <c r="J716" t="s">
        <v>160</v>
      </c>
      <c r="K716" t="s">
        <v>166</v>
      </c>
      <c r="L716" t="s">
        <v>2517</v>
      </c>
      <c r="M716" t="s">
        <v>145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117</v>
      </c>
      <c r="U716" t="s">
        <v>118</v>
      </c>
      <c r="V716" s="2">
        <f t="shared" si="146"/>
        <v>0</v>
      </c>
      <c r="W716" s="2">
        <f t="shared" si="147"/>
        <v>18675.18</v>
      </c>
      <c r="X716" s="2">
        <f>W716-R716</f>
        <v>4700.4799999999996</v>
      </c>
      <c r="Y716" s="2">
        <f t="shared" si="148"/>
        <v>0.25169663692665878</v>
      </c>
      <c r="Z716" s="2">
        <f t="shared" si="149"/>
        <v>1</v>
      </c>
      <c r="AA716" s="2">
        <f t="shared" si="150"/>
        <v>3</v>
      </c>
      <c r="AB716" s="2">
        <f t="shared" si="151"/>
        <v>2025</v>
      </c>
      <c r="AC716" s="2" t="str">
        <f t="shared" si="152"/>
        <v>Valid</v>
      </c>
      <c r="AD716" s="2">
        <f t="shared" si="153"/>
        <v>0</v>
      </c>
      <c r="AE716" s="2">
        <f t="shared" si="154"/>
        <v>0</v>
      </c>
      <c r="AH716" t="str">
        <f t="shared" si="145"/>
        <v>Karan Malhotra</v>
      </c>
      <c r="AI716" t="str">
        <f t="shared" si="145"/>
        <v>Home Office</v>
      </c>
      <c r="AJ716" t="str">
        <f t="shared" si="145"/>
        <v>North</v>
      </c>
      <c r="AK716" t="str">
        <f t="shared" si="145"/>
        <v>Delhi</v>
      </c>
      <c r="AL716" t="str">
        <f t="shared" si="144"/>
        <v>New Delhi</v>
      </c>
      <c r="AM716" t="str">
        <f t="shared" si="144"/>
        <v>Technology</v>
      </c>
      <c r="AN716" t="str">
        <f t="shared" si="144"/>
        <v>Copiers</v>
      </c>
      <c r="AO716" t="str">
        <f t="shared" si="155"/>
        <v>Standard Class</v>
      </c>
      <c r="AP716" t="str">
        <f t="shared" si="156"/>
        <v>Paid</v>
      </c>
      <c r="AQ716" t="str">
        <f t="shared" si="156"/>
        <v>Completed</v>
      </c>
    </row>
    <row r="717" spans="1:43">
      <c r="A717" t="s">
        <v>2518</v>
      </c>
      <c r="B717" s="3">
        <v>45891</v>
      </c>
      <c r="C717" s="3">
        <v>45896</v>
      </c>
      <c r="D717" t="s">
        <v>2519</v>
      </c>
      <c r="E717" t="s">
        <v>203</v>
      </c>
      <c r="F717" t="s">
        <v>109</v>
      </c>
      <c r="G717" t="s">
        <v>110</v>
      </c>
      <c r="H717" t="s">
        <v>344</v>
      </c>
      <c r="I717" t="s">
        <v>345</v>
      </c>
      <c r="J717" t="s">
        <v>126</v>
      </c>
      <c r="K717" t="s">
        <v>152</v>
      </c>
      <c r="L717" t="s">
        <v>2520</v>
      </c>
      <c r="M717" t="s">
        <v>116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189</v>
      </c>
      <c r="U717" t="s">
        <v>44</v>
      </c>
      <c r="V717" s="2">
        <f t="shared" si="146"/>
        <v>0</v>
      </c>
      <c r="W717" s="2">
        <f t="shared" si="147"/>
        <v>19901.63</v>
      </c>
      <c r="X717" s="2">
        <f>W717-R717</f>
        <v>4409.6000000000004</v>
      </c>
      <c r="Y717" s="2">
        <f t="shared" si="148"/>
        <v>0.22156979101711771</v>
      </c>
      <c r="Z717" s="2">
        <f t="shared" si="149"/>
        <v>5</v>
      </c>
      <c r="AA717" s="2">
        <f t="shared" si="150"/>
        <v>8</v>
      </c>
      <c r="AB717" s="2">
        <f t="shared" si="151"/>
        <v>2025</v>
      </c>
      <c r="AC717" s="2" t="str">
        <f t="shared" si="152"/>
        <v>Valid</v>
      </c>
      <c r="AD717" s="2">
        <f t="shared" si="153"/>
        <v>0</v>
      </c>
      <c r="AE717" s="2">
        <f t="shared" si="154"/>
        <v>0</v>
      </c>
      <c r="AH717" t="str">
        <f t="shared" si="145"/>
        <v>Priya Menon</v>
      </c>
      <c r="AI717" t="str">
        <f t="shared" si="145"/>
        <v>Consumer</v>
      </c>
      <c r="AJ717" t="str">
        <f t="shared" si="145"/>
        <v>North</v>
      </c>
      <c r="AK717" t="str">
        <f t="shared" si="145"/>
        <v>Haryana</v>
      </c>
      <c r="AL717" t="str">
        <f t="shared" si="144"/>
        <v>Gurugram</v>
      </c>
      <c r="AM717" t="str">
        <f t="shared" si="144"/>
        <v>Furniture</v>
      </c>
      <c r="AN717" t="str">
        <f t="shared" si="144"/>
        <v>Chairs</v>
      </c>
      <c r="AO717" t="str">
        <f t="shared" si="155"/>
        <v>Second Class</v>
      </c>
      <c r="AP717" t="str">
        <f t="shared" si="156"/>
        <v>Refunded</v>
      </c>
      <c r="AQ717" t="str">
        <f t="shared" si="156"/>
        <v>Cancelled</v>
      </c>
    </row>
    <row r="718" spans="1:43">
      <c r="A718" t="s">
        <v>2521</v>
      </c>
      <c r="B718" s="3">
        <v>45895</v>
      </c>
      <c r="C718" s="3" t="s">
        <v>250</v>
      </c>
      <c r="D718" t="s">
        <v>2522</v>
      </c>
      <c r="E718" t="s">
        <v>256</v>
      </c>
      <c r="F718" t="s">
        <v>122</v>
      </c>
      <c r="G718" t="s">
        <v>110</v>
      </c>
      <c r="H718" t="s">
        <v>344</v>
      </c>
      <c r="I718" t="s">
        <v>345</v>
      </c>
      <c r="J718" t="s">
        <v>160</v>
      </c>
      <c r="K718" t="s">
        <v>266</v>
      </c>
      <c r="L718" t="s">
        <v>2523</v>
      </c>
      <c r="M718" t="s">
        <v>135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117</v>
      </c>
      <c r="U718" t="s">
        <v>118</v>
      </c>
      <c r="V718" s="2">
        <f t="shared" si="146"/>
        <v>0.15</v>
      </c>
      <c r="W718" s="2">
        <f t="shared" si="147"/>
        <v>2879.817</v>
      </c>
      <c r="X718" s="2">
        <f>W718-R718</f>
        <v>1054.9369999999999</v>
      </c>
      <c r="Y718" s="2">
        <f t="shared" si="148"/>
        <v>0.3663208460815392</v>
      </c>
      <c r="Z718" s="2" t="str">
        <f t="shared" si="149"/>
        <v/>
      </c>
      <c r="AA718" s="2">
        <f t="shared" si="150"/>
        <v>8</v>
      </c>
      <c r="AB718" s="2">
        <f t="shared" si="151"/>
        <v>2025</v>
      </c>
      <c r="AC718" s="2" t="str">
        <f t="shared" si="152"/>
        <v>Text Value Not Recognized as Date</v>
      </c>
      <c r="AD718" s="2">
        <f t="shared" si="153"/>
        <v>0</v>
      </c>
      <c r="AE718" s="2">
        <f t="shared" si="154"/>
        <v>0</v>
      </c>
      <c r="AH718" t="str">
        <f t="shared" si="145"/>
        <v>Diya Patel</v>
      </c>
      <c r="AI718" t="str">
        <f t="shared" si="145"/>
        <v>Small Business</v>
      </c>
      <c r="AJ718" t="str">
        <f t="shared" si="145"/>
        <v>North</v>
      </c>
      <c r="AK718" t="str">
        <f t="shared" si="145"/>
        <v>Haryana</v>
      </c>
      <c r="AL718" t="str">
        <f t="shared" si="144"/>
        <v>Gurugram</v>
      </c>
      <c r="AM718" t="str">
        <f t="shared" si="144"/>
        <v>Technology</v>
      </c>
      <c r="AN718" t="str">
        <f t="shared" si="144"/>
        <v>Phones</v>
      </c>
      <c r="AO718" t="str">
        <f t="shared" si="155"/>
        <v>First Class</v>
      </c>
      <c r="AP718" t="str">
        <f t="shared" si="156"/>
        <v>Paid</v>
      </c>
      <c r="AQ718" t="str">
        <f t="shared" si="156"/>
        <v>Completed</v>
      </c>
    </row>
    <row r="719" spans="1:43">
      <c r="A719" t="s">
        <v>2524</v>
      </c>
      <c r="B719" s="3">
        <v>46001</v>
      </c>
      <c r="C719" s="3">
        <v>45945</v>
      </c>
      <c r="D719" t="s">
        <v>2525</v>
      </c>
      <c r="E719" t="s">
        <v>375</v>
      </c>
      <c r="F719" t="s">
        <v>122</v>
      </c>
      <c r="G719" t="s">
        <v>110</v>
      </c>
      <c r="H719" t="s">
        <v>344</v>
      </c>
      <c r="I719" t="s">
        <v>345</v>
      </c>
      <c r="J719" t="s">
        <v>160</v>
      </c>
      <c r="K719" t="s">
        <v>385</v>
      </c>
      <c r="L719" t="s">
        <v>2526</v>
      </c>
      <c r="M719" t="s">
        <v>145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199</v>
      </c>
      <c r="U719" t="s">
        <v>44</v>
      </c>
      <c r="V719" s="2">
        <f t="shared" si="146"/>
        <v>0.2</v>
      </c>
      <c r="W719" s="2">
        <f t="shared" si="147"/>
        <v>18712.223999999998</v>
      </c>
      <c r="X719" s="2">
        <f>W719-R719</f>
        <v>6860.003999999999</v>
      </c>
      <c r="Y719" s="2">
        <f t="shared" si="148"/>
        <v>0.3666054874075898</v>
      </c>
      <c r="Z719" s="2">
        <f t="shared" si="149"/>
        <v>-56</v>
      </c>
      <c r="AA719" s="2">
        <f t="shared" si="150"/>
        <v>12</v>
      </c>
      <c r="AB719" s="2">
        <f t="shared" si="151"/>
        <v>2025</v>
      </c>
      <c r="AC719" s="2" t="str">
        <f t="shared" si="152"/>
        <v>Invalid shipping record</v>
      </c>
      <c r="AD719" s="2">
        <f t="shared" si="153"/>
        <v>0</v>
      </c>
      <c r="AE719" s="2">
        <f t="shared" si="154"/>
        <v>0</v>
      </c>
      <c r="AH719" t="str">
        <f t="shared" si="145"/>
        <v>Kabir Singh</v>
      </c>
      <c r="AI719" t="str">
        <f t="shared" si="145"/>
        <v>Small Business</v>
      </c>
      <c r="AJ719" t="str">
        <f t="shared" si="145"/>
        <v>North</v>
      </c>
      <c r="AK719" t="str">
        <f t="shared" si="145"/>
        <v>Haryana</v>
      </c>
      <c r="AL719" t="str">
        <f t="shared" si="144"/>
        <v>Gurugram</v>
      </c>
      <c r="AM719" t="str">
        <f t="shared" si="144"/>
        <v>Technology</v>
      </c>
      <c r="AN719" t="str">
        <f t="shared" si="144"/>
        <v>Machines</v>
      </c>
      <c r="AO719" t="str">
        <f t="shared" si="155"/>
        <v>Standard Class</v>
      </c>
      <c r="AP719" t="str">
        <f t="shared" si="156"/>
        <v>Pending</v>
      </c>
      <c r="AQ719" t="str">
        <f t="shared" si="156"/>
        <v>Cancelled</v>
      </c>
    </row>
    <row r="720" spans="1:43">
      <c r="A720" t="s">
        <v>2527</v>
      </c>
      <c r="B720" s="3">
        <v>45541</v>
      </c>
      <c r="C720" s="3">
        <v>45544</v>
      </c>
      <c r="D720" t="s">
        <v>2528</v>
      </c>
      <c r="E720" t="s">
        <v>121</v>
      </c>
      <c r="F720" t="s">
        <v>109</v>
      </c>
      <c r="G720" t="s">
        <v>149</v>
      </c>
      <c r="H720" t="s">
        <v>150</v>
      </c>
      <c r="I720" t="s">
        <v>151</v>
      </c>
      <c r="J720" t="s">
        <v>113</v>
      </c>
      <c r="K720" t="s">
        <v>133</v>
      </c>
      <c r="L720" t="s">
        <v>2529</v>
      </c>
      <c r="M720" t="s">
        <v>129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117</v>
      </c>
      <c r="U720" t="s">
        <v>118</v>
      </c>
      <c r="V720" s="2">
        <f t="shared" si="146"/>
        <v>0.2</v>
      </c>
      <c r="W720" s="2">
        <f t="shared" si="147"/>
        <v>4733.4479999999994</v>
      </c>
      <c r="X720" s="2">
        <f>W720-R720</f>
        <v>1061.1279999999992</v>
      </c>
      <c r="Y720" s="2">
        <f t="shared" si="148"/>
        <v>0.22417654107534282</v>
      </c>
      <c r="Z720" s="2">
        <f t="shared" si="149"/>
        <v>3</v>
      </c>
      <c r="AA720" s="2">
        <f t="shared" si="150"/>
        <v>9</v>
      </c>
      <c r="AB720" s="2">
        <f t="shared" si="151"/>
        <v>2024</v>
      </c>
      <c r="AC720" s="2" t="str">
        <f t="shared" si="152"/>
        <v>Valid</v>
      </c>
      <c r="AD720" s="2">
        <f t="shared" si="153"/>
        <v>0</v>
      </c>
      <c r="AE720" s="2">
        <f t="shared" si="154"/>
        <v>0</v>
      </c>
      <c r="AH720" t="str">
        <f t="shared" si="145"/>
        <v>Mira Das</v>
      </c>
      <c r="AI720" t="str">
        <f t="shared" si="145"/>
        <v>Consumer</v>
      </c>
      <c r="AJ720" t="str">
        <f t="shared" si="145"/>
        <v>West</v>
      </c>
      <c r="AK720" t="str">
        <f t="shared" si="145"/>
        <v>Maharashtra</v>
      </c>
      <c r="AL720" t="str">
        <f t="shared" si="144"/>
        <v>Mumbai</v>
      </c>
      <c r="AM720" t="str">
        <f t="shared" si="144"/>
        <v>Office Supplies</v>
      </c>
      <c r="AN720" t="str">
        <f t="shared" si="144"/>
        <v>Art</v>
      </c>
      <c r="AO720" t="str">
        <f t="shared" si="155"/>
        <v>Same Day</v>
      </c>
      <c r="AP720" t="str">
        <f t="shared" si="156"/>
        <v>Paid</v>
      </c>
      <c r="AQ720" t="str">
        <f t="shared" si="156"/>
        <v>Completed</v>
      </c>
    </row>
    <row r="721" spans="1:43">
      <c r="A721" t="s">
        <v>2530</v>
      </c>
      <c r="B721" s="3">
        <v>45908</v>
      </c>
      <c r="C721" s="3">
        <v>45909</v>
      </c>
      <c r="D721" t="s">
        <v>236</v>
      </c>
      <c r="E721" t="s">
        <v>375</v>
      </c>
      <c r="F721" t="s">
        <v>177</v>
      </c>
      <c r="G721" t="s">
        <v>149</v>
      </c>
      <c r="H721" t="s">
        <v>276</v>
      </c>
      <c r="I721" t="s">
        <v>277</v>
      </c>
      <c r="J721" t="s">
        <v>113</v>
      </c>
      <c r="K721" t="s">
        <v>133</v>
      </c>
      <c r="L721" t="s">
        <v>2531</v>
      </c>
      <c r="M721" t="s">
        <v>129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117</v>
      </c>
      <c r="U721" t="s">
        <v>118</v>
      </c>
      <c r="V721" s="2">
        <f t="shared" si="146"/>
        <v>0.2</v>
      </c>
      <c r="W721" s="2">
        <f t="shared" si="147"/>
        <v>3795.8559999999998</v>
      </c>
      <c r="X721" s="2">
        <f>W721-R721</f>
        <v>1530.9359999999997</v>
      </c>
      <c r="Y721" s="2">
        <f t="shared" si="148"/>
        <v>0.40331772332775528</v>
      </c>
      <c r="Z721" s="2">
        <f t="shared" si="149"/>
        <v>1</v>
      </c>
      <c r="AA721" s="2">
        <f t="shared" si="150"/>
        <v>9</v>
      </c>
      <c r="AB721" s="2">
        <f t="shared" si="151"/>
        <v>2025</v>
      </c>
      <c r="AC721" s="2" t="str">
        <f t="shared" si="152"/>
        <v>Conflicting Duplicate Order ID</v>
      </c>
      <c r="AD721" s="2">
        <f t="shared" si="153"/>
        <v>0</v>
      </c>
      <c r="AE721" s="2">
        <f t="shared" si="154"/>
        <v>0</v>
      </c>
      <c r="AH721" t="str">
        <f t="shared" si="145"/>
        <v>Kabir Singh</v>
      </c>
      <c r="AI721" t="str">
        <f t="shared" si="145"/>
        <v>Corporate</v>
      </c>
      <c r="AJ721" t="str">
        <f t="shared" si="145"/>
        <v>West</v>
      </c>
      <c r="AK721" t="str">
        <f t="shared" si="145"/>
        <v>Gujarat</v>
      </c>
      <c r="AL721" t="str">
        <f t="shared" si="144"/>
        <v>Ahmedabad</v>
      </c>
      <c r="AM721" t="str">
        <f t="shared" si="144"/>
        <v>Office Supplies</v>
      </c>
      <c r="AN721" t="str">
        <f t="shared" si="144"/>
        <v>Art</v>
      </c>
      <c r="AO721" t="str">
        <f t="shared" si="155"/>
        <v>Same Day</v>
      </c>
      <c r="AP721" t="str">
        <f t="shared" si="156"/>
        <v>Paid</v>
      </c>
      <c r="AQ721" t="str">
        <f t="shared" si="156"/>
        <v>Completed</v>
      </c>
    </row>
    <row r="722" spans="1:43">
      <c r="A722" t="s">
        <v>2532</v>
      </c>
      <c r="B722" s="3">
        <v>45489</v>
      </c>
      <c r="C722" s="3">
        <v>45489</v>
      </c>
      <c r="D722" t="s">
        <v>2533</v>
      </c>
      <c r="E722" t="s">
        <v>176</v>
      </c>
      <c r="F722" t="s">
        <v>182</v>
      </c>
      <c r="G722" t="s">
        <v>149</v>
      </c>
      <c r="H722" t="s">
        <v>158</v>
      </c>
      <c r="I722" t="s">
        <v>159</v>
      </c>
      <c r="J722" t="s">
        <v>160</v>
      </c>
      <c r="K722" t="s">
        <v>166</v>
      </c>
      <c r="L722" t="s">
        <v>2534</v>
      </c>
      <c r="M722" t="s">
        <v>129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117</v>
      </c>
      <c r="U722" t="s">
        <v>118</v>
      </c>
      <c r="V722" s="2">
        <f t="shared" si="146"/>
        <v>0.15</v>
      </c>
      <c r="W722" s="2">
        <f t="shared" si="147"/>
        <v>15231.727999999999</v>
      </c>
      <c r="X722" s="2">
        <f>W722-R722</f>
        <v>2780.268</v>
      </c>
      <c r="Y722" s="2">
        <f t="shared" si="148"/>
        <v>0.1825313582280356</v>
      </c>
      <c r="Z722" s="2">
        <f t="shared" si="149"/>
        <v>0</v>
      </c>
      <c r="AA722" s="2">
        <f t="shared" si="150"/>
        <v>7</v>
      </c>
      <c r="AB722" s="2">
        <f t="shared" si="151"/>
        <v>2024</v>
      </c>
      <c r="AC722" s="2" t="str">
        <f t="shared" si="152"/>
        <v>Valid</v>
      </c>
      <c r="AD722" s="2">
        <f t="shared" si="153"/>
        <v>0</v>
      </c>
      <c r="AE722" s="2">
        <f t="shared" si="154"/>
        <v>0</v>
      </c>
      <c r="AH722" t="str">
        <f t="shared" si="145"/>
        <v>Aditi Sen</v>
      </c>
      <c r="AI722" t="str">
        <f t="shared" si="145"/>
        <v>Home Office</v>
      </c>
      <c r="AJ722" t="str">
        <f t="shared" si="145"/>
        <v>West</v>
      </c>
      <c r="AK722" t="str">
        <f t="shared" si="145"/>
        <v>Madhya Pradesh</v>
      </c>
      <c r="AL722" t="str">
        <f t="shared" si="144"/>
        <v>Indore</v>
      </c>
      <c r="AM722" t="str">
        <f t="shared" si="144"/>
        <v>Technology</v>
      </c>
      <c r="AN722" t="str">
        <f t="shared" si="144"/>
        <v>Copiers</v>
      </c>
      <c r="AO722" t="str">
        <f t="shared" si="155"/>
        <v>Same Day</v>
      </c>
      <c r="AP722" t="str">
        <f t="shared" si="156"/>
        <v>Paid</v>
      </c>
      <c r="AQ722" t="str">
        <f t="shared" si="156"/>
        <v>Completed</v>
      </c>
    </row>
    <row r="723" spans="1:43">
      <c r="A723" t="s">
        <v>2535</v>
      </c>
      <c r="B723" s="3" t="s">
        <v>292</v>
      </c>
      <c r="C723" s="3" t="s">
        <v>2536</v>
      </c>
      <c r="D723" t="s">
        <v>2537</v>
      </c>
      <c r="E723" t="s">
        <v>222</v>
      </c>
      <c r="F723" t="s">
        <v>109</v>
      </c>
      <c r="G723" t="s">
        <v>140</v>
      </c>
      <c r="H723" t="s">
        <v>270</v>
      </c>
      <c r="I723" t="s">
        <v>271</v>
      </c>
      <c r="J723" t="s">
        <v>160</v>
      </c>
      <c r="K723" t="s">
        <v>166</v>
      </c>
      <c r="L723" t="s">
        <v>2538</v>
      </c>
      <c r="M723" t="s">
        <v>135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117</v>
      </c>
      <c r="U723" t="s">
        <v>118</v>
      </c>
      <c r="V723" s="2">
        <f t="shared" si="146"/>
        <v>0</v>
      </c>
      <c r="W723" s="2">
        <f t="shared" si="147"/>
        <v>13649.75</v>
      </c>
      <c r="X723" s="2">
        <f>W723-R723</f>
        <v>3361.7199999999993</v>
      </c>
      <c r="Y723" s="2">
        <f t="shared" si="148"/>
        <v>0.24628436418249414</v>
      </c>
      <c r="Z723" s="2" t="str">
        <f t="shared" si="149"/>
        <v/>
      </c>
      <c r="AA723" s="2" t="e">
        <f t="shared" si="150"/>
        <v>#VALUE!</v>
      </c>
      <c r="AB723" s="2" t="e">
        <f t="shared" si="151"/>
        <v>#VALUE!</v>
      </c>
      <c r="AC723" s="2" t="str">
        <f t="shared" si="152"/>
        <v>Text Value Not Recognized as Date</v>
      </c>
      <c r="AD723" s="2">
        <f t="shared" si="153"/>
        <v>0</v>
      </c>
      <c r="AE723" s="2">
        <f t="shared" si="154"/>
        <v>0</v>
      </c>
      <c r="AH723" t="str">
        <f t="shared" si="145"/>
        <v>Sneha Kapoor</v>
      </c>
      <c r="AI723" t="str">
        <f t="shared" si="145"/>
        <v>Consumer</v>
      </c>
      <c r="AJ723" t="str">
        <f t="shared" si="145"/>
        <v>South</v>
      </c>
      <c r="AK723" t="str">
        <f t="shared" si="145"/>
        <v>Karnataka</v>
      </c>
      <c r="AL723" t="str">
        <f t="shared" si="144"/>
        <v>Bengaluru</v>
      </c>
      <c r="AM723" t="str">
        <f t="shared" si="144"/>
        <v>Technology</v>
      </c>
      <c r="AN723" t="str">
        <f t="shared" si="144"/>
        <v>Copiers</v>
      </c>
      <c r="AO723" t="str">
        <f t="shared" si="155"/>
        <v>First Class</v>
      </c>
      <c r="AP723" t="str">
        <f t="shared" si="156"/>
        <v>Paid</v>
      </c>
      <c r="AQ723" t="str">
        <f t="shared" si="156"/>
        <v>Completed</v>
      </c>
    </row>
    <row r="724" spans="1:43">
      <c r="A724" t="s">
        <v>2539</v>
      </c>
      <c r="B724" s="3">
        <v>45572</v>
      </c>
      <c r="C724" s="3">
        <v>45575</v>
      </c>
      <c r="D724" t="s">
        <v>2540</v>
      </c>
      <c r="E724" t="s">
        <v>157</v>
      </c>
      <c r="F724" t="s">
        <v>109</v>
      </c>
      <c r="G724" t="s">
        <v>123</v>
      </c>
      <c r="H724" t="s">
        <v>186</v>
      </c>
      <c r="I724" t="s">
        <v>187</v>
      </c>
      <c r="J724" t="s">
        <v>126</v>
      </c>
      <c r="K724" t="s">
        <v>152</v>
      </c>
      <c r="L724" t="s">
        <v>2541</v>
      </c>
      <c r="M724" t="s">
        <v>116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189</v>
      </c>
      <c r="U724" t="s">
        <v>44</v>
      </c>
      <c r="V724" s="2">
        <f t="shared" si="146"/>
        <v>0</v>
      </c>
      <c r="W724" s="2">
        <f t="shared" si="147"/>
        <v>4333.59</v>
      </c>
      <c r="X724" s="2">
        <f>W724-R724</f>
        <v>1800</v>
      </c>
      <c r="Y724" s="2">
        <f t="shared" si="148"/>
        <v>0.41536001329152039</v>
      </c>
      <c r="Z724" s="2">
        <f t="shared" si="149"/>
        <v>3</v>
      </c>
      <c r="AA724" s="2">
        <f t="shared" si="150"/>
        <v>10</v>
      </c>
      <c r="AB724" s="2">
        <f t="shared" si="151"/>
        <v>2024</v>
      </c>
      <c r="AC724" s="2" t="str">
        <f t="shared" si="152"/>
        <v>Valid</v>
      </c>
      <c r="AD724" s="2">
        <f t="shared" si="153"/>
        <v>0</v>
      </c>
      <c r="AE724" s="2">
        <f t="shared" si="154"/>
        <v>0</v>
      </c>
      <c r="AH724" t="str">
        <f t="shared" si="145"/>
        <v>Vikram Iyer</v>
      </c>
      <c r="AI724" t="str">
        <f t="shared" si="145"/>
        <v>Consumer</v>
      </c>
      <c r="AJ724" t="str">
        <f t="shared" si="145"/>
        <v>East</v>
      </c>
      <c r="AK724" t="str">
        <f t="shared" si="145"/>
        <v>West Bengal</v>
      </c>
      <c r="AL724" t="str">
        <f t="shared" si="144"/>
        <v>Kolkata</v>
      </c>
      <c r="AM724" t="str">
        <f t="shared" si="144"/>
        <v>Furniture</v>
      </c>
      <c r="AN724" t="str">
        <f t="shared" si="144"/>
        <v>Chairs</v>
      </c>
      <c r="AO724" t="str">
        <f t="shared" si="155"/>
        <v>Second Class</v>
      </c>
      <c r="AP724" t="str">
        <f t="shared" si="156"/>
        <v>Refunded</v>
      </c>
      <c r="AQ724" t="str">
        <f t="shared" si="156"/>
        <v>Cancelled</v>
      </c>
    </row>
    <row r="725" spans="1:43">
      <c r="A725" t="s">
        <v>2542</v>
      </c>
      <c r="B725" s="3">
        <v>45936</v>
      </c>
      <c r="C725" s="3">
        <v>45943</v>
      </c>
      <c r="D725" t="s">
        <v>2543</v>
      </c>
      <c r="E725" t="s">
        <v>375</v>
      </c>
      <c r="F725" t="s">
        <v>182</v>
      </c>
      <c r="G725" t="s">
        <v>123</v>
      </c>
      <c r="H725" t="s">
        <v>335</v>
      </c>
      <c r="I725" t="s">
        <v>336</v>
      </c>
      <c r="J725" t="s">
        <v>160</v>
      </c>
      <c r="K725" t="s">
        <v>161</v>
      </c>
      <c r="L725" t="s">
        <v>2544</v>
      </c>
      <c r="M725" t="s">
        <v>145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248</v>
      </c>
      <c r="U725" t="s">
        <v>190</v>
      </c>
      <c r="V725" s="2">
        <f t="shared" si="146"/>
        <v>0.05</v>
      </c>
      <c r="W725" s="2">
        <f t="shared" si="147"/>
        <v>13634.000999999998</v>
      </c>
      <c r="X725" s="2">
        <f>W725-R725</f>
        <v>4044.1909999999989</v>
      </c>
      <c r="Y725" s="2">
        <f t="shared" si="148"/>
        <v>0.29662539998346776</v>
      </c>
      <c r="Z725" s="2">
        <f t="shared" si="149"/>
        <v>7</v>
      </c>
      <c r="AA725" s="2">
        <f t="shared" si="150"/>
        <v>10</v>
      </c>
      <c r="AB725" s="2">
        <f t="shared" si="151"/>
        <v>2025</v>
      </c>
      <c r="AC725" s="2" t="str">
        <f t="shared" si="152"/>
        <v>Valid</v>
      </c>
      <c r="AD725" s="2">
        <f t="shared" si="153"/>
        <v>0</v>
      </c>
      <c r="AE725" s="2">
        <f t="shared" si="154"/>
        <v>0</v>
      </c>
      <c r="AH725" t="str">
        <f t="shared" si="145"/>
        <v>Kabir Singh</v>
      </c>
      <c r="AI725" t="str">
        <f t="shared" si="145"/>
        <v>Home Office</v>
      </c>
      <c r="AJ725" t="str">
        <f t="shared" si="145"/>
        <v>East</v>
      </c>
      <c r="AK725" t="str">
        <f t="shared" si="145"/>
        <v>Jharkhand</v>
      </c>
      <c r="AL725" t="str">
        <f t="shared" si="144"/>
        <v>Ranchi</v>
      </c>
      <c r="AM725" t="str">
        <f t="shared" si="144"/>
        <v>Technology</v>
      </c>
      <c r="AN725" t="str">
        <f t="shared" si="144"/>
        <v>Accessories</v>
      </c>
      <c r="AO725" t="str">
        <f t="shared" si="155"/>
        <v>Standard Class</v>
      </c>
      <c r="AP725" t="str">
        <f t="shared" si="156"/>
        <v>Failed</v>
      </c>
      <c r="AQ725" t="str">
        <f t="shared" si="156"/>
        <v>Returned</v>
      </c>
    </row>
    <row r="726" spans="1:43">
      <c r="A726" t="s">
        <v>2545</v>
      </c>
      <c r="B726" s="3">
        <v>45332</v>
      </c>
      <c r="C726" s="3" t="s">
        <v>1239</v>
      </c>
      <c r="D726" t="s">
        <v>2546</v>
      </c>
      <c r="E726" t="s">
        <v>108</v>
      </c>
      <c r="F726" t="s">
        <v>109</v>
      </c>
      <c r="G726" t="s">
        <v>149</v>
      </c>
      <c r="H726" t="s">
        <v>287</v>
      </c>
      <c r="I726" t="s">
        <v>288</v>
      </c>
      <c r="J726" t="s">
        <v>126</v>
      </c>
      <c r="K726" t="s">
        <v>143</v>
      </c>
      <c r="L726" t="s">
        <v>2547</v>
      </c>
      <c r="M726" t="s">
        <v>116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117</v>
      </c>
      <c r="U726" t="s">
        <v>118</v>
      </c>
      <c r="V726" s="2">
        <f t="shared" si="146"/>
        <v>0</v>
      </c>
      <c r="W726" s="2">
        <f t="shared" si="147"/>
        <v>760.29</v>
      </c>
      <c r="X726" s="2">
        <f>W726-R726</f>
        <v>262.52</v>
      </c>
      <c r="Y726" s="2">
        <f t="shared" si="148"/>
        <v>0.34528929750489945</v>
      </c>
      <c r="Z726" s="2" t="str">
        <f t="shared" si="149"/>
        <v/>
      </c>
      <c r="AA726" s="2">
        <f t="shared" si="150"/>
        <v>2</v>
      </c>
      <c r="AB726" s="2">
        <f t="shared" si="151"/>
        <v>2024</v>
      </c>
      <c r="AC726" s="2" t="str">
        <f t="shared" si="152"/>
        <v>Text Value Not Recognized as Date</v>
      </c>
      <c r="AD726" s="2">
        <f t="shared" si="153"/>
        <v>0</v>
      </c>
      <c r="AE726" s="2">
        <f t="shared" si="154"/>
        <v>0</v>
      </c>
      <c r="AH726" t="str">
        <f t="shared" si="145"/>
        <v>Karan Malhotra</v>
      </c>
      <c r="AI726" t="str">
        <f t="shared" si="145"/>
        <v>Consumer</v>
      </c>
      <c r="AJ726" t="str">
        <f t="shared" si="145"/>
        <v>West</v>
      </c>
      <c r="AK726" t="str">
        <f t="shared" si="145"/>
        <v>Goa</v>
      </c>
      <c r="AL726" t="str">
        <f t="shared" si="144"/>
        <v>Panaji</v>
      </c>
      <c r="AM726" t="str">
        <f t="shared" si="144"/>
        <v>Furniture</v>
      </c>
      <c r="AN726" t="str">
        <f t="shared" si="144"/>
        <v>Furnishings</v>
      </c>
      <c r="AO726" t="str">
        <f t="shared" si="155"/>
        <v>Second Class</v>
      </c>
      <c r="AP726" t="str">
        <f t="shared" si="156"/>
        <v>Paid</v>
      </c>
      <c r="AQ726" t="str">
        <f t="shared" si="156"/>
        <v>Completed</v>
      </c>
    </row>
    <row r="727" spans="1:43">
      <c r="A727" t="s">
        <v>2548</v>
      </c>
      <c r="B727" s="3">
        <v>45935</v>
      </c>
      <c r="C727" s="3">
        <v>45942</v>
      </c>
      <c r="D727" t="s">
        <v>2549</v>
      </c>
      <c r="E727" t="s">
        <v>203</v>
      </c>
      <c r="F727" t="s">
        <v>177</v>
      </c>
      <c r="G727" t="s">
        <v>140</v>
      </c>
      <c r="H727" t="s">
        <v>270</v>
      </c>
      <c r="I727" t="s">
        <v>271</v>
      </c>
      <c r="J727" t="s">
        <v>126</v>
      </c>
      <c r="K727" t="s">
        <v>127</v>
      </c>
      <c r="L727" t="s">
        <v>2550</v>
      </c>
      <c r="M727" t="s">
        <v>116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117</v>
      </c>
      <c r="U727" t="s">
        <v>118</v>
      </c>
      <c r="V727" s="2">
        <f t="shared" si="146"/>
        <v>0</v>
      </c>
      <c r="W727" s="2">
        <f t="shared" si="147"/>
        <v>14943.11</v>
      </c>
      <c r="X727" s="2">
        <f>W727-R727</f>
        <v>6421.6100000000006</v>
      </c>
      <c r="Y727" s="2">
        <f t="shared" si="148"/>
        <v>0.42973718322357263</v>
      </c>
      <c r="Z727" s="2">
        <f t="shared" si="149"/>
        <v>7</v>
      </c>
      <c r="AA727" s="2">
        <f t="shared" si="150"/>
        <v>10</v>
      </c>
      <c r="AB727" s="2">
        <f t="shared" si="151"/>
        <v>2025</v>
      </c>
      <c r="AC727" s="2" t="str">
        <f t="shared" si="152"/>
        <v>Valid</v>
      </c>
      <c r="AD727" s="2">
        <f t="shared" si="153"/>
        <v>0</v>
      </c>
      <c r="AE727" s="2">
        <f t="shared" si="154"/>
        <v>0</v>
      </c>
      <c r="AH727" t="str">
        <f t="shared" si="145"/>
        <v>Priya Menon</v>
      </c>
      <c r="AI727" t="str">
        <f t="shared" si="145"/>
        <v>Corporate</v>
      </c>
      <c r="AJ727" t="str">
        <f t="shared" si="145"/>
        <v>South</v>
      </c>
      <c r="AK727" t="str">
        <f t="shared" si="145"/>
        <v>Karnataka</v>
      </c>
      <c r="AL727" t="str">
        <f t="shared" si="144"/>
        <v>Bengaluru</v>
      </c>
      <c r="AM727" t="str">
        <f t="shared" si="144"/>
        <v>Furniture</v>
      </c>
      <c r="AN727" t="str">
        <f t="shared" si="144"/>
        <v>Tables</v>
      </c>
      <c r="AO727" t="str">
        <f t="shared" si="155"/>
        <v>Second Class</v>
      </c>
      <c r="AP727" t="str">
        <f t="shared" si="156"/>
        <v>Paid</v>
      </c>
      <c r="AQ727" t="str">
        <f t="shared" si="156"/>
        <v>Completed</v>
      </c>
    </row>
    <row r="728" spans="1:43">
      <c r="A728" t="s">
        <v>2551</v>
      </c>
      <c r="B728" s="3">
        <v>45308</v>
      </c>
      <c r="C728" s="3">
        <v>45314</v>
      </c>
      <c r="D728" t="s">
        <v>2552</v>
      </c>
      <c r="E728" t="s">
        <v>375</v>
      </c>
      <c r="F728" t="s">
        <v>182</v>
      </c>
      <c r="G728" t="s">
        <v>149</v>
      </c>
      <c r="H728" t="s">
        <v>276</v>
      </c>
      <c r="I728" t="s">
        <v>277</v>
      </c>
      <c r="J728" t="s">
        <v>160</v>
      </c>
      <c r="K728" t="s">
        <v>266</v>
      </c>
      <c r="L728" t="s">
        <v>2553</v>
      </c>
      <c r="M728" t="s">
        <v>145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199</v>
      </c>
      <c r="U728" t="s">
        <v>190</v>
      </c>
      <c r="V728" s="2">
        <f t="shared" si="146"/>
        <v>0.2</v>
      </c>
      <c r="W728" s="2">
        <f t="shared" si="147"/>
        <v>8072</v>
      </c>
      <c r="X728" s="2">
        <f>W728-R728</f>
        <v>2692.7799999999997</v>
      </c>
      <c r="Y728" s="2">
        <f t="shared" si="148"/>
        <v>0.33359514370664023</v>
      </c>
      <c r="Z728" s="2">
        <f t="shared" si="149"/>
        <v>6</v>
      </c>
      <c r="AA728" s="2">
        <f t="shared" si="150"/>
        <v>1</v>
      </c>
      <c r="AB728" s="2">
        <f t="shared" si="151"/>
        <v>2024</v>
      </c>
      <c r="AC728" s="2" t="str">
        <f t="shared" si="152"/>
        <v>Valid</v>
      </c>
      <c r="AD728" s="2">
        <f t="shared" si="153"/>
        <v>0</v>
      </c>
      <c r="AE728" s="2">
        <f t="shared" si="154"/>
        <v>0</v>
      </c>
      <c r="AH728" t="str">
        <f t="shared" si="145"/>
        <v>Kabir Singh</v>
      </c>
      <c r="AI728" t="str">
        <f t="shared" si="145"/>
        <v>Home Office</v>
      </c>
      <c r="AJ728" t="str">
        <f t="shared" si="145"/>
        <v>West</v>
      </c>
      <c r="AK728" t="str">
        <f t="shared" si="145"/>
        <v>Gujarat</v>
      </c>
      <c r="AL728" t="str">
        <f t="shared" si="144"/>
        <v>Ahmedabad</v>
      </c>
      <c r="AM728" t="str">
        <f t="shared" si="144"/>
        <v>Technology</v>
      </c>
      <c r="AN728" t="str">
        <f t="shared" si="144"/>
        <v>Phones</v>
      </c>
      <c r="AO728" t="str">
        <f t="shared" si="155"/>
        <v>Standard Class</v>
      </c>
      <c r="AP728" t="str">
        <f t="shared" si="156"/>
        <v>Pending</v>
      </c>
      <c r="AQ728" t="str">
        <f t="shared" si="156"/>
        <v>Returned</v>
      </c>
    </row>
    <row r="729" spans="1:43">
      <c r="A729" t="s">
        <v>2554</v>
      </c>
      <c r="B729" s="3">
        <v>45578</v>
      </c>
      <c r="C729" s="3">
        <v>45578</v>
      </c>
      <c r="D729" t="s">
        <v>2555</v>
      </c>
      <c r="E729" t="s">
        <v>218</v>
      </c>
      <c r="F729" t="s">
        <v>122</v>
      </c>
      <c r="G729" t="s">
        <v>123</v>
      </c>
      <c r="H729" t="s">
        <v>260</v>
      </c>
      <c r="I729" t="s">
        <v>261</v>
      </c>
      <c r="J729" t="s">
        <v>160</v>
      </c>
      <c r="K729" t="s">
        <v>161</v>
      </c>
      <c r="L729" t="s">
        <v>2556</v>
      </c>
      <c r="M729" t="s">
        <v>116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117</v>
      </c>
      <c r="U729" t="s">
        <v>118</v>
      </c>
      <c r="V729" s="2">
        <f t="shared" si="146"/>
        <v>0.05</v>
      </c>
      <c r="W729" s="2">
        <f t="shared" si="147"/>
        <v>28353.015999999996</v>
      </c>
      <c r="X729" s="2">
        <f>W729-R729</f>
        <v>9095.1659999999974</v>
      </c>
      <c r="Y729" s="2">
        <f t="shared" si="148"/>
        <v>0.3207830165228277</v>
      </c>
      <c r="Z729" s="2">
        <f t="shared" si="149"/>
        <v>0</v>
      </c>
      <c r="AA729" s="2">
        <f t="shared" si="150"/>
        <v>10</v>
      </c>
      <c r="AB729" s="2">
        <f t="shared" si="151"/>
        <v>2024</v>
      </c>
      <c r="AC729" s="2" t="str">
        <f t="shared" si="152"/>
        <v>Valid</v>
      </c>
      <c r="AD729" s="2">
        <f t="shared" si="153"/>
        <v>0</v>
      </c>
      <c r="AE729" s="2">
        <f t="shared" si="154"/>
        <v>0</v>
      </c>
      <c r="AH729" t="str">
        <f t="shared" si="145"/>
        <v>Aarav Sharma</v>
      </c>
      <c r="AI729" t="str">
        <f t="shared" si="145"/>
        <v>Small Business</v>
      </c>
      <c r="AJ729" t="str">
        <f t="shared" si="145"/>
        <v>East</v>
      </c>
      <c r="AK729" t="str">
        <f t="shared" si="145"/>
        <v>Assam</v>
      </c>
      <c r="AL729" t="str">
        <f t="shared" si="144"/>
        <v>Guwahati</v>
      </c>
      <c r="AM729" t="str">
        <f t="shared" si="144"/>
        <v>Technology</v>
      </c>
      <c r="AN729" t="str">
        <f t="shared" si="144"/>
        <v>Accessories</v>
      </c>
      <c r="AO729" t="str">
        <f t="shared" si="155"/>
        <v>Second Class</v>
      </c>
      <c r="AP729" t="str">
        <f t="shared" si="156"/>
        <v>Paid</v>
      </c>
      <c r="AQ729" t="str">
        <f t="shared" si="156"/>
        <v>Completed</v>
      </c>
    </row>
    <row r="730" spans="1:43">
      <c r="A730" t="s">
        <v>2557</v>
      </c>
      <c r="B730" s="3">
        <v>45295</v>
      </c>
      <c r="C730" s="3">
        <v>45474</v>
      </c>
      <c r="D730" t="s">
        <v>2558</v>
      </c>
      <c r="E730" t="s">
        <v>222</v>
      </c>
      <c r="F730" t="s">
        <v>122</v>
      </c>
      <c r="G730" t="s">
        <v>140</v>
      </c>
      <c r="H730" t="s">
        <v>270</v>
      </c>
      <c r="I730" t="s">
        <v>271</v>
      </c>
      <c r="J730" t="s">
        <v>160</v>
      </c>
      <c r="K730" t="s">
        <v>385</v>
      </c>
      <c r="L730" t="s">
        <v>2559</v>
      </c>
      <c r="M730" t="s">
        <v>135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117</v>
      </c>
      <c r="U730" t="s">
        <v>118</v>
      </c>
      <c r="V730" s="2">
        <f t="shared" si="146"/>
        <v>0.15</v>
      </c>
      <c r="W730" s="2">
        <f t="shared" si="147"/>
        <v>2008.567</v>
      </c>
      <c r="X730" s="2">
        <f>W730-R730</f>
        <v>813.73700000000008</v>
      </c>
      <c r="Y730" s="2">
        <f t="shared" si="148"/>
        <v>0.40513311231340554</v>
      </c>
      <c r="Z730" s="2">
        <f t="shared" si="149"/>
        <v>179</v>
      </c>
      <c r="AA730" s="2">
        <f t="shared" si="150"/>
        <v>1</v>
      </c>
      <c r="AB730" s="2">
        <f t="shared" si="151"/>
        <v>2024</v>
      </c>
      <c r="AC730" s="2" t="str">
        <f t="shared" si="152"/>
        <v>Valid</v>
      </c>
      <c r="AD730" s="2">
        <f t="shared" si="153"/>
        <v>0</v>
      </c>
      <c r="AE730" s="2">
        <f t="shared" si="154"/>
        <v>0</v>
      </c>
      <c r="AH730" t="str">
        <f t="shared" si="145"/>
        <v>Sneha Kapoor</v>
      </c>
      <c r="AI730" t="str">
        <f t="shared" si="145"/>
        <v>Small Business</v>
      </c>
      <c r="AJ730" t="str">
        <f t="shared" si="145"/>
        <v>South</v>
      </c>
      <c r="AK730" t="str">
        <f t="shared" si="145"/>
        <v>Karnataka</v>
      </c>
      <c r="AL730" t="str">
        <f t="shared" si="144"/>
        <v>Bengaluru</v>
      </c>
      <c r="AM730" t="str">
        <f t="shared" si="144"/>
        <v>Technology</v>
      </c>
      <c r="AN730" t="str">
        <f t="shared" si="144"/>
        <v>Machines</v>
      </c>
      <c r="AO730" t="str">
        <f t="shared" si="155"/>
        <v>First Class</v>
      </c>
      <c r="AP730" t="str">
        <f t="shared" si="156"/>
        <v>Paid</v>
      </c>
      <c r="AQ730" t="str">
        <f t="shared" si="156"/>
        <v>Completed</v>
      </c>
    </row>
    <row r="731" spans="1:43">
      <c r="A731" t="s">
        <v>2560</v>
      </c>
      <c r="B731" s="3" t="s">
        <v>2561</v>
      </c>
      <c r="C731" s="3">
        <v>45802</v>
      </c>
      <c r="D731" t="s">
        <v>2562</v>
      </c>
      <c r="E731" t="s">
        <v>148</v>
      </c>
      <c r="F731" t="s">
        <v>177</v>
      </c>
      <c r="G731" t="s">
        <v>140</v>
      </c>
      <c r="H731" t="s">
        <v>357</v>
      </c>
      <c r="I731" t="s">
        <v>358</v>
      </c>
      <c r="J731" t="s">
        <v>160</v>
      </c>
      <c r="K731" t="s">
        <v>385</v>
      </c>
      <c r="L731" t="s">
        <v>2563</v>
      </c>
      <c r="M731" t="s">
        <v>129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117</v>
      </c>
      <c r="U731" t="s">
        <v>118</v>
      </c>
      <c r="V731" s="2">
        <f t="shared" si="146"/>
        <v>0.15</v>
      </c>
      <c r="W731" s="2">
        <f t="shared" si="147"/>
        <v>9234.2129999999997</v>
      </c>
      <c r="X731" s="2">
        <f>W731-R731</f>
        <v>3717.6929999999993</v>
      </c>
      <c r="Y731" s="2">
        <f t="shared" si="148"/>
        <v>0.40259987505161504</v>
      </c>
      <c r="Z731" s="2" t="str">
        <f t="shared" si="149"/>
        <v/>
      </c>
      <c r="AA731" s="2" t="e">
        <f t="shared" si="150"/>
        <v>#VALUE!</v>
      </c>
      <c r="AB731" s="2" t="e">
        <f t="shared" si="151"/>
        <v>#VALUE!</v>
      </c>
      <c r="AC731" s="2" t="str">
        <f t="shared" si="152"/>
        <v>Conflicting Duplicate Order ID</v>
      </c>
      <c r="AD731" s="2">
        <f t="shared" si="153"/>
        <v>0</v>
      </c>
      <c r="AE731" s="2">
        <f t="shared" si="154"/>
        <v>0</v>
      </c>
      <c r="AH731" t="str">
        <f t="shared" si="145"/>
        <v>Ananya Rao</v>
      </c>
      <c r="AI731" t="str">
        <f t="shared" si="145"/>
        <v>Corporate</v>
      </c>
      <c r="AJ731" t="str">
        <f t="shared" si="145"/>
        <v>South</v>
      </c>
      <c r="AK731" t="str">
        <f t="shared" si="145"/>
        <v>Tamil Nadu</v>
      </c>
      <c r="AL731" t="str">
        <f t="shared" si="144"/>
        <v>Chennai</v>
      </c>
      <c r="AM731" t="str">
        <f t="shared" si="144"/>
        <v>Technology</v>
      </c>
      <c r="AN731" t="str">
        <f t="shared" si="144"/>
        <v>Machines</v>
      </c>
      <c r="AO731" t="str">
        <f t="shared" si="155"/>
        <v>Same Day</v>
      </c>
      <c r="AP731" t="str">
        <f t="shared" si="156"/>
        <v>Paid</v>
      </c>
      <c r="AQ731" t="str">
        <f t="shared" si="156"/>
        <v>Completed</v>
      </c>
    </row>
    <row r="732" spans="1:43">
      <c r="A732" t="s">
        <v>2564</v>
      </c>
      <c r="B732" s="3">
        <v>45827</v>
      </c>
      <c r="C732" s="3" t="s">
        <v>2495</v>
      </c>
      <c r="D732" t="s">
        <v>2565</v>
      </c>
      <c r="E732" t="s">
        <v>139</v>
      </c>
      <c r="F732" t="s">
        <v>109</v>
      </c>
      <c r="G732" t="s">
        <v>123</v>
      </c>
      <c r="H732" t="s">
        <v>186</v>
      </c>
      <c r="I732" t="s">
        <v>187</v>
      </c>
      <c r="J732" t="s">
        <v>113</v>
      </c>
      <c r="K732" t="s">
        <v>133</v>
      </c>
      <c r="L732" t="s">
        <v>2566</v>
      </c>
      <c r="M732" t="s">
        <v>116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189</v>
      </c>
      <c r="U732" t="s">
        <v>190</v>
      </c>
      <c r="V732" s="2">
        <f t="shared" si="146"/>
        <v>0.15</v>
      </c>
      <c r="W732" s="2">
        <f t="shared" si="147"/>
        <v>2658.8339999999998</v>
      </c>
      <c r="X732" s="2">
        <f>W732-R732</f>
        <v>431.86400000000003</v>
      </c>
      <c r="Y732" s="2">
        <f t="shared" si="148"/>
        <v>0.16242608602116568</v>
      </c>
      <c r="Z732" s="2" t="str">
        <f t="shared" si="149"/>
        <v/>
      </c>
      <c r="AA732" s="2">
        <f t="shared" si="150"/>
        <v>6</v>
      </c>
      <c r="AB732" s="2">
        <f t="shared" si="151"/>
        <v>2025</v>
      </c>
      <c r="AC732" s="2" t="str">
        <f t="shared" si="152"/>
        <v>Text Value Not Recognized as Date</v>
      </c>
      <c r="AD732" s="2">
        <f t="shared" si="153"/>
        <v>0</v>
      </c>
      <c r="AE732" s="2">
        <f t="shared" si="154"/>
        <v>0</v>
      </c>
      <c r="AH732" t="str">
        <f t="shared" si="145"/>
        <v>Arjun Bose</v>
      </c>
      <c r="AI732" t="str">
        <f t="shared" si="145"/>
        <v>Consumer</v>
      </c>
      <c r="AJ732" t="str">
        <f t="shared" si="145"/>
        <v>East</v>
      </c>
      <c r="AK732" t="str">
        <f t="shared" si="145"/>
        <v>West Bengal</v>
      </c>
      <c r="AL732" t="str">
        <f t="shared" si="144"/>
        <v>Kolkata</v>
      </c>
      <c r="AM732" t="str">
        <f t="shared" si="144"/>
        <v>Office Supplies</v>
      </c>
      <c r="AN732" t="str">
        <f t="shared" si="144"/>
        <v>Art</v>
      </c>
      <c r="AO732" t="str">
        <f t="shared" si="155"/>
        <v>Second Class</v>
      </c>
      <c r="AP732" t="str">
        <f t="shared" si="156"/>
        <v>Refunded</v>
      </c>
      <c r="AQ732" t="str">
        <f t="shared" si="156"/>
        <v>Returned</v>
      </c>
    </row>
    <row r="733" spans="1:43">
      <c r="A733" t="s">
        <v>2567</v>
      </c>
      <c r="B733" s="3">
        <v>45368</v>
      </c>
      <c r="C733" s="3">
        <v>45370</v>
      </c>
      <c r="D733" t="s">
        <v>2568</v>
      </c>
      <c r="E733" t="s">
        <v>148</v>
      </c>
      <c r="F733" t="s">
        <v>177</v>
      </c>
      <c r="G733" t="s">
        <v>123</v>
      </c>
      <c r="H733" t="s">
        <v>124</v>
      </c>
      <c r="I733" t="s">
        <v>125</v>
      </c>
      <c r="J733" t="s">
        <v>113</v>
      </c>
      <c r="K733" t="s">
        <v>246</v>
      </c>
      <c r="L733" t="s">
        <v>2569</v>
      </c>
      <c r="M733" t="s">
        <v>135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117</v>
      </c>
      <c r="U733" t="s">
        <v>118</v>
      </c>
      <c r="V733" s="2">
        <f t="shared" si="146"/>
        <v>0.1</v>
      </c>
      <c r="W733" s="2">
        <f t="shared" si="147"/>
        <v>15756.048000000001</v>
      </c>
      <c r="X733" s="2">
        <f>W733-R733</f>
        <v>5510.6080000000002</v>
      </c>
      <c r="Y733" s="2">
        <f t="shared" si="148"/>
        <v>0.3497455707167178</v>
      </c>
      <c r="Z733" s="2">
        <f t="shared" si="149"/>
        <v>2</v>
      </c>
      <c r="AA733" s="2">
        <f t="shared" si="150"/>
        <v>3</v>
      </c>
      <c r="AB733" s="2">
        <f t="shared" si="151"/>
        <v>2024</v>
      </c>
      <c r="AC733" s="2" t="str">
        <f t="shared" si="152"/>
        <v>Valid</v>
      </c>
      <c r="AD733" s="2">
        <f t="shared" si="153"/>
        <v>0</v>
      </c>
      <c r="AE733" s="2">
        <f t="shared" si="154"/>
        <v>0</v>
      </c>
      <c r="AH733" t="str">
        <f t="shared" si="145"/>
        <v>Ananya Rao</v>
      </c>
      <c r="AI733" t="str">
        <f t="shared" si="145"/>
        <v>Corporate</v>
      </c>
      <c r="AJ733" t="str">
        <f t="shared" si="145"/>
        <v>East</v>
      </c>
      <c r="AK733" t="str">
        <f t="shared" si="145"/>
        <v>Odisha</v>
      </c>
      <c r="AL733" t="str">
        <f t="shared" si="144"/>
        <v>Bhubaneswar</v>
      </c>
      <c r="AM733" t="str">
        <f t="shared" si="144"/>
        <v>Office Supplies</v>
      </c>
      <c r="AN733" t="str">
        <f t="shared" si="144"/>
        <v>Binders</v>
      </c>
      <c r="AO733" t="str">
        <f t="shared" si="155"/>
        <v>First Class</v>
      </c>
      <c r="AP733" t="str">
        <f t="shared" si="156"/>
        <v>Paid</v>
      </c>
      <c r="AQ733" t="str">
        <f t="shared" si="156"/>
        <v>Completed</v>
      </c>
    </row>
    <row r="734" spans="1:43">
      <c r="A734" t="s">
        <v>2570</v>
      </c>
      <c r="B734" s="3">
        <v>45624</v>
      </c>
      <c r="C734" s="3">
        <v>45632</v>
      </c>
      <c r="D734" t="s">
        <v>2571</v>
      </c>
      <c r="E734" t="s">
        <v>139</v>
      </c>
      <c r="F734" t="s">
        <v>122</v>
      </c>
      <c r="G734" t="s">
        <v>110</v>
      </c>
      <c r="H734" t="s">
        <v>211</v>
      </c>
      <c r="I734" t="s">
        <v>212</v>
      </c>
      <c r="J734" t="s">
        <v>160</v>
      </c>
      <c r="K734" t="s">
        <v>266</v>
      </c>
      <c r="L734" t="s">
        <v>2572</v>
      </c>
      <c r="M734" t="s">
        <v>145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117</v>
      </c>
      <c r="U734" t="s">
        <v>118</v>
      </c>
      <c r="V734" s="2">
        <f t="shared" si="146"/>
        <v>0</v>
      </c>
      <c r="W734" s="2">
        <f t="shared" si="147"/>
        <v>14787.78</v>
      </c>
      <c r="X734" s="2">
        <f>W734-R734</f>
        <v>6191.130000000001</v>
      </c>
      <c r="Y734" s="2">
        <f t="shared" si="148"/>
        <v>0.41866527632950995</v>
      </c>
      <c r="Z734" s="2">
        <f t="shared" si="149"/>
        <v>8</v>
      </c>
      <c r="AA734" s="2">
        <f t="shared" si="150"/>
        <v>11</v>
      </c>
      <c r="AB734" s="2">
        <f t="shared" si="151"/>
        <v>2024</v>
      </c>
      <c r="AC734" s="2" t="str">
        <f t="shared" si="152"/>
        <v>Valid</v>
      </c>
      <c r="AD734" s="2">
        <f t="shared" si="153"/>
        <v>0</v>
      </c>
      <c r="AE734" s="2">
        <f t="shared" si="154"/>
        <v>0</v>
      </c>
      <c r="AH734" t="str">
        <f t="shared" si="145"/>
        <v>Arjun Bose</v>
      </c>
      <c r="AI734" t="str">
        <f t="shared" si="145"/>
        <v>Small Business</v>
      </c>
      <c r="AJ734" t="str">
        <f t="shared" si="145"/>
        <v>North</v>
      </c>
      <c r="AK734" t="str">
        <f t="shared" si="145"/>
        <v>Punjab</v>
      </c>
      <c r="AL734" t="str">
        <f t="shared" si="144"/>
        <v>Ludhiana</v>
      </c>
      <c r="AM734" t="str">
        <f t="shared" si="144"/>
        <v>Technology</v>
      </c>
      <c r="AN734" t="str">
        <f t="shared" si="144"/>
        <v>Phones</v>
      </c>
      <c r="AO734" t="str">
        <f t="shared" si="155"/>
        <v>Standard Class</v>
      </c>
      <c r="AP734" t="str">
        <f t="shared" si="156"/>
        <v>Paid</v>
      </c>
      <c r="AQ734" t="str">
        <f t="shared" si="156"/>
        <v>Completed</v>
      </c>
    </row>
    <row r="735" spans="1:43">
      <c r="A735" t="s">
        <v>2573</v>
      </c>
      <c r="B735" s="3" t="s">
        <v>1400</v>
      </c>
      <c r="C735" s="3">
        <v>45471</v>
      </c>
      <c r="D735" t="s">
        <v>2574</v>
      </c>
      <c r="E735" t="s">
        <v>218</v>
      </c>
      <c r="F735" t="s">
        <v>182</v>
      </c>
      <c r="G735" t="s">
        <v>110</v>
      </c>
      <c r="H735" t="s">
        <v>111</v>
      </c>
      <c r="I735" t="s">
        <v>112</v>
      </c>
      <c r="J735" t="s">
        <v>126</v>
      </c>
      <c r="K735" t="s">
        <v>143</v>
      </c>
      <c r="L735" t="s">
        <v>2575</v>
      </c>
      <c r="M735" t="s">
        <v>135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117</v>
      </c>
      <c r="U735" t="s">
        <v>118</v>
      </c>
      <c r="V735" s="2">
        <f t="shared" si="146"/>
        <v>0</v>
      </c>
      <c r="W735" s="2">
        <f t="shared" si="147"/>
        <v>25181.64</v>
      </c>
      <c r="X735" s="2">
        <f>W735-R735</f>
        <v>9843.74</v>
      </c>
      <c r="Y735" s="2">
        <f t="shared" si="148"/>
        <v>0.39090940860086953</v>
      </c>
      <c r="Z735" s="2" t="str">
        <f t="shared" si="149"/>
        <v/>
      </c>
      <c r="AA735" s="2" t="e">
        <f t="shared" si="150"/>
        <v>#VALUE!</v>
      </c>
      <c r="AB735" s="2" t="e">
        <f t="shared" si="151"/>
        <v>#VALUE!</v>
      </c>
      <c r="AC735" s="2" t="str">
        <f t="shared" si="152"/>
        <v>Text Value Not Recognized as Date</v>
      </c>
      <c r="AD735" s="2">
        <f t="shared" si="153"/>
        <v>0</v>
      </c>
      <c r="AE735" s="2">
        <f t="shared" si="154"/>
        <v>0</v>
      </c>
      <c r="AH735" t="str">
        <f t="shared" si="145"/>
        <v>Aarav Sharma</v>
      </c>
      <c r="AI735" t="str">
        <f t="shared" si="145"/>
        <v>Home Office</v>
      </c>
      <c r="AJ735" t="str">
        <f t="shared" si="145"/>
        <v>North</v>
      </c>
      <c r="AK735" t="str">
        <f t="shared" si="145"/>
        <v>Rajasthan</v>
      </c>
      <c r="AL735" t="str">
        <f t="shared" si="144"/>
        <v>Jaipur</v>
      </c>
      <c r="AM735" t="str">
        <f t="shared" si="144"/>
        <v>Furniture</v>
      </c>
      <c r="AN735" t="str">
        <f t="shared" si="144"/>
        <v>Furnishings</v>
      </c>
      <c r="AO735" t="str">
        <f t="shared" si="155"/>
        <v>First Class</v>
      </c>
      <c r="AP735" t="str">
        <f t="shared" si="156"/>
        <v>Paid</v>
      </c>
      <c r="AQ735" t="str">
        <f t="shared" si="156"/>
        <v>Completed</v>
      </c>
    </row>
    <row r="736" spans="1:43">
      <c r="A736" t="s">
        <v>2576</v>
      </c>
      <c r="B736" s="3" t="s">
        <v>2577</v>
      </c>
      <c r="C736" s="3" t="s">
        <v>2577</v>
      </c>
      <c r="D736" t="s">
        <v>2578</v>
      </c>
      <c r="E736" t="s">
        <v>148</v>
      </c>
      <c r="F736" t="s">
        <v>122</v>
      </c>
      <c r="G736" t="s">
        <v>110</v>
      </c>
      <c r="H736" t="s">
        <v>111</v>
      </c>
      <c r="I736" t="s">
        <v>112</v>
      </c>
      <c r="J736" t="s">
        <v>160</v>
      </c>
      <c r="K736" t="s">
        <v>161</v>
      </c>
      <c r="L736" t="s">
        <v>2579</v>
      </c>
      <c r="M736" t="s">
        <v>135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117</v>
      </c>
      <c r="U736" t="s">
        <v>118</v>
      </c>
      <c r="V736" s="2">
        <f t="shared" si="146"/>
        <v>0.2</v>
      </c>
      <c r="W736" s="2">
        <f t="shared" si="147"/>
        <v>8837.9520000000011</v>
      </c>
      <c r="X736" s="2">
        <f>W736-R736</f>
        <v>2680.6820000000007</v>
      </c>
      <c r="Y736" s="2">
        <f t="shared" si="148"/>
        <v>0.30331484036120587</v>
      </c>
      <c r="Z736" s="2" t="str">
        <f t="shared" si="149"/>
        <v/>
      </c>
      <c r="AA736" s="2" t="e">
        <f t="shared" si="150"/>
        <v>#VALUE!</v>
      </c>
      <c r="AB736" s="2" t="e">
        <f t="shared" si="151"/>
        <v>#VALUE!</v>
      </c>
      <c r="AC736" s="2" t="str">
        <f t="shared" si="152"/>
        <v>Text Value Not Recognized as Date</v>
      </c>
      <c r="AD736" s="2">
        <f t="shared" si="153"/>
        <v>0</v>
      </c>
      <c r="AE736" s="2">
        <f t="shared" si="154"/>
        <v>0</v>
      </c>
      <c r="AH736" t="str">
        <f t="shared" si="145"/>
        <v>Ananya Rao</v>
      </c>
      <c r="AI736" t="str">
        <f t="shared" si="145"/>
        <v>Small Business</v>
      </c>
      <c r="AJ736" t="str">
        <f t="shared" si="145"/>
        <v>North</v>
      </c>
      <c r="AK736" t="str">
        <f t="shared" si="145"/>
        <v>Rajasthan</v>
      </c>
      <c r="AL736" t="str">
        <f t="shared" si="144"/>
        <v>Jaipur</v>
      </c>
      <c r="AM736" t="str">
        <f t="shared" si="144"/>
        <v>Technology</v>
      </c>
      <c r="AN736" t="str">
        <f t="shared" si="144"/>
        <v>Accessories</v>
      </c>
      <c r="AO736" t="str">
        <f t="shared" si="155"/>
        <v>First Class</v>
      </c>
      <c r="AP736" t="str">
        <f t="shared" si="156"/>
        <v>Paid</v>
      </c>
      <c r="AQ736" t="str">
        <f t="shared" si="156"/>
        <v>Completed</v>
      </c>
    </row>
    <row r="737" spans="1:43">
      <c r="A737" t="s">
        <v>2580</v>
      </c>
      <c r="B737" s="3">
        <v>45515</v>
      </c>
      <c r="C737" s="3" t="s">
        <v>2150</v>
      </c>
      <c r="D737" t="s">
        <v>2581</v>
      </c>
      <c r="E737" t="s">
        <v>121</v>
      </c>
      <c r="F737" t="s">
        <v>109</v>
      </c>
      <c r="G737" t="s">
        <v>149</v>
      </c>
      <c r="H737" t="s">
        <v>150</v>
      </c>
      <c r="I737" t="s">
        <v>151</v>
      </c>
      <c r="J737" t="s">
        <v>126</v>
      </c>
      <c r="K737" t="s">
        <v>127</v>
      </c>
      <c r="L737" t="s">
        <v>2582</v>
      </c>
      <c r="M737" t="s">
        <v>145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117</v>
      </c>
      <c r="U737" t="s">
        <v>118</v>
      </c>
      <c r="V737" s="2">
        <f t="shared" si="146"/>
        <v>0.2</v>
      </c>
      <c r="W737" s="2">
        <f t="shared" si="147"/>
        <v>7275.7920000000004</v>
      </c>
      <c r="X737" s="2">
        <f>W737-R737</f>
        <v>1122.9220000000005</v>
      </c>
      <c r="Y737" s="2">
        <f t="shared" si="148"/>
        <v>0.15433673749881804</v>
      </c>
      <c r="Z737" s="2" t="str">
        <f t="shared" si="149"/>
        <v/>
      </c>
      <c r="AA737" s="2">
        <f t="shared" si="150"/>
        <v>8</v>
      </c>
      <c r="AB737" s="2">
        <f t="shared" si="151"/>
        <v>2024</v>
      </c>
      <c r="AC737" s="2" t="str">
        <f t="shared" si="152"/>
        <v>Text Value Not Recognized as Date</v>
      </c>
      <c r="AD737" s="2">
        <f t="shared" si="153"/>
        <v>0</v>
      </c>
      <c r="AE737" s="2">
        <f t="shared" si="154"/>
        <v>0</v>
      </c>
      <c r="AH737" t="str">
        <f t="shared" si="145"/>
        <v>Mira Das</v>
      </c>
      <c r="AI737" t="str">
        <f t="shared" si="145"/>
        <v>Consumer</v>
      </c>
      <c r="AJ737" t="str">
        <f t="shared" si="145"/>
        <v>West</v>
      </c>
      <c r="AK737" t="str">
        <f t="shared" si="145"/>
        <v>Maharashtra</v>
      </c>
      <c r="AL737" t="str">
        <f t="shared" si="144"/>
        <v>Mumbai</v>
      </c>
      <c r="AM737" t="str">
        <f t="shared" si="144"/>
        <v>Furniture</v>
      </c>
      <c r="AN737" t="str">
        <f t="shared" si="144"/>
        <v>Tables</v>
      </c>
      <c r="AO737" t="str">
        <f t="shared" si="155"/>
        <v>Standard Class</v>
      </c>
      <c r="AP737" t="str">
        <f t="shared" si="156"/>
        <v>Paid</v>
      </c>
      <c r="AQ737" t="str">
        <f t="shared" si="156"/>
        <v>Completed</v>
      </c>
    </row>
    <row r="738" spans="1:43">
      <c r="A738" t="s">
        <v>2583</v>
      </c>
      <c r="B738" s="3">
        <v>45632</v>
      </c>
      <c r="C738" s="3">
        <v>45547</v>
      </c>
      <c r="D738" t="s">
        <v>2584</v>
      </c>
      <c r="E738" t="s">
        <v>176</v>
      </c>
      <c r="F738" t="s">
        <v>109</v>
      </c>
      <c r="G738" t="s">
        <v>149</v>
      </c>
      <c r="H738" t="s">
        <v>150</v>
      </c>
      <c r="I738" t="s">
        <v>151</v>
      </c>
      <c r="J738" t="s">
        <v>126</v>
      </c>
      <c r="K738" t="s">
        <v>152</v>
      </c>
      <c r="L738" t="s">
        <v>2585</v>
      </c>
      <c r="M738" t="s">
        <v>116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117</v>
      </c>
      <c r="U738" t="s">
        <v>118</v>
      </c>
      <c r="V738" s="2">
        <f t="shared" si="146"/>
        <v>0.1</v>
      </c>
      <c r="W738" s="2">
        <f t="shared" si="147"/>
        <v>2355.0750000000003</v>
      </c>
      <c r="X738" s="2">
        <f>W738-R738</f>
        <v>1005.0450000000003</v>
      </c>
      <c r="Y738" s="2">
        <f t="shared" si="148"/>
        <v>0.42675710964618968</v>
      </c>
      <c r="Z738" s="2">
        <f t="shared" si="149"/>
        <v>-85</v>
      </c>
      <c r="AA738" s="2">
        <f t="shared" si="150"/>
        <v>12</v>
      </c>
      <c r="AB738" s="2">
        <f t="shared" si="151"/>
        <v>2024</v>
      </c>
      <c r="AC738" s="2" t="str">
        <f t="shared" si="152"/>
        <v>Invalid shipping record</v>
      </c>
      <c r="AD738" s="2">
        <f t="shared" si="153"/>
        <v>0</v>
      </c>
      <c r="AE738" s="2">
        <f t="shared" si="154"/>
        <v>0</v>
      </c>
      <c r="AH738" t="str">
        <f t="shared" si="145"/>
        <v>Aditi Sen</v>
      </c>
      <c r="AI738" t="str">
        <f t="shared" si="145"/>
        <v>Consumer</v>
      </c>
      <c r="AJ738" t="str">
        <f t="shared" si="145"/>
        <v>West</v>
      </c>
      <c r="AK738" t="str">
        <f t="shared" si="145"/>
        <v>Maharashtra</v>
      </c>
      <c r="AL738" t="str">
        <f t="shared" si="144"/>
        <v>Mumbai</v>
      </c>
      <c r="AM738" t="str">
        <f t="shared" si="144"/>
        <v>Furniture</v>
      </c>
      <c r="AN738" t="str">
        <f t="shared" si="144"/>
        <v>Chairs</v>
      </c>
      <c r="AO738" t="str">
        <f t="shared" si="155"/>
        <v>Second Class</v>
      </c>
      <c r="AP738" t="str">
        <f t="shared" si="156"/>
        <v>Paid</v>
      </c>
      <c r="AQ738" t="str">
        <f t="shared" si="156"/>
        <v>Completed</v>
      </c>
    </row>
    <row r="739" spans="1:43">
      <c r="A739" t="s">
        <v>2586</v>
      </c>
      <c r="B739" s="3">
        <v>45332</v>
      </c>
      <c r="C739" s="3">
        <v>45332</v>
      </c>
      <c r="D739" t="s">
        <v>2587</v>
      </c>
      <c r="E739" t="s">
        <v>132</v>
      </c>
      <c r="F739" t="s">
        <v>182</v>
      </c>
      <c r="G739" t="s">
        <v>149</v>
      </c>
      <c r="H739" t="s">
        <v>150</v>
      </c>
      <c r="I739" t="s">
        <v>151</v>
      </c>
      <c r="J739" t="s">
        <v>126</v>
      </c>
      <c r="K739" t="s">
        <v>152</v>
      </c>
      <c r="L739" t="s">
        <v>2588</v>
      </c>
      <c r="M739" t="s">
        <v>129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117</v>
      </c>
      <c r="U739" t="s">
        <v>118</v>
      </c>
      <c r="V739" s="2">
        <f t="shared" si="146"/>
        <v>0</v>
      </c>
      <c r="W739" s="2">
        <f t="shared" si="147"/>
        <v>3609.12</v>
      </c>
      <c r="X739" s="2">
        <f>W739-R739</f>
        <v>963.61999999999989</v>
      </c>
      <c r="Y739" s="2">
        <f t="shared" si="148"/>
        <v>0.2669958327791816</v>
      </c>
      <c r="Z739" s="2">
        <f t="shared" si="149"/>
        <v>0</v>
      </c>
      <c r="AA739" s="2">
        <f t="shared" si="150"/>
        <v>2</v>
      </c>
      <c r="AB739" s="2">
        <f t="shared" si="151"/>
        <v>2024</v>
      </c>
      <c r="AC739" s="2" t="str">
        <f t="shared" si="152"/>
        <v>Valid</v>
      </c>
      <c r="AD739" s="2">
        <f t="shared" si="153"/>
        <v>0</v>
      </c>
      <c r="AE739" s="2">
        <f t="shared" si="154"/>
        <v>0</v>
      </c>
      <c r="AH739" t="str">
        <f t="shared" si="145"/>
        <v>Isha Nair</v>
      </c>
      <c r="AI739" t="str">
        <f t="shared" si="145"/>
        <v>Home Office</v>
      </c>
      <c r="AJ739" t="str">
        <f t="shared" si="145"/>
        <v>West</v>
      </c>
      <c r="AK739" t="str">
        <f t="shared" si="145"/>
        <v>Maharashtra</v>
      </c>
      <c r="AL739" t="str">
        <f t="shared" si="144"/>
        <v>Mumbai</v>
      </c>
      <c r="AM739" t="str">
        <f t="shared" si="144"/>
        <v>Furniture</v>
      </c>
      <c r="AN739" t="str">
        <f t="shared" si="144"/>
        <v>Chairs</v>
      </c>
      <c r="AO739" t="str">
        <f t="shared" si="155"/>
        <v>Same Day</v>
      </c>
      <c r="AP739" t="str">
        <f t="shared" si="156"/>
        <v>Paid</v>
      </c>
      <c r="AQ739" t="str">
        <f t="shared" si="156"/>
        <v>Completed</v>
      </c>
    </row>
    <row r="740" spans="1:43">
      <c r="A740" t="s">
        <v>2589</v>
      </c>
      <c r="B740" s="3">
        <v>45708</v>
      </c>
      <c r="C740" s="3">
        <v>45710</v>
      </c>
      <c r="D740" t="s">
        <v>2590</v>
      </c>
      <c r="E740" t="s">
        <v>203</v>
      </c>
      <c r="F740" t="s">
        <v>177</v>
      </c>
      <c r="G740" t="s">
        <v>140</v>
      </c>
      <c r="H740" t="s">
        <v>282</v>
      </c>
      <c r="I740" t="s">
        <v>283</v>
      </c>
      <c r="J740" t="s">
        <v>113</v>
      </c>
      <c r="K740" t="s">
        <v>114</v>
      </c>
      <c r="L740" t="s">
        <v>2591</v>
      </c>
      <c r="M740" t="s">
        <v>135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117</v>
      </c>
      <c r="U740" t="s">
        <v>118</v>
      </c>
      <c r="V740" s="2">
        <f t="shared" si="146"/>
        <v>0</v>
      </c>
      <c r="W740" s="2">
        <f t="shared" si="147"/>
        <v>2188.19</v>
      </c>
      <c r="X740" s="2">
        <f>W740-R740</f>
        <v>889.35000000000014</v>
      </c>
      <c r="Y740" s="2">
        <f t="shared" si="148"/>
        <v>0.40643179979800664</v>
      </c>
      <c r="Z740" s="2">
        <f t="shared" si="149"/>
        <v>2</v>
      </c>
      <c r="AA740" s="2">
        <f t="shared" si="150"/>
        <v>2</v>
      </c>
      <c r="AB740" s="2">
        <f t="shared" si="151"/>
        <v>2025</v>
      </c>
      <c r="AC740" s="2" t="str">
        <f t="shared" si="152"/>
        <v>Valid</v>
      </c>
      <c r="AD740" s="2">
        <f t="shared" si="153"/>
        <v>0</v>
      </c>
      <c r="AE740" s="2">
        <f t="shared" si="154"/>
        <v>0</v>
      </c>
      <c r="AH740" t="str">
        <f t="shared" si="145"/>
        <v>Priya Menon</v>
      </c>
      <c r="AI740" t="str">
        <f t="shared" si="145"/>
        <v>Corporate</v>
      </c>
      <c r="AJ740" t="str">
        <f t="shared" si="145"/>
        <v>South</v>
      </c>
      <c r="AK740" t="str">
        <f t="shared" si="145"/>
        <v>Kerala</v>
      </c>
      <c r="AL740" t="str">
        <f t="shared" si="144"/>
        <v>Kochi</v>
      </c>
      <c r="AM740" t="str">
        <f t="shared" si="144"/>
        <v>Office Supplies</v>
      </c>
      <c r="AN740" t="str">
        <f t="shared" si="144"/>
        <v>Paper</v>
      </c>
      <c r="AO740" t="str">
        <f t="shared" si="155"/>
        <v>First Class</v>
      </c>
      <c r="AP740" t="str">
        <f t="shared" si="156"/>
        <v>Paid</v>
      </c>
      <c r="AQ740" t="str">
        <f t="shared" si="156"/>
        <v>Completed</v>
      </c>
    </row>
    <row r="741" spans="1:43">
      <c r="A741" t="s">
        <v>2592</v>
      </c>
      <c r="B741" s="3">
        <v>45629</v>
      </c>
      <c r="C741" s="3">
        <v>45636</v>
      </c>
      <c r="D741" t="s">
        <v>2593</v>
      </c>
      <c r="E741" t="s">
        <v>165</v>
      </c>
      <c r="F741" t="s">
        <v>177</v>
      </c>
      <c r="G741" t="s">
        <v>110</v>
      </c>
      <c r="H741" t="s">
        <v>111</v>
      </c>
      <c r="I741" t="s">
        <v>112</v>
      </c>
      <c r="J741" t="s">
        <v>160</v>
      </c>
      <c r="K741" t="s">
        <v>266</v>
      </c>
      <c r="L741" t="s">
        <v>2594</v>
      </c>
      <c r="M741" t="s">
        <v>145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117</v>
      </c>
      <c r="U741" t="s">
        <v>118</v>
      </c>
      <c r="V741" s="2">
        <f t="shared" si="146"/>
        <v>0.05</v>
      </c>
      <c r="W741" s="2">
        <f t="shared" si="147"/>
        <v>11370.835000000001</v>
      </c>
      <c r="X741" s="2">
        <f>W741-R741</f>
        <v>3901.255000000001</v>
      </c>
      <c r="Y741" s="2">
        <f t="shared" si="148"/>
        <v>0.34309309738466881</v>
      </c>
      <c r="Z741" s="2">
        <f t="shared" si="149"/>
        <v>7</v>
      </c>
      <c r="AA741" s="2">
        <f t="shared" si="150"/>
        <v>12</v>
      </c>
      <c r="AB741" s="2">
        <f t="shared" si="151"/>
        <v>2024</v>
      </c>
      <c r="AC741" s="2" t="str">
        <f t="shared" si="152"/>
        <v>Valid</v>
      </c>
      <c r="AD741" s="2">
        <f t="shared" si="153"/>
        <v>0</v>
      </c>
      <c r="AE741" s="2">
        <f t="shared" si="154"/>
        <v>0</v>
      </c>
      <c r="AH741" t="str">
        <f t="shared" si="145"/>
        <v>Neha Gupta</v>
      </c>
      <c r="AI741" t="str">
        <f t="shared" si="145"/>
        <v>Corporate</v>
      </c>
      <c r="AJ741" t="str">
        <f t="shared" si="145"/>
        <v>North</v>
      </c>
      <c r="AK741" t="str">
        <f t="shared" si="145"/>
        <v>Rajasthan</v>
      </c>
      <c r="AL741" t="str">
        <f t="shared" si="144"/>
        <v>Jaipur</v>
      </c>
      <c r="AM741" t="str">
        <f t="shared" si="144"/>
        <v>Technology</v>
      </c>
      <c r="AN741" t="str">
        <f t="shared" si="144"/>
        <v>Phones</v>
      </c>
      <c r="AO741" t="str">
        <f t="shared" si="155"/>
        <v>Standard Class</v>
      </c>
      <c r="AP741" t="str">
        <f t="shared" si="156"/>
        <v>Paid</v>
      </c>
      <c r="AQ741" t="str">
        <f t="shared" si="156"/>
        <v>Completed</v>
      </c>
    </row>
    <row r="742" spans="1:43">
      <c r="A742" t="s">
        <v>2595</v>
      </c>
      <c r="B742" s="3">
        <v>45384</v>
      </c>
      <c r="C742" s="3">
        <v>45384</v>
      </c>
      <c r="D742" t="s">
        <v>654</v>
      </c>
      <c r="E742" t="s">
        <v>222</v>
      </c>
      <c r="F742" t="s">
        <v>122</v>
      </c>
      <c r="G742" t="s">
        <v>149</v>
      </c>
      <c r="H742" t="s">
        <v>150</v>
      </c>
      <c r="I742" t="s">
        <v>151</v>
      </c>
      <c r="J742" t="s">
        <v>126</v>
      </c>
      <c r="K742" t="s">
        <v>152</v>
      </c>
      <c r="L742" t="s">
        <v>2596</v>
      </c>
      <c r="M742" t="s">
        <v>135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117</v>
      </c>
      <c r="U742" t="s">
        <v>118</v>
      </c>
      <c r="V742" s="2">
        <f t="shared" si="146"/>
        <v>0.1</v>
      </c>
      <c r="W742" s="2">
        <f t="shared" si="147"/>
        <v>9298.8000000000011</v>
      </c>
      <c r="X742" s="2">
        <f>W742-R742</f>
        <v>2750.3000000000011</v>
      </c>
      <c r="Y742" s="2">
        <f t="shared" si="148"/>
        <v>0.29576934658235482</v>
      </c>
      <c r="Z742" s="2">
        <f t="shared" si="149"/>
        <v>0</v>
      </c>
      <c r="AA742" s="2">
        <f t="shared" si="150"/>
        <v>4</v>
      </c>
      <c r="AB742" s="2">
        <f t="shared" si="151"/>
        <v>2024</v>
      </c>
      <c r="AC742" s="2" t="str">
        <f t="shared" si="152"/>
        <v>Valid</v>
      </c>
      <c r="AD742" s="2">
        <f t="shared" si="153"/>
        <v>0</v>
      </c>
      <c r="AE742" s="2">
        <f t="shared" si="154"/>
        <v>0</v>
      </c>
      <c r="AH742" t="str">
        <f t="shared" si="145"/>
        <v>Sneha Kapoor</v>
      </c>
      <c r="AI742" t="str">
        <f t="shared" si="145"/>
        <v>Small Business</v>
      </c>
      <c r="AJ742" t="str">
        <f t="shared" si="145"/>
        <v>West</v>
      </c>
      <c r="AK742" t="str">
        <f t="shared" si="145"/>
        <v>Maharashtra</v>
      </c>
      <c r="AL742" t="str">
        <f t="shared" si="144"/>
        <v>Mumbai</v>
      </c>
      <c r="AM742" t="str">
        <f t="shared" si="144"/>
        <v>Furniture</v>
      </c>
      <c r="AN742" t="str">
        <f t="shared" si="144"/>
        <v>Chairs</v>
      </c>
      <c r="AO742" t="str">
        <f t="shared" si="155"/>
        <v>First Class</v>
      </c>
      <c r="AP742" t="str">
        <f t="shared" si="156"/>
        <v>Paid</v>
      </c>
      <c r="AQ742" t="str">
        <f t="shared" si="156"/>
        <v>Completed</v>
      </c>
    </row>
    <row r="743" spans="1:43">
      <c r="A743" t="s">
        <v>2597</v>
      </c>
      <c r="B743" s="3">
        <v>45770</v>
      </c>
      <c r="C743" s="3">
        <v>45772</v>
      </c>
      <c r="D743" t="s">
        <v>2598</v>
      </c>
      <c r="E743" t="s">
        <v>132</v>
      </c>
      <c r="F743" t="s">
        <v>182</v>
      </c>
      <c r="G743" t="s">
        <v>140</v>
      </c>
      <c r="H743" t="s">
        <v>357</v>
      </c>
      <c r="I743" t="s">
        <v>358</v>
      </c>
      <c r="J743" t="s">
        <v>126</v>
      </c>
      <c r="K743" t="s">
        <v>152</v>
      </c>
      <c r="L743" t="s">
        <v>2599</v>
      </c>
      <c r="M743" t="s">
        <v>116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117</v>
      </c>
      <c r="U743" t="s">
        <v>44</v>
      </c>
      <c r="V743" s="2">
        <f t="shared" si="146"/>
        <v>0</v>
      </c>
      <c r="W743" s="2">
        <f t="shared" si="147"/>
        <v>8853.36</v>
      </c>
      <c r="X743" s="2">
        <f>W743-R743</f>
        <v>3257.0200000000004</v>
      </c>
      <c r="Y743" s="2">
        <f t="shared" si="148"/>
        <v>0.36788518709280998</v>
      </c>
      <c r="Z743" s="2">
        <f t="shared" si="149"/>
        <v>2</v>
      </c>
      <c r="AA743" s="2">
        <f t="shared" si="150"/>
        <v>4</v>
      </c>
      <c r="AB743" s="2">
        <f t="shared" si="151"/>
        <v>2025</v>
      </c>
      <c r="AC743" s="2" t="str">
        <f t="shared" si="152"/>
        <v>Valid</v>
      </c>
      <c r="AD743" s="2">
        <f t="shared" si="153"/>
        <v>1</v>
      </c>
      <c r="AE743" s="2">
        <f t="shared" si="154"/>
        <v>1</v>
      </c>
      <c r="AH743" t="str">
        <f t="shared" si="145"/>
        <v>Isha Nair</v>
      </c>
      <c r="AI743" t="str">
        <f t="shared" si="145"/>
        <v>Home Office</v>
      </c>
      <c r="AJ743" t="str">
        <f t="shared" si="145"/>
        <v>South</v>
      </c>
      <c r="AK743" t="str">
        <f t="shared" si="145"/>
        <v>Tamil Nadu</v>
      </c>
      <c r="AL743" t="str">
        <f t="shared" si="144"/>
        <v>Chennai</v>
      </c>
      <c r="AM743" t="str">
        <f t="shared" si="144"/>
        <v>Furniture</v>
      </c>
      <c r="AN743" t="str">
        <f t="shared" si="144"/>
        <v>Chairs</v>
      </c>
      <c r="AO743" t="str">
        <f t="shared" si="155"/>
        <v>Second Class</v>
      </c>
      <c r="AP743" t="str">
        <f t="shared" si="156"/>
        <v>Paid</v>
      </c>
      <c r="AQ743" t="str">
        <f t="shared" si="156"/>
        <v>Cancelled</v>
      </c>
    </row>
    <row r="744" spans="1:43">
      <c r="A744" t="s">
        <v>2600</v>
      </c>
      <c r="B744" s="3">
        <v>45580</v>
      </c>
      <c r="C744" s="3">
        <v>45587</v>
      </c>
      <c r="D744" t="s">
        <v>2601</v>
      </c>
      <c r="E744" t="s">
        <v>108</v>
      </c>
      <c r="F744" t="s">
        <v>177</v>
      </c>
      <c r="G744" t="s">
        <v>2602</v>
      </c>
      <c r="H744" t="s">
        <v>124</v>
      </c>
      <c r="I744" t="s">
        <v>125</v>
      </c>
      <c r="J744" t="s">
        <v>113</v>
      </c>
      <c r="K744" t="s">
        <v>114</v>
      </c>
      <c r="L744" t="s">
        <v>2603</v>
      </c>
      <c r="M744" t="s">
        <v>145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117</v>
      </c>
      <c r="U744" t="s">
        <v>118</v>
      </c>
      <c r="V744" s="2">
        <f t="shared" si="146"/>
        <v>0</v>
      </c>
      <c r="W744" s="2">
        <f t="shared" si="147"/>
        <v>9043.7999999999993</v>
      </c>
      <c r="X744" s="2">
        <f>W744-R744</f>
        <v>3130.4199999999992</v>
      </c>
      <c r="Y744" s="2">
        <f t="shared" si="148"/>
        <v>0.34613989694597397</v>
      </c>
      <c r="Z744" s="2">
        <f t="shared" si="149"/>
        <v>7</v>
      </c>
      <c r="AA744" s="2">
        <f t="shared" si="150"/>
        <v>10</v>
      </c>
      <c r="AB744" s="2">
        <f t="shared" si="151"/>
        <v>2024</v>
      </c>
      <c r="AC744" s="2" t="str">
        <f t="shared" si="152"/>
        <v>Valid</v>
      </c>
      <c r="AD744" s="2">
        <f t="shared" si="153"/>
        <v>0</v>
      </c>
      <c r="AE744" s="2">
        <f t="shared" si="154"/>
        <v>0</v>
      </c>
      <c r="AH744" t="str">
        <f t="shared" si="145"/>
        <v>Karan Malhotra</v>
      </c>
      <c r="AI744" t="str">
        <f t="shared" si="145"/>
        <v>Corporate</v>
      </c>
      <c r="AJ744" t="str">
        <f t="shared" si="145"/>
        <v>East</v>
      </c>
      <c r="AK744" t="str">
        <f t="shared" si="145"/>
        <v>Odisha</v>
      </c>
      <c r="AL744" t="str">
        <f t="shared" si="144"/>
        <v>Bhubaneswar</v>
      </c>
      <c r="AM744" t="str">
        <f t="shared" si="144"/>
        <v>Office Supplies</v>
      </c>
      <c r="AN744" t="str">
        <f t="shared" si="144"/>
        <v>Paper</v>
      </c>
      <c r="AO744" t="str">
        <f t="shared" si="155"/>
        <v>Standard Class</v>
      </c>
      <c r="AP744" t="str">
        <f t="shared" si="156"/>
        <v>Paid</v>
      </c>
      <c r="AQ744" t="str">
        <f t="shared" si="156"/>
        <v>Completed</v>
      </c>
    </row>
    <row r="745" spans="1:43">
      <c r="A745" t="s">
        <v>2604</v>
      </c>
      <c r="B745" s="3">
        <v>45700</v>
      </c>
      <c r="C745" s="3">
        <v>45702</v>
      </c>
      <c r="D745" t="s">
        <v>2605</v>
      </c>
      <c r="E745" t="s">
        <v>222</v>
      </c>
      <c r="F745" t="s">
        <v>109</v>
      </c>
      <c r="G745" t="s">
        <v>110</v>
      </c>
      <c r="H745" t="s">
        <v>227</v>
      </c>
      <c r="I745" t="s">
        <v>228</v>
      </c>
      <c r="J745" t="s">
        <v>113</v>
      </c>
      <c r="K745" t="s">
        <v>133</v>
      </c>
      <c r="L745" t="s">
        <v>2606</v>
      </c>
      <c r="M745" t="s">
        <v>145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117</v>
      </c>
      <c r="U745" t="s">
        <v>118</v>
      </c>
      <c r="V745" s="2">
        <f t="shared" si="146"/>
        <v>0.25</v>
      </c>
      <c r="W745" s="2">
        <f t="shared" si="147"/>
        <v>2211.2999999999997</v>
      </c>
      <c r="X745" s="2">
        <f>W745-R745</f>
        <v>475.65999999999963</v>
      </c>
      <c r="Y745" s="2">
        <f t="shared" si="148"/>
        <v>0.21510423732645942</v>
      </c>
      <c r="Z745" s="2">
        <f t="shared" si="149"/>
        <v>2</v>
      </c>
      <c r="AA745" s="2">
        <f t="shared" si="150"/>
        <v>2</v>
      </c>
      <c r="AB745" s="2">
        <f t="shared" si="151"/>
        <v>2025</v>
      </c>
      <c r="AC745" s="2" t="str">
        <f t="shared" si="152"/>
        <v>Valid</v>
      </c>
      <c r="AD745" s="2">
        <f t="shared" si="153"/>
        <v>0</v>
      </c>
      <c r="AE745" s="2">
        <f t="shared" si="154"/>
        <v>0</v>
      </c>
      <c r="AH745" t="str">
        <f t="shared" si="145"/>
        <v>Sneha Kapoor</v>
      </c>
      <c r="AI745" t="str">
        <f t="shared" si="145"/>
        <v>Consumer</v>
      </c>
      <c r="AJ745" t="str">
        <f t="shared" si="145"/>
        <v>North</v>
      </c>
      <c r="AK745" t="str">
        <f t="shared" si="145"/>
        <v>Uttar Pradesh</v>
      </c>
      <c r="AL745" t="str">
        <f t="shared" si="144"/>
        <v>Noida</v>
      </c>
      <c r="AM745" t="str">
        <f t="shared" si="144"/>
        <v>Office Supplies</v>
      </c>
      <c r="AN745" t="str">
        <f t="shared" si="144"/>
        <v>Art</v>
      </c>
      <c r="AO745" t="str">
        <f t="shared" si="155"/>
        <v>Standard Class</v>
      </c>
      <c r="AP745" t="str">
        <f t="shared" si="156"/>
        <v>Paid</v>
      </c>
      <c r="AQ745" t="str">
        <f t="shared" si="156"/>
        <v>Completed</v>
      </c>
    </row>
    <row r="746" spans="1:43">
      <c r="A746" t="s">
        <v>2607</v>
      </c>
      <c r="B746" s="3">
        <v>45886</v>
      </c>
      <c r="C746" s="3">
        <v>45889</v>
      </c>
      <c r="D746" t="s">
        <v>2608</v>
      </c>
      <c r="E746" t="s">
        <v>121</v>
      </c>
      <c r="F746" t="s">
        <v>182</v>
      </c>
      <c r="G746" t="s">
        <v>110</v>
      </c>
      <c r="H746" t="s">
        <v>211</v>
      </c>
      <c r="I746" t="s">
        <v>212</v>
      </c>
      <c r="J746" t="s">
        <v>113</v>
      </c>
      <c r="K746" t="s">
        <v>246</v>
      </c>
      <c r="L746" t="s">
        <v>2609</v>
      </c>
      <c r="M746" t="s">
        <v>135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117</v>
      </c>
      <c r="U746" t="s">
        <v>44</v>
      </c>
      <c r="V746" s="2">
        <f t="shared" si="146"/>
        <v>0.1</v>
      </c>
      <c r="W746" s="2">
        <f t="shared" si="147"/>
        <v>12158.504999999999</v>
      </c>
      <c r="X746" s="2">
        <f>W746-R746</f>
        <v>1898.4349999999995</v>
      </c>
      <c r="Y746" s="2">
        <f t="shared" si="148"/>
        <v>0.15614049589155901</v>
      </c>
      <c r="Z746" s="2">
        <f t="shared" si="149"/>
        <v>3</v>
      </c>
      <c r="AA746" s="2">
        <f t="shared" si="150"/>
        <v>8</v>
      </c>
      <c r="AB746" s="2">
        <f t="shared" si="151"/>
        <v>2025</v>
      </c>
      <c r="AC746" s="2" t="str">
        <f t="shared" si="152"/>
        <v>Valid</v>
      </c>
      <c r="AD746" s="2">
        <f t="shared" si="153"/>
        <v>0</v>
      </c>
      <c r="AE746" s="2">
        <f t="shared" si="154"/>
        <v>0</v>
      </c>
      <c r="AH746" t="str">
        <f t="shared" si="145"/>
        <v>Mira Das</v>
      </c>
      <c r="AI746" t="str">
        <f t="shared" si="145"/>
        <v>Home Office</v>
      </c>
      <c r="AJ746" t="str">
        <f t="shared" si="145"/>
        <v>North</v>
      </c>
      <c r="AK746" t="str">
        <f t="shared" si="145"/>
        <v>Punjab</v>
      </c>
      <c r="AL746" t="str">
        <f t="shared" si="144"/>
        <v>Ludhiana</v>
      </c>
      <c r="AM746" t="str">
        <f t="shared" si="144"/>
        <v>Office Supplies</v>
      </c>
      <c r="AN746" t="str">
        <f t="shared" si="144"/>
        <v>Binders</v>
      </c>
      <c r="AO746" t="str">
        <f t="shared" si="155"/>
        <v>First Class</v>
      </c>
      <c r="AP746" t="str">
        <f t="shared" si="156"/>
        <v>Paid</v>
      </c>
      <c r="AQ746" t="str">
        <f t="shared" si="156"/>
        <v>Cancelled</v>
      </c>
    </row>
    <row r="747" spans="1:43">
      <c r="A747" t="s">
        <v>2610</v>
      </c>
      <c r="B747" s="3">
        <v>45589</v>
      </c>
      <c r="C747" s="3" t="s">
        <v>2611</v>
      </c>
      <c r="D747" t="s">
        <v>2612</v>
      </c>
      <c r="E747" t="s">
        <v>121</v>
      </c>
      <c r="F747" t="s">
        <v>122</v>
      </c>
      <c r="G747" t="s">
        <v>123</v>
      </c>
      <c r="H747" t="s">
        <v>260</v>
      </c>
      <c r="I747" t="s">
        <v>261</v>
      </c>
      <c r="J747" t="s">
        <v>160</v>
      </c>
      <c r="K747" t="s">
        <v>166</v>
      </c>
      <c r="L747" t="s">
        <v>2613</v>
      </c>
      <c r="M747" t="s">
        <v>145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117</v>
      </c>
      <c r="U747" t="s">
        <v>118</v>
      </c>
      <c r="V747" s="2">
        <f t="shared" si="146"/>
        <v>0.2</v>
      </c>
      <c r="W747" s="2">
        <f t="shared" si="147"/>
        <v>1736.616</v>
      </c>
      <c r="X747" s="2">
        <f>W747-R747</f>
        <v>677.096</v>
      </c>
      <c r="Y747" s="2">
        <f t="shared" si="148"/>
        <v>0.38989390861307277</v>
      </c>
      <c r="Z747" s="2" t="str">
        <f t="shared" si="149"/>
        <v/>
      </c>
      <c r="AA747" s="2">
        <f t="shared" si="150"/>
        <v>10</v>
      </c>
      <c r="AB747" s="2">
        <f t="shared" si="151"/>
        <v>2024</v>
      </c>
      <c r="AC747" s="2" t="str">
        <f t="shared" si="152"/>
        <v>Text Value Not Recognized as Date</v>
      </c>
      <c r="AD747" s="2">
        <f t="shared" si="153"/>
        <v>0</v>
      </c>
      <c r="AE747" s="2">
        <f t="shared" si="154"/>
        <v>0</v>
      </c>
      <c r="AH747" t="str">
        <f t="shared" si="145"/>
        <v>Mira Das</v>
      </c>
      <c r="AI747" t="str">
        <f t="shared" si="145"/>
        <v>Small Business</v>
      </c>
      <c r="AJ747" t="str">
        <f t="shared" si="145"/>
        <v>East</v>
      </c>
      <c r="AK747" t="str">
        <f t="shared" si="145"/>
        <v>Assam</v>
      </c>
      <c r="AL747" t="str">
        <f t="shared" si="144"/>
        <v>Guwahati</v>
      </c>
      <c r="AM747" t="str">
        <f t="shared" si="144"/>
        <v>Technology</v>
      </c>
      <c r="AN747" t="str">
        <f t="shared" si="144"/>
        <v>Copiers</v>
      </c>
      <c r="AO747" t="str">
        <f t="shared" si="155"/>
        <v>Standard Class</v>
      </c>
      <c r="AP747" t="str">
        <f t="shared" si="156"/>
        <v>Paid</v>
      </c>
      <c r="AQ747" t="str">
        <f t="shared" si="156"/>
        <v>Completed</v>
      </c>
    </row>
    <row r="748" spans="1:43">
      <c r="A748" t="s">
        <v>2614</v>
      </c>
      <c r="B748" s="3">
        <v>45661</v>
      </c>
      <c r="C748" s="3">
        <v>45931</v>
      </c>
      <c r="D748" t="s">
        <v>2296</v>
      </c>
      <c r="E748" t="s">
        <v>218</v>
      </c>
      <c r="F748" t="s">
        <v>182</v>
      </c>
      <c r="G748" t="s">
        <v>123</v>
      </c>
      <c r="H748" t="s">
        <v>186</v>
      </c>
      <c r="I748" t="s">
        <v>187</v>
      </c>
      <c r="J748" t="s">
        <v>113</v>
      </c>
      <c r="K748" t="s">
        <v>114</v>
      </c>
      <c r="L748" t="s">
        <v>2615</v>
      </c>
      <c r="M748" t="s">
        <v>145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117</v>
      </c>
      <c r="U748" t="s">
        <v>118</v>
      </c>
      <c r="V748" s="2">
        <f t="shared" si="146"/>
        <v>0.2</v>
      </c>
      <c r="W748" s="2">
        <f t="shared" si="147"/>
        <v>8266.2080000000005</v>
      </c>
      <c r="X748" s="2">
        <f>W748-R748</f>
        <v>2029.8880000000008</v>
      </c>
      <c r="Y748" s="2">
        <f t="shared" si="148"/>
        <v>0.24556459261610653</v>
      </c>
      <c r="Z748" s="2">
        <f t="shared" si="149"/>
        <v>270</v>
      </c>
      <c r="AA748" s="2">
        <f t="shared" si="150"/>
        <v>1</v>
      </c>
      <c r="AB748" s="2">
        <f t="shared" si="151"/>
        <v>2025</v>
      </c>
      <c r="AC748" s="2" t="str">
        <f t="shared" si="152"/>
        <v>Valid</v>
      </c>
      <c r="AD748" s="2">
        <f t="shared" si="153"/>
        <v>0</v>
      </c>
      <c r="AE748" s="2">
        <f t="shared" si="154"/>
        <v>0</v>
      </c>
      <c r="AH748" t="str">
        <f t="shared" si="145"/>
        <v>Aarav Sharma</v>
      </c>
      <c r="AI748" t="str">
        <f t="shared" si="145"/>
        <v>Home Office</v>
      </c>
      <c r="AJ748" t="str">
        <f t="shared" si="145"/>
        <v>East</v>
      </c>
      <c r="AK748" t="str">
        <f t="shared" si="145"/>
        <v>West Bengal</v>
      </c>
      <c r="AL748" t="str">
        <f t="shared" si="144"/>
        <v>Kolkata</v>
      </c>
      <c r="AM748" t="str">
        <f t="shared" si="144"/>
        <v>Office Supplies</v>
      </c>
      <c r="AN748" t="str">
        <f t="shared" si="144"/>
        <v>Paper</v>
      </c>
      <c r="AO748" t="str">
        <f t="shared" si="155"/>
        <v>Standard Class</v>
      </c>
      <c r="AP748" t="str">
        <f t="shared" si="156"/>
        <v>Paid</v>
      </c>
      <c r="AQ748" t="str">
        <f t="shared" si="156"/>
        <v>Completed</v>
      </c>
    </row>
    <row r="749" spans="1:43">
      <c r="A749" t="s">
        <v>2616</v>
      </c>
      <c r="B749" s="3">
        <v>45413</v>
      </c>
      <c r="C749" s="3">
        <v>45419</v>
      </c>
      <c r="D749" t="s">
        <v>2617</v>
      </c>
      <c r="E749" t="s">
        <v>132</v>
      </c>
      <c r="F749" t="s">
        <v>182</v>
      </c>
      <c r="G749" t="s">
        <v>123</v>
      </c>
      <c r="H749" t="s">
        <v>124</v>
      </c>
      <c r="I749" t="s">
        <v>125</v>
      </c>
      <c r="J749" t="s">
        <v>113</v>
      </c>
      <c r="K749" t="s">
        <v>114</v>
      </c>
      <c r="L749" t="s">
        <v>2618</v>
      </c>
      <c r="M749" t="s">
        <v>129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117</v>
      </c>
      <c r="U749" t="s">
        <v>118</v>
      </c>
      <c r="V749" s="2">
        <f t="shared" si="146"/>
        <v>0.15</v>
      </c>
      <c r="W749" s="2">
        <f t="shared" si="147"/>
        <v>10022.044</v>
      </c>
      <c r="X749" s="2">
        <f>W749-R749</f>
        <v>4445.0640000000003</v>
      </c>
      <c r="Y749" s="2">
        <f t="shared" si="148"/>
        <v>0.44352868536597928</v>
      </c>
      <c r="Z749" s="2">
        <f t="shared" si="149"/>
        <v>6</v>
      </c>
      <c r="AA749" s="2">
        <f t="shared" si="150"/>
        <v>5</v>
      </c>
      <c r="AB749" s="2">
        <f t="shared" si="151"/>
        <v>2024</v>
      </c>
      <c r="AC749" s="2" t="str">
        <f t="shared" si="152"/>
        <v>Valid</v>
      </c>
      <c r="AD749" s="2">
        <f t="shared" si="153"/>
        <v>0</v>
      </c>
      <c r="AE749" s="2">
        <f t="shared" si="154"/>
        <v>0</v>
      </c>
      <c r="AH749" t="str">
        <f t="shared" si="145"/>
        <v>Isha Nair</v>
      </c>
      <c r="AI749" t="str">
        <f t="shared" si="145"/>
        <v>Home Office</v>
      </c>
      <c r="AJ749" t="str">
        <f t="shared" si="145"/>
        <v>East</v>
      </c>
      <c r="AK749" t="str">
        <f t="shared" si="145"/>
        <v>Odisha</v>
      </c>
      <c r="AL749" t="str">
        <f t="shared" si="144"/>
        <v>Bhubaneswar</v>
      </c>
      <c r="AM749" t="str">
        <f t="shared" si="144"/>
        <v>Office Supplies</v>
      </c>
      <c r="AN749" t="str">
        <f t="shared" si="144"/>
        <v>Paper</v>
      </c>
      <c r="AO749" t="str">
        <f t="shared" si="155"/>
        <v>Same Day</v>
      </c>
      <c r="AP749" t="str">
        <f t="shared" si="156"/>
        <v>Paid</v>
      </c>
      <c r="AQ749" t="str">
        <f t="shared" si="156"/>
        <v>Completed</v>
      </c>
    </row>
    <row r="750" spans="1:43">
      <c r="A750" t="s">
        <v>2619</v>
      </c>
      <c r="B750" s="3" t="s">
        <v>2620</v>
      </c>
      <c r="C750" s="3">
        <v>45442</v>
      </c>
      <c r="D750" t="s">
        <v>2621</v>
      </c>
      <c r="E750" t="s">
        <v>256</v>
      </c>
      <c r="F750" t="s">
        <v>182</v>
      </c>
      <c r="G750" t="s">
        <v>110</v>
      </c>
      <c r="H750" t="s">
        <v>344</v>
      </c>
      <c r="I750" t="s">
        <v>345</v>
      </c>
      <c r="J750" t="s">
        <v>160</v>
      </c>
      <c r="K750" t="s">
        <v>266</v>
      </c>
      <c r="L750" t="s">
        <v>2622</v>
      </c>
      <c r="M750" t="s">
        <v>116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117</v>
      </c>
      <c r="U750" t="s">
        <v>118</v>
      </c>
      <c r="V750" s="2">
        <f t="shared" si="146"/>
        <v>0.25</v>
      </c>
      <c r="W750" s="2">
        <f t="shared" si="147"/>
        <v>2886.0299999999997</v>
      </c>
      <c r="X750" s="2">
        <f>W750-R750</f>
        <v>821.19999999999982</v>
      </c>
      <c r="Y750" s="2">
        <f t="shared" si="148"/>
        <v>0.28454312671732446</v>
      </c>
      <c r="Z750" s="2" t="str">
        <f t="shared" si="149"/>
        <v/>
      </c>
      <c r="AA750" s="2" t="e">
        <f t="shared" si="150"/>
        <v>#VALUE!</v>
      </c>
      <c r="AB750" s="2" t="e">
        <f t="shared" si="151"/>
        <v>#VALUE!</v>
      </c>
      <c r="AC750" s="2" t="str">
        <f t="shared" si="152"/>
        <v>Text Value Not Recognized as Date</v>
      </c>
      <c r="AD750" s="2">
        <f t="shared" si="153"/>
        <v>0</v>
      </c>
      <c r="AE750" s="2">
        <f t="shared" si="154"/>
        <v>0</v>
      </c>
      <c r="AH750" t="str">
        <f t="shared" si="145"/>
        <v>Diya Patel</v>
      </c>
      <c r="AI750" t="str">
        <f t="shared" si="145"/>
        <v>Home Office</v>
      </c>
      <c r="AJ750" t="str">
        <f t="shared" si="145"/>
        <v>North</v>
      </c>
      <c r="AK750" t="str">
        <f t="shared" si="145"/>
        <v>Haryana</v>
      </c>
      <c r="AL750" t="str">
        <f t="shared" si="144"/>
        <v>Gurugram</v>
      </c>
      <c r="AM750" t="str">
        <f t="shared" si="144"/>
        <v>Technology</v>
      </c>
      <c r="AN750" t="str">
        <f t="shared" si="144"/>
        <v>Phones</v>
      </c>
      <c r="AO750" t="str">
        <f t="shared" si="155"/>
        <v>Second Class</v>
      </c>
      <c r="AP750" t="str">
        <f t="shared" si="156"/>
        <v>Paid</v>
      </c>
      <c r="AQ750" t="str">
        <f t="shared" si="156"/>
        <v>Completed</v>
      </c>
    </row>
    <row r="751" spans="1:43">
      <c r="A751" t="s">
        <v>2623</v>
      </c>
      <c r="B751" s="3">
        <v>45372</v>
      </c>
      <c r="C751" s="3">
        <v>45376</v>
      </c>
      <c r="D751" t="s">
        <v>2624</v>
      </c>
      <c r="E751" t="s">
        <v>176</v>
      </c>
      <c r="F751" t="s">
        <v>182</v>
      </c>
      <c r="G751" t="s">
        <v>123</v>
      </c>
      <c r="H751" t="s">
        <v>260</v>
      </c>
      <c r="I751" t="s">
        <v>261</v>
      </c>
      <c r="J751" t="s">
        <v>160</v>
      </c>
      <c r="K751" t="s">
        <v>385</v>
      </c>
      <c r="L751" t="s">
        <v>2625</v>
      </c>
      <c r="M751" t="s">
        <v>145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117</v>
      </c>
      <c r="U751" t="s">
        <v>118</v>
      </c>
      <c r="V751" s="2">
        <f t="shared" si="146"/>
        <v>0.15</v>
      </c>
      <c r="W751" s="2">
        <f t="shared" si="147"/>
        <v>1459.1949999999999</v>
      </c>
      <c r="X751" s="2">
        <f>W751-R751</f>
        <v>403.40499999999997</v>
      </c>
      <c r="Y751" s="2">
        <f t="shared" si="148"/>
        <v>0.27645722470266137</v>
      </c>
      <c r="Z751" s="2">
        <f t="shared" si="149"/>
        <v>4</v>
      </c>
      <c r="AA751" s="2">
        <f t="shared" si="150"/>
        <v>3</v>
      </c>
      <c r="AB751" s="2">
        <f t="shared" si="151"/>
        <v>2024</v>
      </c>
      <c r="AC751" s="2" t="str">
        <f t="shared" si="152"/>
        <v>Valid</v>
      </c>
      <c r="AD751" s="2">
        <f t="shared" si="153"/>
        <v>0</v>
      </c>
      <c r="AE751" s="2">
        <f t="shared" si="154"/>
        <v>0</v>
      </c>
      <c r="AH751" t="str">
        <f t="shared" si="145"/>
        <v>Aditi Sen</v>
      </c>
      <c r="AI751" t="str">
        <f t="shared" si="145"/>
        <v>Home Office</v>
      </c>
      <c r="AJ751" t="str">
        <f t="shared" si="145"/>
        <v>East</v>
      </c>
      <c r="AK751" t="str">
        <f t="shared" si="145"/>
        <v>Assam</v>
      </c>
      <c r="AL751" t="str">
        <f t="shared" si="144"/>
        <v>Guwahati</v>
      </c>
      <c r="AM751" t="str">
        <f t="shared" si="144"/>
        <v>Technology</v>
      </c>
      <c r="AN751" t="str">
        <f t="shared" si="144"/>
        <v>Machines</v>
      </c>
      <c r="AO751" t="str">
        <f t="shared" si="155"/>
        <v>Standard Class</v>
      </c>
      <c r="AP751" t="str">
        <f t="shared" si="156"/>
        <v>Paid</v>
      </c>
      <c r="AQ751" t="str">
        <f t="shared" si="156"/>
        <v>Completed</v>
      </c>
    </row>
    <row r="752" spans="1:43">
      <c r="A752" t="s">
        <v>2626</v>
      </c>
      <c r="B752" s="3">
        <v>45810</v>
      </c>
      <c r="C752" s="3">
        <v>45810</v>
      </c>
      <c r="D752" t="s">
        <v>2627</v>
      </c>
      <c r="E752" t="s">
        <v>218</v>
      </c>
      <c r="F752" t="s">
        <v>182</v>
      </c>
      <c r="G752" t="s">
        <v>140</v>
      </c>
      <c r="H752" t="s">
        <v>141</v>
      </c>
      <c r="I752" t="s">
        <v>142</v>
      </c>
      <c r="J752" t="s">
        <v>160</v>
      </c>
      <c r="K752" t="s">
        <v>161</v>
      </c>
      <c r="L752" t="s">
        <v>2628</v>
      </c>
      <c r="M752" t="s">
        <v>135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117</v>
      </c>
      <c r="U752" t="s">
        <v>118</v>
      </c>
      <c r="V752" s="2">
        <f t="shared" si="146"/>
        <v>0.15</v>
      </c>
      <c r="W752" s="2">
        <f t="shared" si="147"/>
        <v>26696.323999999997</v>
      </c>
      <c r="X752" s="2">
        <f>W752-R752</f>
        <v>3971.8039999999964</v>
      </c>
      <c r="Y752" s="2">
        <f t="shared" si="148"/>
        <v>0.14877718745097629</v>
      </c>
      <c r="Z752" s="2">
        <f t="shared" si="149"/>
        <v>0</v>
      </c>
      <c r="AA752" s="2">
        <f t="shared" si="150"/>
        <v>6</v>
      </c>
      <c r="AB752" s="2">
        <f t="shared" si="151"/>
        <v>2025</v>
      </c>
      <c r="AC752" s="2" t="str">
        <f t="shared" si="152"/>
        <v>Valid</v>
      </c>
      <c r="AD752" s="2">
        <f t="shared" si="153"/>
        <v>0</v>
      </c>
      <c r="AE752" s="2">
        <f t="shared" si="154"/>
        <v>0</v>
      </c>
      <c r="AH752" t="str">
        <f t="shared" si="145"/>
        <v>Aarav Sharma</v>
      </c>
      <c r="AI752" t="str">
        <f t="shared" si="145"/>
        <v>Home Office</v>
      </c>
      <c r="AJ752" t="str">
        <f t="shared" si="145"/>
        <v>South</v>
      </c>
      <c r="AK752" t="str">
        <f t="shared" si="145"/>
        <v>Telangana</v>
      </c>
      <c r="AL752" t="str">
        <f t="shared" si="144"/>
        <v>Hyderabad</v>
      </c>
      <c r="AM752" t="str">
        <f t="shared" si="144"/>
        <v>Technology</v>
      </c>
      <c r="AN752" t="str">
        <f t="shared" si="144"/>
        <v>Accessories</v>
      </c>
      <c r="AO752" t="str">
        <f t="shared" si="155"/>
        <v>First Class</v>
      </c>
      <c r="AP752" t="str">
        <f t="shared" si="156"/>
        <v>Paid</v>
      </c>
      <c r="AQ752" t="str">
        <f t="shared" si="156"/>
        <v>Completed</v>
      </c>
    </row>
    <row r="753" spans="1:43">
      <c r="A753" t="s">
        <v>2629</v>
      </c>
      <c r="B753" s="3" t="s">
        <v>612</v>
      </c>
      <c r="C753" s="3" t="s">
        <v>2630</v>
      </c>
      <c r="D753" t="s">
        <v>2631</v>
      </c>
      <c r="E753" t="s">
        <v>203</v>
      </c>
      <c r="F753" t="s">
        <v>182</v>
      </c>
      <c r="H753" t="s">
        <v>227</v>
      </c>
      <c r="I753" t="s">
        <v>228</v>
      </c>
      <c r="J753" t="s">
        <v>160</v>
      </c>
      <c r="K753" t="s">
        <v>385</v>
      </c>
      <c r="L753" t="s">
        <v>2632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117</v>
      </c>
      <c r="U753" t="s">
        <v>118</v>
      </c>
      <c r="V753" s="2">
        <f t="shared" si="146"/>
        <v>0.05</v>
      </c>
      <c r="W753" s="2">
        <f t="shared" si="147"/>
        <v>8445.2624999999989</v>
      </c>
      <c r="X753" s="2">
        <f>W753-R753</f>
        <v>1507.6624999999985</v>
      </c>
      <c r="Y753" s="2">
        <f t="shared" si="148"/>
        <v>0.17852168597482893</v>
      </c>
      <c r="Z753" s="2" t="str">
        <f t="shared" si="149"/>
        <v/>
      </c>
      <c r="AA753" s="2" t="e">
        <f t="shared" si="150"/>
        <v>#VALUE!</v>
      </c>
      <c r="AB753" s="2" t="e">
        <f t="shared" si="151"/>
        <v>#VALUE!</v>
      </c>
      <c r="AC753" s="2" t="str">
        <f t="shared" si="152"/>
        <v>Missing region</v>
      </c>
      <c r="AD753" s="2">
        <f t="shared" si="153"/>
        <v>0</v>
      </c>
      <c r="AE753" s="2">
        <f t="shared" si="154"/>
        <v>0</v>
      </c>
      <c r="AH753" t="str">
        <f t="shared" si="145"/>
        <v>Priya Menon</v>
      </c>
      <c r="AI753" t="str">
        <f t="shared" si="145"/>
        <v>Home Office</v>
      </c>
      <c r="AJ753" t="s">
        <v>306</v>
      </c>
      <c r="AK753" t="str">
        <f t="shared" si="145"/>
        <v>Uttar Pradesh</v>
      </c>
      <c r="AL753" t="str">
        <f t="shared" si="144"/>
        <v>Noida</v>
      </c>
      <c r="AM753" t="str">
        <f t="shared" si="144"/>
        <v>Technology</v>
      </c>
      <c r="AN753" t="str">
        <f t="shared" si="144"/>
        <v>Machines</v>
      </c>
      <c r="AO753" t="s">
        <v>306</v>
      </c>
      <c r="AP753" t="str">
        <f t="shared" si="156"/>
        <v>Paid</v>
      </c>
      <c r="AQ753" t="str">
        <f t="shared" si="156"/>
        <v>Completed</v>
      </c>
    </row>
    <row r="754" spans="1:43">
      <c r="A754" t="s">
        <v>2633</v>
      </c>
      <c r="B754" s="3" t="s">
        <v>1681</v>
      </c>
      <c r="C754" s="3" t="s">
        <v>2379</v>
      </c>
      <c r="D754" t="s">
        <v>2634</v>
      </c>
      <c r="E754" t="s">
        <v>176</v>
      </c>
      <c r="F754" t="s">
        <v>177</v>
      </c>
      <c r="G754" t="s">
        <v>149</v>
      </c>
      <c r="H754" t="s">
        <v>276</v>
      </c>
      <c r="I754" t="s">
        <v>277</v>
      </c>
      <c r="J754" t="s">
        <v>113</v>
      </c>
      <c r="K754" t="s">
        <v>213</v>
      </c>
      <c r="L754" t="s">
        <v>2635</v>
      </c>
      <c r="M754" t="s">
        <v>135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117</v>
      </c>
      <c r="U754" t="s">
        <v>118</v>
      </c>
      <c r="V754" s="2">
        <f t="shared" si="146"/>
        <v>0.05</v>
      </c>
      <c r="W754" s="2">
        <f t="shared" si="147"/>
        <v>11709.794999999998</v>
      </c>
      <c r="X754" s="2">
        <f>W754-R754</f>
        <v>3337.5049999999974</v>
      </c>
      <c r="Y754" s="2">
        <f t="shared" si="148"/>
        <v>0.28501822619439521</v>
      </c>
      <c r="Z754" s="2" t="str">
        <f t="shared" si="149"/>
        <v/>
      </c>
      <c r="AA754" s="2" t="e">
        <f t="shared" si="150"/>
        <v>#VALUE!</v>
      </c>
      <c r="AB754" s="2" t="e">
        <f t="shared" si="151"/>
        <v>#VALUE!</v>
      </c>
      <c r="AC754" s="2" t="str">
        <f t="shared" si="152"/>
        <v>Text Value Not Recognized as Date</v>
      </c>
      <c r="AD754" s="2">
        <f t="shared" si="153"/>
        <v>0</v>
      </c>
      <c r="AE754" s="2">
        <f t="shared" si="154"/>
        <v>0</v>
      </c>
      <c r="AH754" t="str">
        <f t="shared" si="145"/>
        <v>Aditi Sen</v>
      </c>
      <c r="AI754" t="str">
        <f t="shared" si="145"/>
        <v>Corporate</v>
      </c>
      <c r="AJ754" t="str">
        <f t="shared" si="145"/>
        <v>West</v>
      </c>
      <c r="AK754" t="str">
        <f t="shared" si="145"/>
        <v>Gujarat</v>
      </c>
      <c r="AL754" t="str">
        <f t="shared" si="144"/>
        <v>Ahmedabad</v>
      </c>
      <c r="AM754" t="str">
        <f t="shared" si="144"/>
        <v>Office Supplies</v>
      </c>
      <c r="AN754" t="str">
        <f t="shared" si="144"/>
        <v>Storage</v>
      </c>
      <c r="AO754" t="str">
        <f t="shared" si="155"/>
        <v>First Class</v>
      </c>
      <c r="AP754" t="str">
        <f t="shared" si="156"/>
        <v>Paid</v>
      </c>
      <c r="AQ754" t="str">
        <f t="shared" si="156"/>
        <v>Completed</v>
      </c>
    </row>
    <row r="755" spans="1:43">
      <c r="A755" t="s">
        <v>2636</v>
      </c>
      <c r="B755" s="3">
        <v>45515</v>
      </c>
      <c r="C755" s="3">
        <v>45573</v>
      </c>
      <c r="D755" t="s">
        <v>2637</v>
      </c>
      <c r="E755" t="s">
        <v>176</v>
      </c>
      <c r="F755" t="s">
        <v>177</v>
      </c>
      <c r="G755" t="s">
        <v>110</v>
      </c>
      <c r="H755" t="s">
        <v>465</v>
      </c>
      <c r="I755" t="s">
        <v>466</v>
      </c>
      <c r="J755" t="s">
        <v>126</v>
      </c>
      <c r="K755" t="s">
        <v>143</v>
      </c>
      <c r="L755" t="s">
        <v>2638</v>
      </c>
      <c r="M755" t="s">
        <v>116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248</v>
      </c>
      <c r="U755" t="s">
        <v>190</v>
      </c>
      <c r="V755" s="2">
        <f t="shared" si="146"/>
        <v>0.15</v>
      </c>
      <c r="W755" s="2">
        <f t="shared" si="147"/>
        <v>2593.9109999999996</v>
      </c>
      <c r="X755" s="2">
        <f>W755-R755</f>
        <v>745.43099999999959</v>
      </c>
      <c r="Y755" s="2">
        <f t="shared" si="148"/>
        <v>0.28737724617382776</v>
      </c>
      <c r="Z755" s="2">
        <f t="shared" si="149"/>
        <v>58</v>
      </c>
      <c r="AA755" s="2">
        <f t="shared" si="150"/>
        <v>8</v>
      </c>
      <c r="AB755" s="2">
        <f t="shared" si="151"/>
        <v>2024</v>
      </c>
      <c r="AC755" s="2" t="str">
        <f t="shared" si="152"/>
        <v>Valid</v>
      </c>
      <c r="AD755" s="2">
        <f t="shared" si="153"/>
        <v>0</v>
      </c>
      <c r="AE755" s="2">
        <f t="shared" si="154"/>
        <v>0</v>
      </c>
      <c r="AH755" t="str">
        <f t="shared" si="145"/>
        <v>Aditi Sen</v>
      </c>
      <c r="AI755" t="str">
        <f t="shared" si="145"/>
        <v>Corporate</v>
      </c>
      <c r="AJ755" t="str">
        <f t="shared" si="145"/>
        <v>North</v>
      </c>
      <c r="AK755" t="str">
        <f t="shared" si="145"/>
        <v>Delhi</v>
      </c>
      <c r="AL755" t="str">
        <f t="shared" si="144"/>
        <v>New Delhi</v>
      </c>
      <c r="AM755" t="str">
        <f t="shared" si="144"/>
        <v>Furniture</v>
      </c>
      <c r="AN755" t="str">
        <f t="shared" si="144"/>
        <v>Furnishings</v>
      </c>
      <c r="AO755" t="str">
        <f t="shared" si="155"/>
        <v>Second Class</v>
      </c>
      <c r="AP755" t="str">
        <f t="shared" si="156"/>
        <v>Failed</v>
      </c>
      <c r="AQ755" t="str">
        <f t="shared" si="156"/>
        <v>Returned</v>
      </c>
    </row>
    <row r="756" spans="1:43">
      <c r="A756" t="s">
        <v>2639</v>
      </c>
      <c r="B756" s="3">
        <v>45812</v>
      </c>
      <c r="C756" s="3">
        <v>45812</v>
      </c>
      <c r="D756" t="s">
        <v>2640</v>
      </c>
      <c r="E756" t="s">
        <v>165</v>
      </c>
      <c r="F756" t="s">
        <v>177</v>
      </c>
      <c r="G756" t="s">
        <v>140</v>
      </c>
      <c r="H756" t="s">
        <v>282</v>
      </c>
      <c r="I756" t="s">
        <v>283</v>
      </c>
      <c r="J756" t="s">
        <v>113</v>
      </c>
      <c r="K756" t="s">
        <v>213</v>
      </c>
      <c r="L756" t="s">
        <v>2641</v>
      </c>
      <c r="M756" t="s">
        <v>145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117</v>
      </c>
      <c r="U756" t="s">
        <v>118</v>
      </c>
      <c r="V756" s="2">
        <f t="shared" si="146"/>
        <v>0.25</v>
      </c>
      <c r="W756" s="2">
        <f t="shared" si="147"/>
        <v>2674.02</v>
      </c>
      <c r="X756" s="2">
        <f>W756-R756</f>
        <v>466.44999999999982</v>
      </c>
      <c r="Y756" s="2">
        <f t="shared" si="148"/>
        <v>0.17443773793763689</v>
      </c>
      <c r="Z756" s="2">
        <f t="shared" si="149"/>
        <v>0</v>
      </c>
      <c r="AA756" s="2">
        <f t="shared" si="150"/>
        <v>6</v>
      </c>
      <c r="AB756" s="2">
        <f t="shared" si="151"/>
        <v>2025</v>
      </c>
      <c r="AC756" s="2" t="str">
        <f t="shared" si="152"/>
        <v>Valid</v>
      </c>
      <c r="AD756" s="2">
        <f t="shared" si="153"/>
        <v>0</v>
      </c>
      <c r="AE756" s="2">
        <f t="shared" si="154"/>
        <v>0</v>
      </c>
      <c r="AH756" t="str">
        <f t="shared" si="145"/>
        <v>Neha Gupta</v>
      </c>
      <c r="AI756" t="str">
        <f t="shared" si="145"/>
        <v>Corporate</v>
      </c>
      <c r="AJ756" t="str">
        <f t="shared" si="145"/>
        <v>South</v>
      </c>
      <c r="AK756" t="str">
        <f t="shared" si="145"/>
        <v>Kerala</v>
      </c>
      <c r="AL756" t="str">
        <f t="shared" si="144"/>
        <v>Kochi</v>
      </c>
      <c r="AM756" t="str">
        <f t="shared" si="144"/>
        <v>Office Supplies</v>
      </c>
      <c r="AN756" t="str">
        <f t="shared" si="144"/>
        <v>Storage</v>
      </c>
      <c r="AO756" t="str">
        <f t="shared" si="155"/>
        <v>Standard Class</v>
      </c>
      <c r="AP756" t="str">
        <f t="shared" si="156"/>
        <v>Paid</v>
      </c>
      <c r="AQ756" t="str">
        <f t="shared" si="156"/>
        <v>Completed</v>
      </c>
    </row>
    <row r="757" spans="1:43">
      <c r="A757" t="s">
        <v>2642</v>
      </c>
      <c r="B757" s="3" t="s">
        <v>877</v>
      </c>
      <c r="C757" s="3" t="s">
        <v>1322</v>
      </c>
      <c r="D757" t="s">
        <v>2643</v>
      </c>
      <c r="E757" t="s">
        <v>203</v>
      </c>
      <c r="F757" t="s">
        <v>182</v>
      </c>
      <c r="G757" t="s">
        <v>149</v>
      </c>
      <c r="H757" t="s">
        <v>158</v>
      </c>
      <c r="I757" t="s">
        <v>159</v>
      </c>
      <c r="J757" t="s">
        <v>113</v>
      </c>
      <c r="K757" t="s">
        <v>213</v>
      </c>
      <c r="L757" t="s">
        <v>2644</v>
      </c>
      <c r="M757" t="s">
        <v>116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117</v>
      </c>
      <c r="U757" t="s">
        <v>118</v>
      </c>
      <c r="V757" s="2">
        <f t="shared" si="146"/>
        <v>0.2</v>
      </c>
      <c r="W757" s="2">
        <f t="shared" si="147"/>
        <v>9926.9599999999991</v>
      </c>
      <c r="X757" s="2">
        <f>W757-R757</f>
        <v>1931.9799999999996</v>
      </c>
      <c r="Y757" s="2">
        <f t="shared" si="148"/>
        <v>0.19461950083409219</v>
      </c>
      <c r="Z757" s="2" t="str">
        <f t="shared" si="149"/>
        <v/>
      </c>
      <c r="AA757" s="2" t="e">
        <f t="shared" si="150"/>
        <v>#VALUE!</v>
      </c>
      <c r="AB757" s="2" t="e">
        <f t="shared" si="151"/>
        <v>#VALUE!</v>
      </c>
      <c r="AC757" s="2" t="str">
        <f t="shared" si="152"/>
        <v>Text Value Not Recognized as Date</v>
      </c>
      <c r="AD757" s="2">
        <f t="shared" si="153"/>
        <v>0</v>
      </c>
      <c r="AE757" s="2">
        <f t="shared" si="154"/>
        <v>0</v>
      </c>
      <c r="AH757" t="str">
        <f t="shared" si="145"/>
        <v>Priya Menon</v>
      </c>
      <c r="AI757" t="str">
        <f t="shared" si="145"/>
        <v>Home Office</v>
      </c>
      <c r="AJ757" t="str">
        <f t="shared" si="145"/>
        <v>West</v>
      </c>
      <c r="AK757" t="str">
        <f t="shared" si="145"/>
        <v>Madhya Pradesh</v>
      </c>
      <c r="AL757" t="str">
        <f t="shared" si="144"/>
        <v>Indore</v>
      </c>
      <c r="AM757" t="str">
        <f t="shared" si="144"/>
        <v>Office Supplies</v>
      </c>
      <c r="AN757" t="str">
        <f t="shared" si="144"/>
        <v>Storage</v>
      </c>
      <c r="AO757" t="str">
        <f t="shared" si="155"/>
        <v>Second Class</v>
      </c>
      <c r="AP757" t="str">
        <f t="shared" si="156"/>
        <v>Paid</v>
      </c>
      <c r="AQ757" t="str">
        <f t="shared" si="156"/>
        <v>Completed</v>
      </c>
    </row>
    <row r="758" spans="1:43">
      <c r="A758" t="s">
        <v>2645</v>
      </c>
      <c r="B758" s="3">
        <v>45592</v>
      </c>
      <c r="C758" s="3">
        <v>45597</v>
      </c>
      <c r="D758" t="s">
        <v>2646</v>
      </c>
      <c r="E758" t="s">
        <v>232</v>
      </c>
      <c r="F758" t="s">
        <v>109</v>
      </c>
      <c r="G758" t="s">
        <v>110</v>
      </c>
      <c r="H758" t="s">
        <v>111</v>
      </c>
      <c r="I758" t="s">
        <v>112</v>
      </c>
      <c r="J758" t="s">
        <v>160</v>
      </c>
      <c r="K758" t="s">
        <v>161</v>
      </c>
      <c r="L758" t="s">
        <v>2647</v>
      </c>
      <c r="M758" t="s">
        <v>129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117</v>
      </c>
      <c r="U758" t="s">
        <v>190</v>
      </c>
      <c r="V758" s="2">
        <f t="shared" si="146"/>
        <v>0.2</v>
      </c>
      <c r="W758" s="2">
        <f t="shared" si="147"/>
        <v>12191.76</v>
      </c>
      <c r="X758" s="2">
        <f>W758-R758</f>
        <v>1734.2700000000004</v>
      </c>
      <c r="Y758" s="2">
        <f t="shared" si="148"/>
        <v>0.14224935530226976</v>
      </c>
      <c r="Z758" s="2">
        <f t="shared" si="149"/>
        <v>5</v>
      </c>
      <c r="AA758" s="2">
        <f t="shared" si="150"/>
        <v>10</v>
      </c>
      <c r="AB758" s="2">
        <f t="shared" si="151"/>
        <v>2024</v>
      </c>
      <c r="AC758" s="2" t="str">
        <f t="shared" si="152"/>
        <v>Valid</v>
      </c>
      <c r="AD758" s="2">
        <f t="shared" si="153"/>
        <v>0</v>
      </c>
      <c r="AE758" s="2">
        <f t="shared" si="154"/>
        <v>0</v>
      </c>
      <c r="AH758" t="str">
        <f t="shared" si="145"/>
        <v>Rohan Mehta</v>
      </c>
      <c r="AI758" t="str">
        <f t="shared" si="145"/>
        <v>Consumer</v>
      </c>
      <c r="AJ758" t="str">
        <f t="shared" si="145"/>
        <v>North</v>
      </c>
      <c r="AK758" t="str">
        <f t="shared" si="145"/>
        <v>Rajasthan</v>
      </c>
      <c r="AL758" t="str">
        <f t="shared" si="144"/>
        <v>Jaipur</v>
      </c>
      <c r="AM758" t="str">
        <f t="shared" si="144"/>
        <v>Technology</v>
      </c>
      <c r="AN758" t="str">
        <f t="shared" si="144"/>
        <v>Accessories</v>
      </c>
      <c r="AO758" t="str">
        <f t="shared" si="155"/>
        <v>Same Day</v>
      </c>
      <c r="AP758" t="str">
        <f t="shared" si="156"/>
        <v>Paid</v>
      </c>
      <c r="AQ758" t="str">
        <f t="shared" si="156"/>
        <v>Returned</v>
      </c>
    </row>
    <row r="759" spans="1:43">
      <c r="A759" t="s">
        <v>2648</v>
      </c>
      <c r="B759" s="3">
        <v>45870</v>
      </c>
      <c r="C759" s="3">
        <v>45872</v>
      </c>
      <c r="D759" t="s">
        <v>2649</v>
      </c>
      <c r="E759" t="s">
        <v>176</v>
      </c>
      <c r="F759" t="s">
        <v>122</v>
      </c>
      <c r="G759" t="s">
        <v>140</v>
      </c>
      <c r="H759" t="s">
        <v>282</v>
      </c>
      <c r="I759" t="s">
        <v>283</v>
      </c>
      <c r="J759" t="s">
        <v>126</v>
      </c>
      <c r="K759" t="s">
        <v>252</v>
      </c>
      <c r="L759" t="s">
        <v>2650</v>
      </c>
      <c r="M759" t="s">
        <v>145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248</v>
      </c>
      <c r="U759" t="s">
        <v>44</v>
      </c>
      <c r="V759" s="2">
        <f t="shared" si="146"/>
        <v>0.25</v>
      </c>
      <c r="W759" s="2">
        <f t="shared" si="147"/>
        <v>4285.7550000000001</v>
      </c>
      <c r="X759" s="2">
        <f>W759-R759</f>
        <v>1899.4250000000002</v>
      </c>
      <c r="Y759" s="2">
        <f t="shared" si="148"/>
        <v>0.44319495631458172</v>
      </c>
      <c r="Z759" s="2">
        <f t="shared" si="149"/>
        <v>2</v>
      </c>
      <c r="AA759" s="2">
        <f t="shared" si="150"/>
        <v>8</v>
      </c>
      <c r="AB759" s="2">
        <f t="shared" si="151"/>
        <v>2025</v>
      </c>
      <c r="AC759" s="2" t="str">
        <f t="shared" si="152"/>
        <v>Valid</v>
      </c>
      <c r="AD759" s="2">
        <f t="shared" si="153"/>
        <v>0</v>
      </c>
      <c r="AE759" s="2">
        <f t="shared" si="154"/>
        <v>0</v>
      </c>
      <c r="AH759" t="str">
        <f t="shared" si="145"/>
        <v>Aditi Sen</v>
      </c>
      <c r="AI759" t="str">
        <f t="shared" si="145"/>
        <v>Small Business</v>
      </c>
      <c r="AJ759" t="str">
        <f t="shared" si="145"/>
        <v>South</v>
      </c>
      <c r="AK759" t="str">
        <f t="shared" si="145"/>
        <v>Kerala</v>
      </c>
      <c r="AL759" t="str">
        <f t="shared" si="144"/>
        <v>Kochi</v>
      </c>
      <c r="AM759" t="str">
        <f t="shared" si="144"/>
        <v>Furniture</v>
      </c>
      <c r="AN759" t="str">
        <f t="shared" si="144"/>
        <v>Bookcases</v>
      </c>
      <c r="AO759" t="str">
        <f t="shared" si="155"/>
        <v>Standard Class</v>
      </c>
      <c r="AP759" t="str">
        <f t="shared" si="156"/>
        <v>Failed</v>
      </c>
      <c r="AQ759" t="str">
        <f t="shared" si="156"/>
        <v>Cancelled</v>
      </c>
    </row>
    <row r="760" spans="1:43">
      <c r="A760" t="s">
        <v>2651</v>
      </c>
      <c r="B760" s="3">
        <v>45414</v>
      </c>
      <c r="C760" s="3">
        <v>45422</v>
      </c>
      <c r="D760" t="s">
        <v>2652</v>
      </c>
      <c r="E760" t="s">
        <v>218</v>
      </c>
      <c r="F760" t="s">
        <v>122</v>
      </c>
      <c r="G760" t="s">
        <v>140</v>
      </c>
      <c r="H760" t="s">
        <v>270</v>
      </c>
      <c r="I760" t="s">
        <v>271</v>
      </c>
      <c r="J760" t="s">
        <v>126</v>
      </c>
      <c r="K760" t="s">
        <v>152</v>
      </c>
      <c r="L760" t="s">
        <v>2653</v>
      </c>
      <c r="M760" t="s">
        <v>145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117</v>
      </c>
      <c r="U760" t="s">
        <v>118</v>
      </c>
      <c r="V760" s="2">
        <f t="shared" si="146"/>
        <v>0</v>
      </c>
      <c r="W760" s="2">
        <f t="shared" si="147"/>
        <v>4166.91</v>
      </c>
      <c r="X760" s="2">
        <f>W760-R760</f>
        <v>754.27999999999975</v>
      </c>
      <c r="Y760" s="2">
        <f t="shared" si="148"/>
        <v>0.18101662862888801</v>
      </c>
      <c r="Z760" s="2">
        <f t="shared" si="149"/>
        <v>8</v>
      </c>
      <c r="AA760" s="2">
        <f t="shared" si="150"/>
        <v>5</v>
      </c>
      <c r="AB760" s="2">
        <f t="shared" si="151"/>
        <v>2024</v>
      </c>
      <c r="AC760" s="2" t="str">
        <f t="shared" si="152"/>
        <v>Valid</v>
      </c>
      <c r="AD760" s="2">
        <f t="shared" si="153"/>
        <v>0</v>
      </c>
      <c r="AE760" s="2">
        <f t="shared" si="154"/>
        <v>0</v>
      </c>
      <c r="AH760" t="str">
        <f t="shared" si="145"/>
        <v>Aarav Sharma</v>
      </c>
      <c r="AI760" t="str">
        <f t="shared" si="145"/>
        <v>Small Business</v>
      </c>
      <c r="AJ760" t="str">
        <f t="shared" si="145"/>
        <v>South</v>
      </c>
      <c r="AK760" t="str">
        <f t="shared" si="145"/>
        <v>Karnataka</v>
      </c>
      <c r="AL760" t="str">
        <f t="shared" si="144"/>
        <v>Bengaluru</v>
      </c>
      <c r="AM760" t="str">
        <f t="shared" si="144"/>
        <v>Furniture</v>
      </c>
      <c r="AN760" t="str">
        <f t="shared" si="144"/>
        <v>Chairs</v>
      </c>
      <c r="AO760" t="str">
        <f t="shared" si="155"/>
        <v>Standard Class</v>
      </c>
      <c r="AP760" t="str">
        <f t="shared" si="156"/>
        <v>Paid</v>
      </c>
      <c r="AQ760" t="str">
        <f t="shared" si="156"/>
        <v>Completed</v>
      </c>
    </row>
    <row r="761" spans="1:43">
      <c r="A761" t="s">
        <v>2654</v>
      </c>
      <c r="B761" s="3">
        <v>45492</v>
      </c>
      <c r="C761" s="3" t="s">
        <v>2655</v>
      </c>
      <c r="D761" t="s">
        <v>2656</v>
      </c>
      <c r="E761" t="s">
        <v>139</v>
      </c>
      <c r="F761" t="s">
        <v>182</v>
      </c>
      <c r="G761" t="s">
        <v>140</v>
      </c>
      <c r="H761" t="s">
        <v>270</v>
      </c>
      <c r="I761" t="s">
        <v>271</v>
      </c>
      <c r="J761" t="s">
        <v>126</v>
      </c>
      <c r="K761" t="s">
        <v>127</v>
      </c>
      <c r="L761" t="s">
        <v>2657</v>
      </c>
      <c r="M761" t="s">
        <v>116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117</v>
      </c>
      <c r="U761" t="s">
        <v>118</v>
      </c>
      <c r="V761" s="2">
        <f t="shared" si="146"/>
        <v>0.25</v>
      </c>
      <c r="W761" s="2">
        <f t="shared" si="147"/>
        <v>14947.537500000002</v>
      </c>
      <c r="X761" s="2">
        <f>W761-R761</f>
        <v>5509.0775000000031</v>
      </c>
      <c r="Y761" s="2">
        <f t="shared" si="148"/>
        <v>0.36856087499362367</v>
      </c>
      <c r="Z761" s="2" t="str">
        <f t="shared" si="149"/>
        <v/>
      </c>
      <c r="AA761" s="2">
        <f t="shared" si="150"/>
        <v>7</v>
      </c>
      <c r="AB761" s="2">
        <f t="shared" si="151"/>
        <v>2024</v>
      </c>
      <c r="AC761" s="2" t="str">
        <f t="shared" si="152"/>
        <v>Text Value Not Recognized as Date</v>
      </c>
      <c r="AD761" s="2">
        <f t="shared" si="153"/>
        <v>0</v>
      </c>
      <c r="AE761" s="2">
        <f t="shared" si="154"/>
        <v>0</v>
      </c>
      <c r="AH761" t="str">
        <f t="shared" si="145"/>
        <v>Arjun Bose</v>
      </c>
      <c r="AI761" t="str">
        <f t="shared" si="145"/>
        <v>Home Office</v>
      </c>
      <c r="AJ761" t="str">
        <f t="shared" si="145"/>
        <v>South</v>
      </c>
      <c r="AK761" t="str">
        <f t="shared" si="145"/>
        <v>Karnataka</v>
      </c>
      <c r="AL761" t="str">
        <f t="shared" si="144"/>
        <v>Bengaluru</v>
      </c>
      <c r="AM761" t="str">
        <f t="shared" si="144"/>
        <v>Furniture</v>
      </c>
      <c r="AN761" t="str">
        <f t="shared" si="144"/>
        <v>Tables</v>
      </c>
      <c r="AO761" t="str">
        <f t="shared" si="155"/>
        <v>Second Class</v>
      </c>
      <c r="AP761" t="str">
        <f t="shared" si="156"/>
        <v>Paid</v>
      </c>
      <c r="AQ761" t="str">
        <f t="shared" si="156"/>
        <v>Completed</v>
      </c>
    </row>
    <row r="762" spans="1:43">
      <c r="A762" t="s">
        <v>2658</v>
      </c>
      <c r="B762" s="3" t="s">
        <v>2659</v>
      </c>
      <c r="C762" s="3">
        <v>45537</v>
      </c>
      <c r="D762" t="s">
        <v>2660</v>
      </c>
      <c r="E762" t="s">
        <v>176</v>
      </c>
      <c r="F762" t="s">
        <v>182</v>
      </c>
      <c r="G762" t="s">
        <v>123</v>
      </c>
      <c r="H762" t="s">
        <v>260</v>
      </c>
      <c r="I762" t="s">
        <v>261</v>
      </c>
      <c r="J762" t="s">
        <v>113</v>
      </c>
      <c r="K762" t="s">
        <v>133</v>
      </c>
      <c r="L762" t="s">
        <v>2661</v>
      </c>
      <c r="M762" t="s">
        <v>116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199</v>
      </c>
      <c r="U762" t="s">
        <v>190</v>
      </c>
      <c r="V762" s="2">
        <f t="shared" si="146"/>
        <v>0</v>
      </c>
      <c r="W762" s="2">
        <f t="shared" si="147"/>
        <v>13462.12</v>
      </c>
      <c r="X762" s="2">
        <f>W762-R762</f>
        <v>5861.4900000000007</v>
      </c>
      <c r="Y762" s="2">
        <f t="shared" si="148"/>
        <v>0.43540616188237813</v>
      </c>
      <c r="Z762" s="2" t="str">
        <f t="shared" si="149"/>
        <v/>
      </c>
      <c r="AA762" s="2" t="e">
        <f t="shared" si="150"/>
        <v>#VALUE!</v>
      </c>
      <c r="AB762" s="2" t="e">
        <f t="shared" si="151"/>
        <v>#VALUE!</v>
      </c>
      <c r="AC762" s="2" t="str">
        <f t="shared" si="152"/>
        <v>Text Value Not Recognized as Date</v>
      </c>
      <c r="AD762" s="2">
        <f t="shared" si="153"/>
        <v>0</v>
      </c>
      <c r="AE762" s="2">
        <f t="shared" si="154"/>
        <v>0</v>
      </c>
      <c r="AH762" t="str">
        <f t="shared" si="145"/>
        <v>Aditi Sen</v>
      </c>
      <c r="AI762" t="str">
        <f t="shared" si="145"/>
        <v>Home Office</v>
      </c>
      <c r="AJ762" t="str">
        <f t="shared" si="145"/>
        <v>East</v>
      </c>
      <c r="AK762" t="str">
        <f t="shared" si="145"/>
        <v>Assam</v>
      </c>
      <c r="AL762" t="str">
        <f t="shared" si="144"/>
        <v>Guwahati</v>
      </c>
      <c r="AM762" t="str">
        <f t="shared" si="144"/>
        <v>Office Supplies</v>
      </c>
      <c r="AN762" t="str">
        <f t="shared" si="144"/>
        <v>Art</v>
      </c>
      <c r="AO762" t="str">
        <f t="shared" si="155"/>
        <v>Second Class</v>
      </c>
      <c r="AP762" t="str">
        <f t="shared" si="156"/>
        <v>Pending</v>
      </c>
      <c r="AQ762" t="str">
        <f t="shared" si="156"/>
        <v>Returned</v>
      </c>
    </row>
    <row r="763" spans="1:43">
      <c r="A763" t="s">
        <v>2662</v>
      </c>
      <c r="B763" s="3">
        <v>45896</v>
      </c>
      <c r="C763" s="3">
        <v>45900</v>
      </c>
      <c r="D763" t="s">
        <v>2663</v>
      </c>
      <c r="E763" t="s">
        <v>132</v>
      </c>
      <c r="F763" t="s">
        <v>109</v>
      </c>
      <c r="G763" t="s">
        <v>140</v>
      </c>
      <c r="H763" t="s">
        <v>270</v>
      </c>
      <c r="I763" t="s">
        <v>271</v>
      </c>
      <c r="J763" t="s">
        <v>160</v>
      </c>
      <c r="K763" t="s">
        <v>385</v>
      </c>
      <c r="L763" t="s">
        <v>2664</v>
      </c>
      <c r="M763" t="s">
        <v>135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117</v>
      </c>
      <c r="U763" t="s">
        <v>118</v>
      </c>
      <c r="V763" s="2">
        <f t="shared" si="146"/>
        <v>0</v>
      </c>
      <c r="W763" s="2">
        <f t="shared" si="147"/>
        <v>7467.36</v>
      </c>
      <c r="X763" s="2">
        <f>W763-R763</f>
        <v>2456.75</v>
      </c>
      <c r="Y763" s="2">
        <f t="shared" si="148"/>
        <v>0.32899846799940008</v>
      </c>
      <c r="Z763" s="2">
        <f t="shared" si="149"/>
        <v>4</v>
      </c>
      <c r="AA763" s="2">
        <f t="shared" si="150"/>
        <v>8</v>
      </c>
      <c r="AB763" s="2">
        <f t="shared" si="151"/>
        <v>2025</v>
      </c>
      <c r="AC763" s="2" t="str">
        <f t="shared" si="152"/>
        <v>Valid</v>
      </c>
      <c r="AD763" s="2">
        <f t="shared" si="153"/>
        <v>0</v>
      </c>
      <c r="AE763" s="2">
        <f t="shared" si="154"/>
        <v>0</v>
      </c>
      <c r="AH763" t="str">
        <f t="shared" si="145"/>
        <v>Isha Nair</v>
      </c>
      <c r="AI763" t="str">
        <f t="shared" si="145"/>
        <v>Consumer</v>
      </c>
      <c r="AJ763" t="str">
        <f t="shared" si="145"/>
        <v>South</v>
      </c>
      <c r="AK763" t="str">
        <f t="shared" si="145"/>
        <v>Karnataka</v>
      </c>
      <c r="AL763" t="str">
        <f t="shared" ref="AL763:AN823" si="157">PROPER(TRIM(I763))</f>
        <v>Bengaluru</v>
      </c>
      <c r="AM763" t="str">
        <f t="shared" si="157"/>
        <v>Technology</v>
      </c>
      <c r="AN763" t="str">
        <f t="shared" si="157"/>
        <v>Machines</v>
      </c>
      <c r="AO763" t="str">
        <f t="shared" si="155"/>
        <v>First Class</v>
      </c>
      <c r="AP763" t="str">
        <f t="shared" si="156"/>
        <v>Paid</v>
      </c>
      <c r="AQ763" t="str">
        <f t="shared" si="156"/>
        <v>Completed</v>
      </c>
    </row>
    <row r="764" spans="1:43">
      <c r="A764" t="s">
        <v>2665</v>
      </c>
      <c r="B764" s="3">
        <v>45292</v>
      </c>
      <c r="C764" s="3">
        <v>45296</v>
      </c>
      <c r="D764" t="s">
        <v>2666</v>
      </c>
      <c r="E764" t="s">
        <v>256</v>
      </c>
      <c r="F764" t="s">
        <v>177</v>
      </c>
      <c r="G764" t="s">
        <v>149</v>
      </c>
      <c r="H764" t="s">
        <v>158</v>
      </c>
      <c r="I764" t="s">
        <v>159</v>
      </c>
      <c r="J764" t="s">
        <v>160</v>
      </c>
      <c r="K764" t="s">
        <v>385</v>
      </c>
      <c r="L764" t="s">
        <v>2667</v>
      </c>
      <c r="M764" t="s">
        <v>116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189</v>
      </c>
      <c r="U764" t="s">
        <v>190</v>
      </c>
      <c r="V764" s="2">
        <f t="shared" si="146"/>
        <v>0.2</v>
      </c>
      <c r="W764" s="2">
        <f t="shared" si="147"/>
        <v>5910.5920000000006</v>
      </c>
      <c r="X764" s="2">
        <f>W764-R764</f>
        <v>1135.152000000001</v>
      </c>
      <c r="Y764" s="2">
        <f t="shared" si="148"/>
        <v>0.19205385856442145</v>
      </c>
      <c r="Z764" s="2">
        <f t="shared" si="149"/>
        <v>4</v>
      </c>
      <c r="AA764" s="2">
        <f t="shared" si="150"/>
        <v>1</v>
      </c>
      <c r="AB764" s="2">
        <f t="shared" si="151"/>
        <v>2024</v>
      </c>
      <c r="AC764" s="2" t="str">
        <f t="shared" si="152"/>
        <v>Valid</v>
      </c>
      <c r="AD764" s="2">
        <f t="shared" si="153"/>
        <v>0</v>
      </c>
      <c r="AE764" s="2">
        <f t="shared" si="154"/>
        <v>0</v>
      </c>
      <c r="AH764" t="str">
        <f t="shared" ref="AH764:AN827" si="158">PROPER(TRIM(E764))</f>
        <v>Diya Patel</v>
      </c>
      <c r="AI764" t="str">
        <f t="shared" si="158"/>
        <v>Corporate</v>
      </c>
      <c r="AJ764" t="str">
        <f t="shared" si="158"/>
        <v>West</v>
      </c>
      <c r="AK764" t="str">
        <f t="shared" si="158"/>
        <v>Madhya Pradesh</v>
      </c>
      <c r="AL764" t="str">
        <f t="shared" si="157"/>
        <v>Indore</v>
      </c>
      <c r="AM764" t="str">
        <f t="shared" si="157"/>
        <v>Technology</v>
      </c>
      <c r="AN764" t="str">
        <f t="shared" si="157"/>
        <v>Machines</v>
      </c>
      <c r="AO764" t="str">
        <f t="shared" si="155"/>
        <v>Second Class</v>
      </c>
      <c r="AP764" t="str">
        <f t="shared" si="156"/>
        <v>Refunded</v>
      </c>
      <c r="AQ764" t="str">
        <f t="shared" si="156"/>
        <v>Returned</v>
      </c>
    </row>
    <row r="765" spans="1:43">
      <c r="A765" t="s">
        <v>2668</v>
      </c>
      <c r="B765" s="3">
        <v>45892</v>
      </c>
      <c r="C765" s="3">
        <v>45894</v>
      </c>
      <c r="D765" t="s">
        <v>2669</v>
      </c>
      <c r="E765" t="s">
        <v>256</v>
      </c>
      <c r="F765" t="s">
        <v>109</v>
      </c>
      <c r="G765" t="s">
        <v>110</v>
      </c>
      <c r="H765" t="s">
        <v>111</v>
      </c>
      <c r="I765" t="s">
        <v>112</v>
      </c>
      <c r="J765" t="s">
        <v>126</v>
      </c>
      <c r="K765" t="s">
        <v>143</v>
      </c>
      <c r="L765" t="s">
        <v>2670</v>
      </c>
      <c r="M765" t="s">
        <v>129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117</v>
      </c>
      <c r="U765" t="s">
        <v>118</v>
      </c>
      <c r="V765" s="2">
        <f t="shared" si="146"/>
        <v>0</v>
      </c>
      <c r="W765" s="2">
        <f t="shared" si="147"/>
        <v>16454.88</v>
      </c>
      <c r="X765" s="2">
        <f>W765-R765</f>
        <v>4373.34</v>
      </c>
      <c r="Y765" s="2">
        <f t="shared" si="148"/>
        <v>0.26577769026574488</v>
      </c>
      <c r="Z765" s="2">
        <f t="shared" si="149"/>
        <v>2</v>
      </c>
      <c r="AA765" s="2">
        <f t="shared" si="150"/>
        <v>8</v>
      </c>
      <c r="AB765" s="2">
        <f t="shared" si="151"/>
        <v>2025</v>
      </c>
      <c r="AC765" s="2" t="str">
        <f t="shared" si="152"/>
        <v>Valid</v>
      </c>
      <c r="AD765" s="2">
        <f t="shared" si="153"/>
        <v>0</v>
      </c>
      <c r="AE765" s="2">
        <f t="shared" si="154"/>
        <v>0</v>
      </c>
      <c r="AH765" t="str">
        <f t="shared" si="158"/>
        <v>Diya Patel</v>
      </c>
      <c r="AI765" t="str">
        <f t="shared" si="158"/>
        <v>Consumer</v>
      </c>
      <c r="AJ765" t="str">
        <f t="shared" si="158"/>
        <v>North</v>
      </c>
      <c r="AK765" t="str">
        <f t="shared" si="158"/>
        <v>Rajasthan</v>
      </c>
      <c r="AL765" t="str">
        <f t="shared" si="157"/>
        <v>Jaipur</v>
      </c>
      <c r="AM765" t="str">
        <f t="shared" si="157"/>
        <v>Furniture</v>
      </c>
      <c r="AN765" t="str">
        <f t="shared" si="157"/>
        <v>Furnishings</v>
      </c>
      <c r="AO765" t="str">
        <f t="shared" si="155"/>
        <v>Same Day</v>
      </c>
      <c r="AP765" t="str">
        <f t="shared" si="156"/>
        <v>Paid</v>
      </c>
      <c r="AQ765" t="str">
        <f t="shared" si="156"/>
        <v>Completed</v>
      </c>
    </row>
    <row r="766" spans="1:43">
      <c r="A766" t="s">
        <v>2671</v>
      </c>
      <c r="B766" s="3">
        <v>45760</v>
      </c>
      <c r="C766" s="3" t="s">
        <v>2188</v>
      </c>
      <c r="D766" t="s">
        <v>1058</v>
      </c>
      <c r="E766" t="s">
        <v>203</v>
      </c>
      <c r="F766" t="s">
        <v>177</v>
      </c>
      <c r="G766" t="s">
        <v>140</v>
      </c>
      <c r="H766" t="s">
        <v>282</v>
      </c>
      <c r="I766" t="s">
        <v>283</v>
      </c>
      <c r="J766" t="s">
        <v>126</v>
      </c>
      <c r="K766" t="s">
        <v>252</v>
      </c>
      <c r="L766" t="s">
        <v>2672</v>
      </c>
      <c r="M766" t="s">
        <v>135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117</v>
      </c>
      <c r="U766" t="s">
        <v>118</v>
      </c>
      <c r="V766" s="2">
        <f t="shared" si="146"/>
        <v>0.05</v>
      </c>
      <c r="W766" s="2">
        <f t="shared" si="147"/>
        <v>25159.8</v>
      </c>
      <c r="X766" s="2">
        <f>W766-R766</f>
        <v>3552.9699999999975</v>
      </c>
      <c r="Y766" s="2">
        <f t="shared" si="148"/>
        <v>0.14121614639226057</v>
      </c>
      <c r="Z766" s="2" t="str">
        <f t="shared" si="149"/>
        <v/>
      </c>
      <c r="AA766" s="2">
        <f t="shared" si="150"/>
        <v>4</v>
      </c>
      <c r="AB766" s="2">
        <f t="shared" si="151"/>
        <v>2025</v>
      </c>
      <c r="AC766" s="2" t="str">
        <f t="shared" si="152"/>
        <v>Text Value Not Recognized as Date</v>
      </c>
      <c r="AD766" s="2">
        <f t="shared" si="153"/>
        <v>0</v>
      </c>
      <c r="AE766" s="2">
        <f t="shared" si="154"/>
        <v>0</v>
      </c>
      <c r="AH766" t="str">
        <f t="shared" si="158"/>
        <v>Priya Menon</v>
      </c>
      <c r="AI766" t="str">
        <f t="shared" si="158"/>
        <v>Corporate</v>
      </c>
      <c r="AJ766" t="str">
        <f t="shared" si="158"/>
        <v>South</v>
      </c>
      <c r="AK766" t="str">
        <f t="shared" si="158"/>
        <v>Kerala</v>
      </c>
      <c r="AL766" t="str">
        <f t="shared" si="157"/>
        <v>Kochi</v>
      </c>
      <c r="AM766" t="str">
        <f t="shared" si="157"/>
        <v>Furniture</v>
      </c>
      <c r="AN766" t="str">
        <f t="shared" si="157"/>
        <v>Bookcases</v>
      </c>
      <c r="AO766" t="str">
        <f t="shared" si="155"/>
        <v>First Class</v>
      </c>
      <c r="AP766" t="str">
        <f t="shared" si="156"/>
        <v>Paid</v>
      </c>
      <c r="AQ766" t="str">
        <f t="shared" si="156"/>
        <v>Completed</v>
      </c>
    </row>
    <row r="767" spans="1:43">
      <c r="A767" t="s">
        <v>2673</v>
      </c>
      <c r="B767" s="3" t="s">
        <v>2674</v>
      </c>
      <c r="C767" s="3">
        <v>45841</v>
      </c>
      <c r="D767" t="s">
        <v>2675</v>
      </c>
      <c r="E767" t="s">
        <v>157</v>
      </c>
      <c r="F767" t="s">
        <v>177</v>
      </c>
      <c r="G767" t="s">
        <v>123</v>
      </c>
      <c r="H767" t="s">
        <v>335</v>
      </c>
      <c r="I767" t="s">
        <v>336</v>
      </c>
      <c r="J767" t="s">
        <v>113</v>
      </c>
      <c r="K767" t="s">
        <v>178</v>
      </c>
      <c r="L767" t="s">
        <v>2676</v>
      </c>
      <c r="M767" t="s">
        <v>135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117</v>
      </c>
      <c r="U767" t="s">
        <v>118</v>
      </c>
      <c r="V767" s="2">
        <f t="shared" si="146"/>
        <v>0</v>
      </c>
      <c r="W767" s="2">
        <f t="shared" si="147"/>
        <v>1824.42</v>
      </c>
      <c r="X767" s="2">
        <f>W767-R767</f>
        <v>609.55000000000018</v>
      </c>
      <c r="Y767" s="2">
        <f t="shared" si="148"/>
        <v>0.33410618169061956</v>
      </c>
      <c r="Z767" s="2" t="str">
        <f t="shared" si="149"/>
        <v/>
      </c>
      <c r="AA767" s="2" t="e">
        <f t="shared" si="150"/>
        <v>#VALUE!</v>
      </c>
      <c r="AB767" s="2" t="e">
        <f t="shared" si="151"/>
        <v>#VALUE!</v>
      </c>
      <c r="AC767" s="2" t="str">
        <f t="shared" si="152"/>
        <v>Text Value Not Recognized as Date</v>
      </c>
      <c r="AD767" s="2">
        <f t="shared" si="153"/>
        <v>0</v>
      </c>
      <c r="AE767" s="2">
        <f t="shared" si="154"/>
        <v>0</v>
      </c>
      <c r="AH767" t="str">
        <f t="shared" si="158"/>
        <v>Vikram Iyer</v>
      </c>
      <c r="AI767" t="str">
        <f t="shared" si="158"/>
        <v>Corporate</v>
      </c>
      <c r="AJ767" t="str">
        <f t="shared" si="158"/>
        <v>East</v>
      </c>
      <c r="AK767" t="str">
        <f t="shared" si="158"/>
        <v>Jharkhand</v>
      </c>
      <c r="AL767" t="str">
        <f t="shared" si="157"/>
        <v>Ranchi</v>
      </c>
      <c r="AM767" t="str">
        <f t="shared" si="157"/>
        <v>Office Supplies</v>
      </c>
      <c r="AN767" t="str">
        <f t="shared" si="157"/>
        <v>Labels</v>
      </c>
      <c r="AO767" t="str">
        <f t="shared" si="155"/>
        <v>First Class</v>
      </c>
      <c r="AP767" t="str">
        <f t="shared" si="156"/>
        <v>Paid</v>
      </c>
      <c r="AQ767" t="str">
        <f t="shared" si="156"/>
        <v>Completed</v>
      </c>
    </row>
    <row r="768" spans="1:43">
      <c r="A768" t="s">
        <v>2677</v>
      </c>
      <c r="B768" s="3">
        <v>45552</v>
      </c>
      <c r="C768" s="3">
        <v>45559</v>
      </c>
      <c r="D768" t="s">
        <v>2678</v>
      </c>
      <c r="E768" t="s">
        <v>121</v>
      </c>
      <c r="F768" t="s">
        <v>177</v>
      </c>
      <c r="G768" t="s">
        <v>149</v>
      </c>
      <c r="H768" t="s">
        <v>276</v>
      </c>
      <c r="I768" t="s">
        <v>277</v>
      </c>
      <c r="J768" t="s">
        <v>113</v>
      </c>
      <c r="K768" t="s">
        <v>133</v>
      </c>
      <c r="L768" t="s">
        <v>2679</v>
      </c>
      <c r="M768" t="s">
        <v>116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117</v>
      </c>
      <c r="U768" t="s">
        <v>44</v>
      </c>
      <c r="V768" s="2">
        <f t="shared" si="146"/>
        <v>0.2</v>
      </c>
      <c r="W768" s="2">
        <f t="shared" si="147"/>
        <v>16617.312000000002</v>
      </c>
      <c r="X768" s="2">
        <f>W768-R768</f>
        <v>7421.5820000000022</v>
      </c>
      <c r="Y768" s="2">
        <f t="shared" si="148"/>
        <v>0.44661747940942564</v>
      </c>
      <c r="Z768" s="2">
        <f t="shared" si="149"/>
        <v>7</v>
      </c>
      <c r="AA768" s="2">
        <f t="shared" si="150"/>
        <v>9</v>
      </c>
      <c r="AB768" s="2">
        <f t="shared" si="151"/>
        <v>2024</v>
      </c>
      <c r="AC768" s="2" t="str">
        <f t="shared" si="152"/>
        <v>Valid</v>
      </c>
      <c r="AD768" s="2">
        <f t="shared" si="153"/>
        <v>0</v>
      </c>
      <c r="AE768" s="2">
        <f t="shared" si="154"/>
        <v>0</v>
      </c>
      <c r="AH768" t="str">
        <f t="shared" si="158"/>
        <v>Mira Das</v>
      </c>
      <c r="AI768" t="str">
        <f t="shared" si="158"/>
        <v>Corporate</v>
      </c>
      <c r="AJ768" t="str">
        <f t="shared" si="158"/>
        <v>West</v>
      </c>
      <c r="AK768" t="str">
        <f t="shared" si="158"/>
        <v>Gujarat</v>
      </c>
      <c r="AL768" t="str">
        <f t="shared" si="157"/>
        <v>Ahmedabad</v>
      </c>
      <c r="AM768" t="str">
        <f t="shared" si="157"/>
        <v>Office Supplies</v>
      </c>
      <c r="AN768" t="str">
        <f t="shared" si="157"/>
        <v>Art</v>
      </c>
      <c r="AO768" t="str">
        <f t="shared" si="155"/>
        <v>Second Class</v>
      </c>
      <c r="AP768" t="str">
        <f t="shared" ref="AP768:AQ831" si="159">PROPER(TRIM(T768))</f>
        <v>Paid</v>
      </c>
      <c r="AQ768" t="str">
        <f t="shared" si="159"/>
        <v>Cancelled</v>
      </c>
    </row>
    <row r="769" spans="1:43">
      <c r="A769" t="s">
        <v>2680</v>
      </c>
      <c r="B769" s="3">
        <v>45415</v>
      </c>
      <c r="C769" s="3">
        <v>45418</v>
      </c>
      <c r="D769" t="s">
        <v>2681</v>
      </c>
      <c r="E769" t="s">
        <v>148</v>
      </c>
      <c r="F769" t="s">
        <v>182</v>
      </c>
      <c r="G769" t="s">
        <v>110</v>
      </c>
      <c r="H769" t="s">
        <v>227</v>
      </c>
      <c r="I769" t="s">
        <v>228</v>
      </c>
      <c r="J769" t="s">
        <v>753</v>
      </c>
      <c r="K769" t="s">
        <v>246</v>
      </c>
      <c r="L769" t="s">
        <v>2682</v>
      </c>
      <c r="M769" t="s">
        <v>145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117</v>
      </c>
      <c r="U769" t="s">
        <v>118</v>
      </c>
      <c r="V769" s="2">
        <f t="shared" si="146"/>
        <v>0.25</v>
      </c>
      <c r="W769" s="2">
        <f t="shared" si="147"/>
        <v>933.43499999999995</v>
      </c>
      <c r="X769" s="2">
        <f>W769-R769</f>
        <v>350.34499999999991</v>
      </c>
      <c r="Y769" s="2">
        <f t="shared" si="148"/>
        <v>0.3753287588316272</v>
      </c>
      <c r="Z769" s="2">
        <f t="shared" si="149"/>
        <v>3</v>
      </c>
      <c r="AA769" s="2">
        <f t="shared" si="150"/>
        <v>5</v>
      </c>
      <c r="AB769" s="2">
        <f t="shared" si="151"/>
        <v>2024</v>
      </c>
      <c r="AC769" s="2" t="str">
        <f t="shared" si="152"/>
        <v>Valid</v>
      </c>
      <c r="AD769" s="2">
        <f t="shared" si="153"/>
        <v>0</v>
      </c>
      <c r="AE769" s="2">
        <f t="shared" si="154"/>
        <v>0</v>
      </c>
      <c r="AH769" t="str">
        <f t="shared" si="158"/>
        <v>Ananya Rao</v>
      </c>
      <c r="AI769" t="str">
        <f t="shared" si="158"/>
        <v>Home Office</v>
      </c>
      <c r="AJ769" t="str">
        <f t="shared" si="158"/>
        <v>North</v>
      </c>
      <c r="AK769" t="str">
        <f t="shared" si="158"/>
        <v>Uttar Pradesh</v>
      </c>
      <c r="AL769" t="str">
        <f t="shared" si="157"/>
        <v>Noida</v>
      </c>
      <c r="AM769" t="str">
        <f t="shared" si="157"/>
        <v>Office Supplies</v>
      </c>
      <c r="AN769" t="str">
        <f t="shared" si="157"/>
        <v>Binders</v>
      </c>
      <c r="AO769" t="str">
        <f t="shared" si="155"/>
        <v>Standard Class</v>
      </c>
      <c r="AP769" t="str">
        <f t="shared" si="159"/>
        <v>Paid</v>
      </c>
      <c r="AQ769" t="str">
        <f t="shared" si="159"/>
        <v>Completed</v>
      </c>
    </row>
    <row r="770" spans="1:43">
      <c r="A770" t="s">
        <v>2683</v>
      </c>
      <c r="B770" s="3">
        <v>45749</v>
      </c>
      <c r="C770" s="3">
        <v>45751</v>
      </c>
      <c r="D770" t="s">
        <v>2684</v>
      </c>
      <c r="E770" t="s">
        <v>222</v>
      </c>
      <c r="F770" t="s">
        <v>182</v>
      </c>
      <c r="G770" t="s">
        <v>123</v>
      </c>
      <c r="H770" t="s">
        <v>335</v>
      </c>
      <c r="I770" t="s">
        <v>336</v>
      </c>
      <c r="J770" t="s">
        <v>113</v>
      </c>
      <c r="K770" t="s">
        <v>114</v>
      </c>
      <c r="L770" t="s">
        <v>2685</v>
      </c>
      <c r="M770" t="s">
        <v>129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117</v>
      </c>
      <c r="U770" t="s">
        <v>118</v>
      </c>
      <c r="V770" s="2">
        <f t="shared" si="146"/>
        <v>0.1</v>
      </c>
      <c r="W770" s="2">
        <f t="shared" si="147"/>
        <v>14554.08</v>
      </c>
      <c r="X770" s="2">
        <f>W770-R770</f>
        <v>3387.24</v>
      </c>
      <c r="Y770" s="2">
        <f t="shared" si="148"/>
        <v>0.23273473830018798</v>
      </c>
      <c r="Z770" s="2">
        <f t="shared" si="149"/>
        <v>2</v>
      </c>
      <c r="AA770" s="2">
        <f t="shared" si="150"/>
        <v>4</v>
      </c>
      <c r="AB770" s="2">
        <f t="shared" si="151"/>
        <v>2025</v>
      </c>
      <c r="AC770" s="2" t="str">
        <f t="shared" si="152"/>
        <v>Valid</v>
      </c>
      <c r="AD770" s="2">
        <f t="shared" si="153"/>
        <v>0</v>
      </c>
      <c r="AE770" s="2">
        <f t="shared" si="154"/>
        <v>0</v>
      </c>
      <c r="AH770" t="str">
        <f t="shared" si="158"/>
        <v>Sneha Kapoor</v>
      </c>
      <c r="AI770" t="str">
        <f t="shared" si="158"/>
        <v>Home Office</v>
      </c>
      <c r="AJ770" t="str">
        <f t="shared" si="158"/>
        <v>East</v>
      </c>
      <c r="AK770" t="str">
        <f t="shared" si="158"/>
        <v>Jharkhand</v>
      </c>
      <c r="AL770" t="str">
        <f t="shared" si="157"/>
        <v>Ranchi</v>
      </c>
      <c r="AM770" t="str">
        <f t="shared" si="157"/>
        <v>Office Supplies</v>
      </c>
      <c r="AN770" t="str">
        <f t="shared" si="157"/>
        <v>Paper</v>
      </c>
      <c r="AO770" t="str">
        <f t="shared" si="155"/>
        <v>Same Day</v>
      </c>
      <c r="AP770" t="str">
        <f t="shared" si="159"/>
        <v>Paid</v>
      </c>
      <c r="AQ770" t="str">
        <f t="shared" si="159"/>
        <v>Completed</v>
      </c>
    </row>
    <row r="771" spans="1:43">
      <c r="A771" t="s">
        <v>2686</v>
      </c>
      <c r="B771" s="3">
        <v>45423</v>
      </c>
      <c r="C771" s="3">
        <v>45425</v>
      </c>
      <c r="D771" t="s">
        <v>2687</v>
      </c>
      <c r="E771" t="s">
        <v>203</v>
      </c>
      <c r="F771" t="s">
        <v>182</v>
      </c>
      <c r="G771" t="s">
        <v>149</v>
      </c>
      <c r="H771" t="s">
        <v>287</v>
      </c>
      <c r="I771" t="s">
        <v>288</v>
      </c>
      <c r="J771" t="s">
        <v>126</v>
      </c>
      <c r="K771" t="s">
        <v>252</v>
      </c>
      <c r="L771" t="s">
        <v>2688</v>
      </c>
      <c r="M771" t="s">
        <v>129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117</v>
      </c>
      <c r="U771" t="s">
        <v>118</v>
      </c>
      <c r="V771" s="2">
        <f t="shared" ref="V771:V834" si="160">IF(ISBLANK(P771), 0, P771)</f>
        <v>0.25</v>
      </c>
      <c r="W771" s="2">
        <f t="shared" ref="W771:W834" si="161">N771 * O771 * (1 - P771)</f>
        <v>8128.6875</v>
      </c>
      <c r="X771" s="2">
        <f>W771-R771</f>
        <v>3057.0275000000001</v>
      </c>
      <c r="Y771" s="2">
        <f t="shared" ref="Y771:Y834" si="162">IFERROR(X771 / W771, 0)</f>
        <v>0.3760788565189645</v>
      </c>
      <c r="Z771" s="2">
        <f t="shared" ref="Z771:Z834" si="163">IF(OR(ISBLANK(B771), ISBLANK(C771), ISTEXT(B771), ISTEXT(C771)), "", C771 - B771)</f>
        <v>2</v>
      </c>
      <c r="AA771" s="2">
        <f t="shared" ref="AA771:AA834" si="164">MONTH(B771)</f>
        <v>5</v>
      </c>
      <c r="AB771" s="2">
        <f t="shared" ref="AB771:AB834" si="165">YEAR(B771)</f>
        <v>2024</v>
      </c>
      <c r="AC771" s="2" t="str">
        <f t="shared" ref="AC771:AC834" si="166">IF(COUNTIF(A:A, A771) &gt; 1, "Conflicting Duplicate Order ID",
 IF(OR(G771="Unknown", ISBLANK(G771)), "Missing region",
 IF(OR(M771="Unknown", ISBLANK(M771)), "Missing ship_mode",
 IF(OR(ISBLANK(B771), ISBLANK(C771)), "Missing Date",
 IF(OR(ISTEXT(B771), ISTEXT(C771)), "Text Value Not Recognized as Date",
 IF(C771 &lt; B771, "Invalid shipping record",
 IF(P771 &lt; 0, "Invalid",
 IF(P771 &gt; 0.7, "Invalid",
 "Valid"))))))))</f>
        <v>Valid</v>
      </c>
      <c r="AD771" s="2">
        <f t="shared" ref="AD771:AD834" si="167">IF(ABS(Q771 - W771) &gt; 0.01, 1, 0)</f>
        <v>0</v>
      </c>
      <c r="AE771" s="2">
        <f t="shared" ref="AE771:AE834" si="168">IF(ABS(S771 - X771) &gt; 0.01, 1, 0)</f>
        <v>0</v>
      </c>
      <c r="AH771" t="str">
        <f t="shared" si="158"/>
        <v>Priya Menon</v>
      </c>
      <c r="AI771" t="str">
        <f t="shared" si="158"/>
        <v>Home Office</v>
      </c>
      <c r="AJ771" t="str">
        <f t="shared" si="158"/>
        <v>West</v>
      </c>
      <c r="AK771" t="str">
        <f t="shared" si="158"/>
        <v>Goa</v>
      </c>
      <c r="AL771" t="str">
        <f t="shared" si="157"/>
        <v>Panaji</v>
      </c>
      <c r="AM771" t="str">
        <f t="shared" si="157"/>
        <v>Furniture</v>
      </c>
      <c r="AN771" t="str">
        <f t="shared" si="157"/>
        <v>Bookcases</v>
      </c>
      <c r="AO771" t="str">
        <f t="shared" ref="AO771:AO834" si="169">PROPER(TRIM(M771))</f>
        <v>Same Day</v>
      </c>
      <c r="AP771" t="str">
        <f t="shared" si="159"/>
        <v>Paid</v>
      </c>
      <c r="AQ771" t="str">
        <f t="shared" si="159"/>
        <v>Completed</v>
      </c>
    </row>
    <row r="772" spans="1:43">
      <c r="A772" t="s">
        <v>2689</v>
      </c>
      <c r="B772" s="3">
        <v>45337</v>
      </c>
      <c r="C772" s="3" t="s">
        <v>2077</v>
      </c>
      <c r="D772" t="s">
        <v>2690</v>
      </c>
      <c r="E772" t="s">
        <v>165</v>
      </c>
      <c r="F772" t="s">
        <v>109</v>
      </c>
      <c r="G772" t="s">
        <v>110</v>
      </c>
      <c r="H772" t="s">
        <v>227</v>
      </c>
      <c r="I772" t="s">
        <v>228</v>
      </c>
      <c r="J772" t="s">
        <v>160</v>
      </c>
      <c r="K772" t="s">
        <v>166</v>
      </c>
      <c r="L772" t="s">
        <v>2691</v>
      </c>
      <c r="M772" t="s">
        <v>135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117</v>
      </c>
      <c r="U772" t="s">
        <v>118</v>
      </c>
      <c r="V772" s="2">
        <f t="shared" si="160"/>
        <v>0</v>
      </c>
      <c r="W772" s="2">
        <f t="shared" si="161"/>
        <v>3452</v>
      </c>
      <c r="X772" s="2">
        <f>W772-R772</f>
        <v>1075.3800000000001</v>
      </c>
      <c r="Y772" s="2">
        <f t="shared" si="162"/>
        <v>0.3115237543453071</v>
      </c>
      <c r="Z772" s="2" t="str">
        <f t="shared" si="163"/>
        <v/>
      </c>
      <c r="AA772" s="2">
        <f t="shared" si="164"/>
        <v>2</v>
      </c>
      <c r="AB772" s="2">
        <f t="shared" si="165"/>
        <v>2024</v>
      </c>
      <c r="AC772" s="2" t="str">
        <f t="shared" si="166"/>
        <v>Text Value Not Recognized as Date</v>
      </c>
      <c r="AD772" s="2">
        <f t="shared" si="167"/>
        <v>1</v>
      </c>
      <c r="AE772" s="2">
        <f t="shared" si="168"/>
        <v>1</v>
      </c>
      <c r="AH772" t="str">
        <f t="shared" si="158"/>
        <v>Neha Gupta</v>
      </c>
      <c r="AI772" t="str">
        <f t="shared" si="158"/>
        <v>Consumer</v>
      </c>
      <c r="AJ772" t="str">
        <f t="shared" si="158"/>
        <v>North</v>
      </c>
      <c r="AK772" t="str">
        <f t="shared" si="158"/>
        <v>Uttar Pradesh</v>
      </c>
      <c r="AL772" t="str">
        <f t="shared" si="157"/>
        <v>Noida</v>
      </c>
      <c r="AM772" t="str">
        <f t="shared" si="157"/>
        <v>Technology</v>
      </c>
      <c r="AN772" t="str">
        <f t="shared" si="157"/>
        <v>Copiers</v>
      </c>
      <c r="AO772" t="str">
        <f t="shared" si="169"/>
        <v>First Class</v>
      </c>
      <c r="AP772" t="str">
        <f t="shared" si="159"/>
        <v>Paid</v>
      </c>
      <c r="AQ772" t="str">
        <f t="shared" si="159"/>
        <v>Completed</v>
      </c>
    </row>
    <row r="773" spans="1:43">
      <c r="A773" t="s">
        <v>2692</v>
      </c>
      <c r="B773" s="3">
        <v>45485</v>
      </c>
      <c r="C773" s="3">
        <v>45487</v>
      </c>
      <c r="D773" t="s">
        <v>592</v>
      </c>
      <c r="E773" t="s">
        <v>148</v>
      </c>
      <c r="F773" t="s">
        <v>109</v>
      </c>
      <c r="G773" t="s">
        <v>110</v>
      </c>
      <c r="H773" t="s">
        <v>344</v>
      </c>
      <c r="I773" t="s">
        <v>345</v>
      </c>
      <c r="J773" t="s">
        <v>160</v>
      </c>
      <c r="K773" t="s">
        <v>385</v>
      </c>
      <c r="L773" t="s">
        <v>2693</v>
      </c>
      <c r="M773" t="s">
        <v>116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117</v>
      </c>
      <c r="U773" t="s">
        <v>118</v>
      </c>
      <c r="V773" s="2">
        <f t="shared" si="160"/>
        <v>0</v>
      </c>
      <c r="W773" s="2">
        <f t="shared" si="161"/>
        <v>8525.64</v>
      </c>
      <c r="X773" s="2">
        <f>W773-R773</f>
        <v>5004.9499999999989</v>
      </c>
      <c r="Y773" s="2">
        <f t="shared" si="162"/>
        <v>0.58704683753946907</v>
      </c>
      <c r="Z773" s="2">
        <f t="shared" si="163"/>
        <v>2</v>
      </c>
      <c r="AA773" s="2">
        <f t="shared" si="164"/>
        <v>7</v>
      </c>
      <c r="AB773" s="2">
        <f t="shared" si="165"/>
        <v>2024</v>
      </c>
      <c r="AC773" s="2" t="str">
        <f t="shared" si="166"/>
        <v>Valid</v>
      </c>
      <c r="AD773" s="2">
        <f t="shared" si="167"/>
        <v>1</v>
      </c>
      <c r="AE773" s="2">
        <f t="shared" si="168"/>
        <v>1</v>
      </c>
      <c r="AH773" t="str">
        <f t="shared" si="158"/>
        <v>Ananya Rao</v>
      </c>
      <c r="AI773" t="str">
        <f t="shared" si="158"/>
        <v>Consumer</v>
      </c>
      <c r="AJ773" t="str">
        <f t="shared" si="158"/>
        <v>North</v>
      </c>
      <c r="AK773" t="str">
        <f t="shared" si="158"/>
        <v>Haryana</v>
      </c>
      <c r="AL773" t="str">
        <f t="shared" si="157"/>
        <v>Gurugram</v>
      </c>
      <c r="AM773" t="str">
        <f t="shared" si="157"/>
        <v>Technology</v>
      </c>
      <c r="AN773" t="str">
        <f t="shared" si="157"/>
        <v>Machines</v>
      </c>
      <c r="AO773" t="str">
        <f t="shared" si="169"/>
        <v>Second Class</v>
      </c>
      <c r="AP773" t="str">
        <f t="shared" si="159"/>
        <v>Paid</v>
      </c>
      <c r="AQ773" t="str">
        <f t="shared" si="159"/>
        <v>Completed</v>
      </c>
    </row>
    <row r="774" spans="1:43">
      <c r="A774" t="s">
        <v>2694</v>
      </c>
      <c r="B774" s="3">
        <v>45853</v>
      </c>
      <c r="C774" s="3">
        <v>45857</v>
      </c>
      <c r="D774" t="s">
        <v>2695</v>
      </c>
      <c r="E774" t="s">
        <v>256</v>
      </c>
      <c r="F774" t="s">
        <v>109</v>
      </c>
      <c r="G774" t="s">
        <v>140</v>
      </c>
      <c r="H774" t="s">
        <v>357</v>
      </c>
      <c r="I774" t="s">
        <v>358</v>
      </c>
      <c r="J774" t="s">
        <v>126</v>
      </c>
      <c r="K774" t="s">
        <v>152</v>
      </c>
      <c r="L774" t="s">
        <v>2696</v>
      </c>
      <c r="M774" t="s">
        <v>129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199</v>
      </c>
      <c r="U774" t="s">
        <v>44</v>
      </c>
      <c r="V774" s="2">
        <f t="shared" si="160"/>
        <v>0.05</v>
      </c>
      <c r="W774" s="2">
        <f t="shared" si="161"/>
        <v>3708.0589999999997</v>
      </c>
      <c r="X774" s="2">
        <f>W774-R774</f>
        <v>947.76899999999978</v>
      </c>
      <c r="Y774" s="2">
        <f t="shared" si="162"/>
        <v>0.25559706574248142</v>
      </c>
      <c r="Z774" s="2">
        <f t="shared" si="163"/>
        <v>4</v>
      </c>
      <c r="AA774" s="2">
        <f t="shared" si="164"/>
        <v>7</v>
      </c>
      <c r="AB774" s="2">
        <f t="shared" si="165"/>
        <v>2025</v>
      </c>
      <c r="AC774" s="2" t="str">
        <f t="shared" si="166"/>
        <v>Valid</v>
      </c>
      <c r="AD774" s="2">
        <f t="shared" si="167"/>
        <v>0</v>
      </c>
      <c r="AE774" s="2">
        <f t="shared" si="168"/>
        <v>0</v>
      </c>
      <c r="AH774" t="str">
        <f t="shared" si="158"/>
        <v>Diya Patel</v>
      </c>
      <c r="AI774" t="str">
        <f t="shared" si="158"/>
        <v>Consumer</v>
      </c>
      <c r="AJ774" t="str">
        <f t="shared" si="158"/>
        <v>South</v>
      </c>
      <c r="AK774" t="str">
        <f t="shared" si="158"/>
        <v>Tamil Nadu</v>
      </c>
      <c r="AL774" t="str">
        <f t="shared" si="157"/>
        <v>Chennai</v>
      </c>
      <c r="AM774" t="str">
        <f t="shared" si="157"/>
        <v>Furniture</v>
      </c>
      <c r="AN774" t="str">
        <f t="shared" si="157"/>
        <v>Chairs</v>
      </c>
      <c r="AO774" t="str">
        <f t="shared" si="169"/>
        <v>Same Day</v>
      </c>
      <c r="AP774" t="str">
        <f t="shared" si="159"/>
        <v>Pending</v>
      </c>
      <c r="AQ774" t="str">
        <f t="shared" si="159"/>
        <v>Cancelled</v>
      </c>
    </row>
    <row r="775" spans="1:43">
      <c r="A775" t="s">
        <v>2697</v>
      </c>
      <c r="B775" s="3">
        <v>45709</v>
      </c>
      <c r="C775" s="3">
        <v>45709</v>
      </c>
      <c r="D775" t="s">
        <v>2698</v>
      </c>
      <c r="E775" t="s">
        <v>108</v>
      </c>
      <c r="F775" t="s">
        <v>182</v>
      </c>
      <c r="G775" t="s">
        <v>149</v>
      </c>
      <c r="H775" t="s">
        <v>276</v>
      </c>
      <c r="I775" t="s">
        <v>277</v>
      </c>
      <c r="J775" t="s">
        <v>160</v>
      </c>
      <c r="K775" t="s">
        <v>266</v>
      </c>
      <c r="L775" t="s">
        <v>2699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117</v>
      </c>
      <c r="U775" t="s">
        <v>118</v>
      </c>
      <c r="V775" s="2">
        <f t="shared" si="160"/>
        <v>0.2</v>
      </c>
      <c r="W775" s="2">
        <f t="shared" si="161"/>
        <v>9424.2240000000002</v>
      </c>
      <c r="X775" s="2">
        <f>W775-R775</f>
        <v>3245.3040000000001</v>
      </c>
      <c r="Y775" s="2">
        <f t="shared" si="162"/>
        <v>0.3443576892909167</v>
      </c>
      <c r="Z775" s="2">
        <f t="shared" si="163"/>
        <v>0</v>
      </c>
      <c r="AA775" s="2">
        <f t="shared" si="164"/>
        <v>2</v>
      </c>
      <c r="AB775" s="2">
        <f t="shared" si="165"/>
        <v>2025</v>
      </c>
      <c r="AC775" s="2" t="str">
        <f t="shared" si="166"/>
        <v>Missing ship_mode</v>
      </c>
      <c r="AD775" s="2">
        <f t="shared" si="167"/>
        <v>0</v>
      </c>
      <c r="AE775" s="2">
        <f t="shared" si="168"/>
        <v>0</v>
      </c>
      <c r="AH775" t="str">
        <f t="shared" si="158"/>
        <v>Karan Malhotra</v>
      </c>
      <c r="AI775" t="str">
        <f t="shared" si="158"/>
        <v>Home Office</v>
      </c>
      <c r="AJ775" t="str">
        <f t="shared" si="158"/>
        <v>West</v>
      </c>
      <c r="AK775" t="str">
        <f t="shared" si="158"/>
        <v>Gujarat</v>
      </c>
      <c r="AL775" t="str">
        <f t="shared" si="157"/>
        <v>Ahmedabad</v>
      </c>
      <c r="AM775" t="str">
        <f t="shared" si="157"/>
        <v>Technology</v>
      </c>
      <c r="AN775" t="str">
        <f t="shared" si="157"/>
        <v>Phones</v>
      </c>
      <c r="AO775" t="s">
        <v>306</v>
      </c>
      <c r="AP775" t="str">
        <f t="shared" si="159"/>
        <v>Paid</v>
      </c>
      <c r="AQ775" t="str">
        <f t="shared" si="159"/>
        <v>Completed</v>
      </c>
    </row>
    <row r="776" spans="1:43">
      <c r="A776" t="s">
        <v>2700</v>
      </c>
      <c r="B776" s="3">
        <v>45846</v>
      </c>
      <c r="C776" s="3">
        <v>45876</v>
      </c>
      <c r="D776" t="s">
        <v>2701</v>
      </c>
      <c r="E776" t="s">
        <v>375</v>
      </c>
      <c r="F776" t="s">
        <v>109</v>
      </c>
      <c r="G776" t="s">
        <v>149</v>
      </c>
      <c r="H776" t="s">
        <v>111</v>
      </c>
      <c r="I776" t="s">
        <v>197</v>
      </c>
      <c r="J776" t="s">
        <v>160</v>
      </c>
      <c r="K776" t="s">
        <v>385</v>
      </c>
      <c r="L776" t="s">
        <v>2702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117</v>
      </c>
      <c r="U776" t="s">
        <v>118</v>
      </c>
      <c r="V776" s="2">
        <f t="shared" si="160"/>
        <v>0.2</v>
      </c>
      <c r="W776" s="2">
        <f t="shared" si="161"/>
        <v>7752.6</v>
      </c>
      <c r="X776" s="2">
        <f>W776-R776</f>
        <v>3063.3</v>
      </c>
      <c r="Y776" s="2">
        <f t="shared" si="162"/>
        <v>0.39513195573098059</v>
      </c>
      <c r="Z776" s="2">
        <f t="shared" si="163"/>
        <v>30</v>
      </c>
      <c r="AA776" s="2">
        <f t="shared" si="164"/>
        <v>7</v>
      </c>
      <c r="AB776" s="2">
        <f t="shared" si="165"/>
        <v>2025</v>
      </c>
      <c r="AC776" s="2" t="str">
        <f t="shared" si="166"/>
        <v>Missing ship_mode</v>
      </c>
      <c r="AD776" s="2">
        <f t="shared" si="167"/>
        <v>0</v>
      </c>
      <c r="AE776" s="2">
        <f t="shared" si="168"/>
        <v>0</v>
      </c>
      <c r="AH776" t="str">
        <f t="shared" si="158"/>
        <v>Kabir Singh</v>
      </c>
      <c r="AI776" t="str">
        <f t="shared" si="158"/>
        <v>Consumer</v>
      </c>
      <c r="AJ776" t="str">
        <f t="shared" si="158"/>
        <v>West</v>
      </c>
      <c r="AK776" t="str">
        <f t="shared" si="158"/>
        <v>Rajasthan</v>
      </c>
      <c r="AL776" t="str">
        <f t="shared" si="157"/>
        <v>Udaipur</v>
      </c>
      <c r="AM776" t="str">
        <f t="shared" si="157"/>
        <v>Technology</v>
      </c>
      <c r="AN776" t="str">
        <f t="shared" si="157"/>
        <v>Machines</v>
      </c>
      <c r="AO776" t="s">
        <v>306</v>
      </c>
      <c r="AP776" t="str">
        <f t="shared" si="159"/>
        <v>Paid</v>
      </c>
      <c r="AQ776" t="str">
        <f t="shared" si="159"/>
        <v>Completed</v>
      </c>
    </row>
    <row r="777" spans="1:43">
      <c r="A777" t="s">
        <v>2703</v>
      </c>
      <c r="B777" s="3">
        <v>45396</v>
      </c>
      <c r="C777" s="3" t="s">
        <v>2704</v>
      </c>
      <c r="D777" t="s">
        <v>2705</v>
      </c>
      <c r="E777" t="s">
        <v>139</v>
      </c>
      <c r="F777" t="s">
        <v>109</v>
      </c>
      <c r="G777" t="s">
        <v>110</v>
      </c>
      <c r="H777" t="s">
        <v>344</v>
      </c>
      <c r="I777" t="s">
        <v>345</v>
      </c>
      <c r="J777" t="s">
        <v>160</v>
      </c>
      <c r="K777" t="s">
        <v>161</v>
      </c>
      <c r="L777" t="s">
        <v>2706</v>
      </c>
      <c r="M777" t="s">
        <v>145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117</v>
      </c>
      <c r="U777" t="s">
        <v>118</v>
      </c>
      <c r="V777" s="2">
        <f t="shared" si="160"/>
        <v>0.25</v>
      </c>
      <c r="W777" s="2">
        <f t="shared" si="161"/>
        <v>23736.720000000001</v>
      </c>
      <c r="X777" s="2">
        <f>W777-R777</f>
        <v>9845.8200000000015</v>
      </c>
      <c r="Y777" s="2">
        <f t="shared" si="162"/>
        <v>0.41479277676106896</v>
      </c>
      <c r="Z777" s="2" t="str">
        <f t="shared" si="163"/>
        <v/>
      </c>
      <c r="AA777" s="2">
        <f t="shared" si="164"/>
        <v>4</v>
      </c>
      <c r="AB777" s="2">
        <f t="shared" si="165"/>
        <v>2024</v>
      </c>
      <c r="AC777" s="2" t="str">
        <f t="shared" si="166"/>
        <v>Text Value Not Recognized as Date</v>
      </c>
      <c r="AD777" s="2">
        <f t="shared" si="167"/>
        <v>0</v>
      </c>
      <c r="AE777" s="2">
        <f t="shared" si="168"/>
        <v>0</v>
      </c>
      <c r="AH777" t="str">
        <f t="shared" si="158"/>
        <v>Arjun Bose</v>
      </c>
      <c r="AI777" t="str">
        <f t="shared" si="158"/>
        <v>Consumer</v>
      </c>
      <c r="AJ777" t="str">
        <f t="shared" si="158"/>
        <v>North</v>
      </c>
      <c r="AK777" t="str">
        <f t="shared" si="158"/>
        <v>Haryana</v>
      </c>
      <c r="AL777" t="str">
        <f t="shared" si="157"/>
        <v>Gurugram</v>
      </c>
      <c r="AM777" t="str">
        <f t="shared" si="157"/>
        <v>Technology</v>
      </c>
      <c r="AN777" t="str">
        <f t="shared" si="157"/>
        <v>Accessories</v>
      </c>
      <c r="AO777" t="str">
        <f t="shared" si="169"/>
        <v>Standard Class</v>
      </c>
      <c r="AP777" t="str">
        <f t="shared" si="159"/>
        <v>Paid</v>
      </c>
      <c r="AQ777" t="str">
        <f t="shared" si="159"/>
        <v>Completed</v>
      </c>
    </row>
    <row r="778" spans="1:43">
      <c r="A778" t="s">
        <v>2707</v>
      </c>
      <c r="B778" s="3">
        <v>45875</v>
      </c>
      <c r="C778" s="3">
        <v>45821</v>
      </c>
      <c r="D778" t="s">
        <v>2708</v>
      </c>
      <c r="E778" t="s">
        <v>176</v>
      </c>
      <c r="F778" t="s">
        <v>122</v>
      </c>
      <c r="G778" t="s">
        <v>110</v>
      </c>
      <c r="H778" t="s">
        <v>111</v>
      </c>
      <c r="I778" t="s">
        <v>112</v>
      </c>
      <c r="J778" t="s">
        <v>160</v>
      </c>
      <c r="K778" t="s">
        <v>166</v>
      </c>
      <c r="L778" t="s">
        <v>2709</v>
      </c>
      <c r="M778" t="s">
        <v>116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117</v>
      </c>
      <c r="U778" t="s">
        <v>118</v>
      </c>
      <c r="V778" s="2">
        <f t="shared" si="160"/>
        <v>0</v>
      </c>
      <c r="W778" s="2">
        <f t="shared" si="161"/>
        <v>26999.91</v>
      </c>
      <c r="X778" s="2">
        <f>W778-R778</f>
        <v>9183.93</v>
      </c>
      <c r="Y778" s="2">
        <f t="shared" si="162"/>
        <v>0.34014668937785347</v>
      </c>
      <c r="Z778" s="2">
        <f t="shared" si="163"/>
        <v>-54</v>
      </c>
      <c r="AA778" s="2">
        <f t="shared" si="164"/>
        <v>8</v>
      </c>
      <c r="AB778" s="2">
        <f t="shared" si="165"/>
        <v>2025</v>
      </c>
      <c r="AC778" s="2" t="str">
        <f t="shared" si="166"/>
        <v>Invalid shipping record</v>
      </c>
      <c r="AD778" s="2">
        <f t="shared" si="167"/>
        <v>0</v>
      </c>
      <c r="AE778" s="2">
        <f t="shared" si="168"/>
        <v>0</v>
      </c>
      <c r="AH778" t="str">
        <f t="shared" si="158"/>
        <v>Aditi Sen</v>
      </c>
      <c r="AI778" t="str">
        <f t="shared" si="158"/>
        <v>Small Business</v>
      </c>
      <c r="AJ778" t="str">
        <f t="shared" si="158"/>
        <v>North</v>
      </c>
      <c r="AK778" t="str">
        <f t="shared" si="158"/>
        <v>Rajasthan</v>
      </c>
      <c r="AL778" t="str">
        <f t="shared" si="157"/>
        <v>Jaipur</v>
      </c>
      <c r="AM778" t="str">
        <f t="shared" si="157"/>
        <v>Technology</v>
      </c>
      <c r="AN778" t="str">
        <f t="shared" si="157"/>
        <v>Copiers</v>
      </c>
      <c r="AO778" t="str">
        <f t="shared" si="169"/>
        <v>Second Class</v>
      </c>
      <c r="AP778" t="str">
        <f t="shared" si="159"/>
        <v>Paid</v>
      </c>
      <c r="AQ778" t="str">
        <f t="shared" si="159"/>
        <v>Completed</v>
      </c>
    </row>
    <row r="779" spans="1:43">
      <c r="A779" t="s">
        <v>2710</v>
      </c>
      <c r="B779" s="3">
        <v>45384</v>
      </c>
      <c r="C779" s="3">
        <v>45328</v>
      </c>
      <c r="D779" t="s">
        <v>2711</v>
      </c>
      <c r="E779" t="s">
        <v>375</v>
      </c>
      <c r="F779" t="s">
        <v>122</v>
      </c>
      <c r="G779" t="s">
        <v>149</v>
      </c>
      <c r="H779" t="s">
        <v>158</v>
      </c>
      <c r="I779" t="s">
        <v>159</v>
      </c>
      <c r="J779" t="s">
        <v>160</v>
      </c>
      <c r="K779" t="s">
        <v>161</v>
      </c>
      <c r="L779" t="s">
        <v>2712</v>
      </c>
      <c r="M779" t="s">
        <v>116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248</v>
      </c>
      <c r="U779" t="s">
        <v>44</v>
      </c>
      <c r="V779" s="2">
        <f t="shared" si="160"/>
        <v>0.15</v>
      </c>
      <c r="W779" s="2">
        <f t="shared" si="161"/>
        <v>5065.116</v>
      </c>
      <c r="X779" s="2">
        <f>W779-R779</f>
        <v>1534.9960000000001</v>
      </c>
      <c r="Y779" s="2">
        <f t="shared" si="162"/>
        <v>0.30305248685321323</v>
      </c>
      <c r="Z779" s="2">
        <f t="shared" si="163"/>
        <v>-56</v>
      </c>
      <c r="AA779" s="2">
        <f t="shared" si="164"/>
        <v>4</v>
      </c>
      <c r="AB779" s="2">
        <f t="shared" si="165"/>
        <v>2024</v>
      </c>
      <c r="AC779" s="2" t="str">
        <f t="shared" si="166"/>
        <v>Invalid shipping record</v>
      </c>
      <c r="AD779" s="2">
        <f t="shared" si="167"/>
        <v>0</v>
      </c>
      <c r="AE779" s="2">
        <f t="shared" si="168"/>
        <v>0</v>
      </c>
      <c r="AH779" t="str">
        <f t="shared" si="158"/>
        <v>Kabir Singh</v>
      </c>
      <c r="AI779" t="str">
        <f t="shared" si="158"/>
        <v>Small Business</v>
      </c>
      <c r="AJ779" t="str">
        <f t="shared" si="158"/>
        <v>West</v>
      </c>
      <c r="AK779" t="str">
        <f t="shared" si="158"/>
        <v>Madhya Pradesh</v>
      </c>
      <c r="AL779" t="str">
        <f t="shared" si="157"/>
        <v>Indore</v>
      </c>
      <c r="AM779" t="str">
        <f t="shared" si="157"/>
        <v>Technology</v>
      </c>
      <c r="AN779" t="str">
        <f t="shared" si="157"/>
        <v>Accessories</v>
      </c>
      <c r="AO779" t="str">
        <f t="shared" si="169"/>
        <v>Second Class</v>
      </c>
      <c r="AP779" t="str">
        <f t="shared" si="159"/>
        <v>Failed</v>
      </c>
      <c r="AQ779" t="str">
        <f t="shared" si="159"/>
        <v>Cancelled</v>
      </c>
    </row>
    <row r="780" spans="1:43">
      <c r="A780" t="s">
        <v>2713</v>
      </c>
      <c r="B780" s="3">
        <v>45497</v>
      </c>
      <c r="C780" s="3" t="s">
        <v>2714</v>
      </c>
      <c r="D780" t="s">
        <v>2715</v>
      </c>
      <c r="E780" t="s">
        <v>108</v>
      </c>
      <c r="F780" t="s">
        <v>122</v>
      </c>
      <c r="G780" t="s">
        <v>110</v>
      </c>
      <c r="H780" t="s">
        <v>344</v>
      </c>
      <c r="I780" t="s">
        <v>345</v>
      </c>
      <c r="J780" t="s">
        <v>160</v>
      </c>
      <c r="K780" t="s">
        <v>166</v>
      </c>
      <c r="L780" t="s">
        <v>2716</v>
      </c>
      <c r="M780" t="s">
        <v>116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117</v>
      </c>
      <c r="U780" t="s">
        <v>118</v>
      </c>
      <c r="V780" s="2">
        <f t="shared" si="160"/>
        <v>0</v>
      </c>
      <c r="W780" s="2">
        <f t="shared" si="161"/>
        <v>6707.52</v>
      </c>
      <c r="X780" s="2">
        <f>W780-R780</f>
        <v>1034.9500000000007</v>
      </c>
      <c r="Y780" s="2">
        <f t="shared" si="162"/>
        <v>0.15429696817899918</v>
      </c>
      <c r="Z780" s="2" t="str">
        <f t="shared" si="163"/>
        <v/>
      </c>
      <c r="AA780" s="2">
        <f t="shared" si="164"/>
        <v>7</v>
      </c>
      <c r="AB780" s="2">
        <f t="shared" si="165"/>
        <v>2024</v>
      </c>
      <c r="AC780" s="2" t="str">
        <f t="shared" si="166"/>
        <v>Text Value Not Recognized as Date</v>
      </c>
      <c r="AD780" s="2">
        <f t="shared" si="167"/>
        <v>0</v>
      </c>
      <c r="AE780" s="2">
        <f t="shared" si="168"/>
        <v>0</v>
      </c>
      <c r="AH780" t="str">
        <f t="shared" si="158"/>
        <v>Karan Malhotra</v>
      </c>
      <c r="AI780" t="str">
        <f t="shared" si="158"/>
        <v>Small Business</v>
      </c>
      <c r="AJ780" t="str">
        <f t="shared" si="158"/>
        <v>North</v>
      </c>
      <c r="AK780" t="str">
        <f t="shared" si="158"/>
        <v>Haryana</v>
      </c>
      <c r="AL780" t="str">
        <f t="shared" si="157"/>
        <v>Gurugram</v>
      </c>
      <c r="AM780" t="str">
        <f t="shared" si="157"/>
        <v>Technology</v>
      </c>
      <c r="AN780" t="str">
        <f t="shared" si="157"/>
        <v>Copiers</v>
      </c>
      <c r="AO780" t="str">
        <f t="shared" si="169"/>
        <v>Second Class</v>
      </c>
      <c r="AP780" t="str">
        <f t="shared" si="159"/>
        <v>Paid</v>
      </c>
      <c r="AQ780" t="str">
        <f t="shared" si="159"/>
        <v>Completed</v>
      </c>
    </row>
    <row r="781" spans="1:43">
      <c r="A781" t="s">
        <v>2717</v>
      </c>
      <c r="B781" s="3">
        <v>45306</v>
      </c>
      <c r="C781" s="3" t="s">
        <v>2718</v>
      </c>
      <c r="D781" t="s">
        <v>2719</v>
      </c>
      <c r="E781" t="s">
        <v>203</v>
      </c>
      <c r="F781" t="s">
        <v>122</v>
      </c>
      <c r="G781" t="s">
        <v>140</v>
      </c>
      <c r="H781" t="s">
        <v>171</v>
      </c>
      <c r="I781" t="s">
        <v>172</v>
      </c>
      <c r="J781" t="s">
        <v>126</v>
      </c>
      <c r="K781" t="s">
        <v>152</v>
      </c>
      <c r="L781" t="s">
        <v>2720</v>
      </c>
      <c r="M781" t="s">
        <v>145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117</v>
      </c>
      <c r="U781" t="s">
        <v>118</v>
      </c>
      <c r="V781" s="2">
        <f t="shared" si="160"/>
        <v>0.05</v>
      </c>
      <c r="W781" s="2">
        <f t="shared" si="161"/>
        <v>11983.451999999999</v>
      </c>
      <c r="X781" s="2">
        <f>W781-R781</f>
        <v>3410.5519999999997</v>
      </c>
      <c r="Y781" s="2">
        <f t="shared" si="162"/>
        <v>0.2846051371507976</v>
      </c>
      <c r="Z781" s="2" t="str">
        <f t="shared" si="163"/>
        <v/>
      </c>
      <c r="AA781" s="2">
        <f t="shared" si="164"/>
        <v>1</v>
      </c>
      <c r="AB781" s="2">
        <f t="shared" si="165"/>
        <v>2024</v>
      </c>
      <c r="AC781" s="2" t="str">
        <f t="shared" si="166"/>
        <v>Text Value Not Recognized as Date</v>
      </c>
      <c r="AD781" s="2">
        <f t="shared" si="167"/>
        <v>0</v>
      </c>
      <c r="AE781" s="2">
        <f t="shared" si="168"/>
        <v>0</v>
      </c>
      <c r="AH781" t="str">
        <f t="shared" si="158"/>
        <v>Priya Menon</v>
      </c>
      <c r="AI781" t="str">
        <f t="shared" si="158"/>
        <v>Small Business</v>
      </c>
      <c r="AJ781" t="str">
        <f t="shared" si="158"/>
        <v>South</v>
      </c>
      <c r="AK781" t="str">
        <f t="shared" si="158"/>
        <v>Andhra Pradesh</v>
      </c>
      <c r="AL781" t="str">
        <f t="shared" si="157"/>
        <v>Vijayawada</v>
      </c>
      <c r="AM781" t="str">
        <f t="shared" si="157"/>
        <v>Furniture</v>
      </c>
      <c r="AN781" t="str">
        <f t="shared" si="157"/>
        <v>Chairs</v>
      </c>
      <c r="AO781" t="str">
        <f t="shared" si="169"/>
        <v>Standard Class</v>
      </c>
      <c r="AP781" t="str">
        <f t="shared" si="159"/>
        <v>Paid</v>
      </c>
      <c r="AQ781" t="str">
        <f t="shared" si="159"/>
        <v>Completed</v>
      </c>
    </row>
    <row r="782" spans="1:43">
      <c r="A782" t="s">
        <v>2721</v>
      </c>
      <c r="B782" s="3">
        <v>45508</v>
      </c>
      <c r="C782" s="3">
        <v>45514</v>
      </c>
      <c r="D782" t="s">
        <v>2722</v>
      </c>
      <c r="E782" t="s">
        <v>256</v>
      </c>
      <c r="F782" t="s">
        <v>122</v>
      </c>
      <c r="G782" t="s">
        <v>149</v>
      </c>
      <c r="H782" t="s">
        <v>111</v>
      </c>
      <c r="I782" t="s">
        <v>197</v>
      </c>
      <c r="J782" t="s">
        <v>126</v>
      </c>
      <c r="K782" t="s">
        <v>152</v>
      </c>
      <c r="L782" t="s">
        <v>2723</v>
      </c>
      <c r="M782" t="s">
        <v>129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117</v>
      </c>
      <c r="U782" t="s">
        <v>118</v>
      </c>
      <c r="V782" s="2">
        <f t="shared" si="160"/>
        <v>0.2</v>
      </c>
      <c r="W782" s="2">
        <f t="shared" si="161"/>
        <v>1364.576</v>
      </c>
      <c r="X782" s="2">
        <f>W782-R782</f>
        <v>386.41600000000005</v>
      </c>
      <c r="Y782" s="2">
        <f t="shared" si="162"/>
        <v>0.28317660577351506</v>
      </c>
      <c r="Z782" s="2">
        <f t="shared" si="163"/>
        <v>6</v>
      </c>
      <c r="AA782" s="2">
        <f t="shared" si="164"/>
        <v>8</v>
      </c>
      <c r="AB782" s="2">
        <f t="shared" si="165"/>
        <v>2024</v>
      </c>
      <c r="AC782" s="2" t="str">
        <f t="shared" si="166"/>
        <v>Valid</v>
      </c>
      <c r="AD782" s="2">
        <f t="shared" si="167"/>
        <v>0</v>
      </c>
      <c r="AE782" s="2">
        <f t="shared" si="168"/>
        <v>0</v>
      </c>
      <c r="AH782" t="str">
        <f t="shared" si="158"/>
        <v>Diya Patel</v>
      </c>
      <c r="AI782" t="str">
        <f t="shared" si="158"/>
        <v>Small Business</v>
      </c>
      <c r="AJ782" t="str">
        <f t="shared" si="158"/>
        <v>West</v>
      </c>
      <c r="AK782" t="str">
        <f t="shared" si="158"/>
        <v>Rajasthan</v>
      </c>
      <c r="AL782" t="str">
        <f t="shared" si="157"/>
        <v>Udaipur</v>
      </c>
      <c r="AM782" t="str">
        <f t="shared" si="157"/>
        <v>Furniture</v>
      </c>
      <c r="AN782" t="str">
        <f t="shared" si="157"/>
        <v>Chairs</v>
      </c>
      <c r="AO782" t="str">
        <f t="shared" si="169"/>
        <v>Same Day</v>
      </c>
      <c r="AP782" t="str">
        <f t="shared" si="159"/>
        <v>Paid</v>
      </c>
      <c r="AQ782" t="str">
        <f t="shared" si="159"/>
        <v>Completed</v>
      </c>
    </row>
    <row r="783" spans="1:43">
      <c r="A783" t="s">
        <v>2724</v>
      </c>
      <c r="B783" s="3">
        <v>45324</v>
      </c>
      <c r="C783" s="3">
        <v>45332</v>
      </c>
      <c r="D783" t="s">
        <v>2725</v>
      </c>
      <c r="E783" t="s">
        <v>108</v>
      </c>
      <c r="F783" t="s">
        <v>182</v>
      </c>
      <c r="G783" t="s">
        <v>149</v>
      </c>
      <c r="H783" t="s">
        <v>111</v>
      </c>
      <c r="I783" t="s">
        <v>197</v>
      </c>
      <c r="J783" t="s">
        <v>113</v>
      </c>
      <c r="K783" t="s">
        <v>178</v>
      </c>
      <c r="L783" t="s">
        <v>2726</v>
      </c>
      <c r="M783" t="s">
        <v>135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199</v>
      </c>
      <c r="U783" t="s">
        <v>190</v>
      </c>
      <c r="V783" s="2">
        <f t="shared" si="160"/>
        <v>0.25</v>
      </c>
      <c r="W783" s="2">
        <f t="shared" si="161"/>
        <v>862.64999999999986</v>
      </c>
      <c r="X783" s="2">
        <f>W783-R783</f>
        <v>258.91999999999985</v>
      </c>
      <c r="Y783" s="2">
        <f t="shared" si="162"/>
        <v>0.30014490233582553</v>
      </c>
      <c r="Z783" s="2">
        <f t="shared" si="163"/>
        <v>8</v>
      </c>
      <c r="AA783" s="2">
        <f t="shared" si="164"/>
        <v>2</v>
      </c>
      <c r="AB783" s="2">
        <f t="shared" si="165"/>
        <v>2024</v>
      </c>
      <c r="AC783" s="2" t="str">
        <f t="shared" si="166"/>
        <v>Valid</v>
      </c>
      <c r="AD783" s="2">
        <f t="shared" si="167"/>
        <v>0</v>
      </c>
      <c r="AE783" s="2">
        <f t="shared" si="168"/>
        <v>0</v>
      </c>
      <c r="AH783" t="str">
        <f t="shared" si="158"/>
        <v>Karan Malhotra</v>
      </c>
      <c r="AI783" t="str">
        <f t="shared" si="158"/>
        <v>Home Office</v>
      </c>
      <c r="AJ783" t="str">
        <f t="shared" si="158"/>
        <v>West</v>
      </c>
      <c r="AK783" t="str">
        <f t="shared" si="158"/>
        <v>Rajasthan</v>
      </c>
      <c r="AL783" t="str">
        <f t="shared" si="157"/>
        <v>Udaipur</v>
      </c>
      <c r="AM783" t="str">
        <f t="shared" si="157"/>
        <v>Office Supplies</v>
      </c>
      <c r="AN783" t="str">
        <f t="shared" si="157"/>
        <v>Labels</v>
      </c>
      <c r="AO783" t="str">
        <f t="shared" si="169"/>
        <v>First Class</v>
      </c>
      <c r="AP783" t="str">
        <f t="shared" si="159"/>
        <v>Pending</v>
      </c>
      <c r="AQ783" t="str">
        <f t="shared" si="159"/>
        <v>Returned</v>
      </c>
    </row>
    <row r="784" spans="1:43">
      <c r="A784" t="s">
        <v>2727</v>
      </c>
      <c r="B784" s="3">
        <v>45730</v>
      </c>
      <c r="C784" s="3">
        <v>45738</v>
      </c>
      <c r="D784" t="s">
        <v>2728</v>
      </c>
      <c r="E784" t="s">
        <v>121</v>
      </c>
      <c r="F784" t="s">
        <v>177</v>
      </c>
      <c r="G784" t="s">
        <v>123</v>
      </c>
      <c r="H784" t="s">
        <v>186</v>
      </c>
      <c r="I784" t="s">
        <v>187</v>
      </c>
      <c r="J784" t="s">
        <v>160</v>
      </c>
      <c r="K784" t="s">
        <v>166</v>
      </c>
      <c r="L784" t="s">
        <v>2729</v>
      </c>
      <c r="M784" t="s">
        <v>145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117</v>
      </c>
      <c r="U784" t="s">
        <v>118</v>
      </c>
      <c r="V784" s="2">
        <f t="shared" si="160"/>
        <v>0.15</v>
      </c>
      <c r="W784" s="2">
        <f t="shared" si="161"/>
        <v>1138.3709999999999</v>
      </c>
      <c r="X784" s="2">
        <f>W784-R784</f>
        <v>341.03099999999984</v>
      </c>
      <c r="Y784" s="2">
        <f t="shared" si="162"/>
        <v>0.29957808131092578</v>
      </c>
      <c r="Z784" s="2">
        <f t="shared" si="163"/>
        <v>8</v>
      </c>
      <c r="AA784" s="2">
        <f t="shared" si="164"/>
        <v>3</v>
      </c>
      <c r="AB784" s="2">
        <f t="shared" si="165"/>
        <v>2025</v>
      </c>
      <c r="AC784" s="2" t="str">
        <f t="shared" si="166"/>
        <v>Valid</v>
      </c>
      <c r="AD784" s="2">
        <f t="shared" si="167"/>
        <v>0</v>
      </c>
      <c r="AE784" s="2">
        <f t="shared" si="168"/>
        <v>0</v>
      </c>
      <c r="AH784" t="str">
        <f t="shared" si="158"/>
        <v>Mira Das</v>
      </c>
      <c r="AI784" t="str">
        <f t="shared" si="158"/>
        <v>Corporate</v>
      </c>
      <c r="AJ784" t="str">
        <f t="shared" si="158"/>
        <v>East</v>
      </c>
      <c r="AK784" t="str">
        <f t="shared" si="158"/>
        <v>West Bengal</v>
      </c>
      <c r="AL784" t="str">
        <f t="shared" si="157"/>
        <v>Kolkata</v>
      </c>
      <c r="AM784" t="str">
        <f t="shared" si="157"/>
        <v>Technology</v>
      </c>
      <c r="AN784" t="str">
        <f t="shared" si="157"/>
        <v>Copiers</v>
      </c>
      <c r="AO784" t="str">
        <f t="shared" si="169"/>
        <v>Standard Class</v>
      </c>
      <c r="AP784" t="str">
        <f t="shared" si="159"/>
        <v>Paid</v>
      </c>
      <c r="AQ784" t="str">
        <f t="shared" si="159"/>
        <v>Completed</v>
      </c>
    </row>
    <row r="785" spans="1:43">
      <c r="A785" t="s">
        <v>2730</v>
      </c>
      <c r="B785" s="3">
        <v>45450</v>
      </c>
      <c r="C785" s="3">
        <v>45450</v>
      </c>
      <c r="D785" t="s">
        <v>2731</v>
      </c>
      <c r="E785" t="s">
        <v>218</v>
      </c>
      <c r="F785" t="s">
        <v>122</v>
      </c>
      <c r="G785" t="s">
        <v>123</v>
      </c>
      <c r="H785" t="s">
        <v>237</v>
      </c>
      <c r="I785" t="s">
        <v>238</v>
      </c>
      <c r="J785" t="s">
        <v>113</v>
      </c>
      <c r="K785" t="s">
        <v>133</v>
      </c>
      <c r="L785" t="s">
        <v>2732</v>
      </c>
      <c r="M785" t="s">
        <v>116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117</v>
      </c>
      <c r="U785" t="s">
        <v>118</v>
      </c>
      <c r="V785" s="2">
        <f t="shared" si="160"/>
        <v>0.05</v>
      </c>
      <c r="W785" s="2">
        <f t="shared" si="161"/>
        <v>2452.8334999999997</v>
      </c>
      <c r="X785" s="2">
        <f>W785-R785</f>
        <v>546.13349999999969</v>
      </c>
      <c r="Y785" s="2">
        <f t="shared" si="162"/>
        <v>0.22265412634000625</v>
      </c>
      <c r="Z785" s="2">
        <f t="shared" si="163"/>
        <v>0</v>
      </c>
      <c r="AA785" s="2">
        <f t="shared" si="164"/>
        <v>6</v>
      </c>
      <c r="AB785" s="2">
        <f t="shared" si="165"/>
        <v>2024</v>
      </c>
      <c r="AC785" s="2" t="str">
        <f t="shared" si="166"/>
        <v>Valid</v>
      </c>
      <c r="AD785" s="2">
        <f t="shared" si="167"/>
        <v>0</v>
      </c>
      <c r="AE785" s="2">
        <f t="shared" si="168"/>
        <v>0</v>
      </c>
      <c r="AH785" t="str">
        <f t="shared" si="158"/>
        <v>Aarav Sharma</v>
      </c>
      <c r="AI785" t="str">
        <f t="shared" si="158"/>
        <v>Small Business</v>
      </c>
      <c r="AJ785" t="str">
        <f t="shared" si="158"/>
        <v>East</v>
      </c>
      <c r="AK785" t="str">
        <f t="shared" si="158"/>
        <v>Bihar</v>
      </c>
      <c r="AL785" t="str">
        <f t="shared" si="157"/>
        <v>Patna</v>
      </c>
      <c r="AM785" t="str">
        <f t="shared" si="157"/>
        <v>Office Supplies</v>
      </c>
      <c r="AN785" t="str">
        <f t="shared" si="157"/>
        <v>Art</v>
      </c>
      <c r="AO785" t="str">
        <f t="shared" si="169"/>
        <v>Second Class</v>
      </c>
      <c r="AP785" t="str">
        <f t="shared" si="159"/>
        <v>Paid</v>
      </c>
      <c r="AQ785" t="str">
        <f t="shared" si="159"/>
        <v>Completed</v>
      </c>
    </row>
    <row r="786" spans="1:43">
      <c r="A786" t="s">
        <v>2733</v>
      </c>
      <c r="B786" s="3">
        <v>45934</v>
      </c>
      <c r="C786" s="3">
        <v>45935</v>
      </c>
      <c r="D786" t="s">
        <v>2734</v>
      </c>
      <c r="E786" t="s">
        <v>203</v>
      </c>
      <c r="F786" t="s">
        <v>177</v>
      </c>
      <c r="G786" t="s">
        <v>2735</v>
      </c>
      <c r="H786" t="s">
        <v>211</v>
      </c>
      <c r="I786" t="s">
        <v>212</v>
      </c>
      <c r="J786" t="s">
        <v>160</v>
      </c>
      <c r="K786" t="s">
        <v>166</v>
      </c>
      <c r="L786" t="s">
        <v>2736</v>
      </c>
      <c r="M786" t="s">
        <v>135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117</v>
      </c>
      <c r="U786" t="s">
        <v>118</v>
      </c>
      <c r="V786" s="2">
        <f t="shared" si="160"/>
        <v>0.05</v>
      </c>
      <c r="W786" s="2">
        <f t="shared" si="161"/>
        <v>1589.0840000000001</v>
      </c>
      <c r="X786" s="2">
        <f>W786-R786</f>
        <v>504.42399999999998</v>
      </c>
      <c r="Y786" s="2">
        <f t="shared" si="162"/>
        <v>0.31743067075120002</v>
      </c>
      <c r="Z786" s="2">
        <f t="shared" si="163"/>
        <v>1</v>
      </c>
      <c r="AA786" s="2">
        <f t="shared" si="164"/>
        <v>10</v>
      </c>
      <c r="AB786" s="2">
        <f t="shared" si="165"/>
        <v>2025</v>
      </c>
      <c r="AC786" s="2" t="str">
        <f t="shared" si="166"/>
        <v>Valid</v>
      </c>
      <c r="AD786" s="2">
        <f t="shared" si="167"/>
        <v>0</v>
      </c>
      <c r="AE786" s="2">
        <f t="shared" si="168"/>
        <v>0</v>
      </c>
      <c r="AH786" t="str">
        <f t="shared" si="158"/>
        <v>Priya Menon</v>
      </c>
      <c r="AI786" t="str">
        <f t="shared" si="158"/>
        <v>Corporate</v>
      </c>
      <c r="AJ786" t="str">
        <f t="shared" si="158"/>
        <v>North</v>
      </c>
      <c r="AK786" t="str">
        <f t="shared" si="158"/>
        <v>Punjab</v>
      </c>
      <c r="AL786" t="str">
        <f t="shared" si="157"/>
        <v>Ludhiana</v>
      </c>
      <c r="AM786" t="str">
        <f t="shared" si="157"/>
        <v>Technology</v>
      </c>
      <c r="AN786" t="str">
        <f t="shared" si="157"/>
        <v>Copiers</v>
      </c>
      <c r="AO786" t="str">
        <f t="shared" si="169"/>
        <v>First Class</v>
      </c>
      <c r="AP786" t="str">
        <f t="shared" si="159"/>
        <v>Paid</v>
      </c>
      <c r="AQ786" t="str">
        <f t="shared" si="159"/>
        <v>Completed</v>
      </c>
    </row>
    <row r="787" spans="1:43">
      <c r="A787" t="s">
        <v>2737</v>
      </c>
      <c r="B787" s="3" t="s">
        <v>2738</v>
      </c>
      <c r="C787" s="3" t="s">
        <v>308</v>
      </c>
      <c r="D787" t="s">
        <v>2739</v>
      </c>
      <c r="E787" t="s">
        <v>256</v>
      </c>
      <c r="F787" t="s">
        <v>122</v>
      </c>
      <c r="G787" t="s">
        <v>110</v>
      </c>
      <c r="H787" t="s">
        <v>344</v>
      </c>
      <c r="I787" t="s">
        <v>345</v>
      </c>
      <c r="J787" t="s">
        <v>113</v>
      </c>
      <c r="K787" t="s">
        <v>213</v>
      </c>
      <c r="L787" t="s">
        <v>2740</v>
      </c>
      <c r="M787" t="s">
        <v>129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248</v>
      </c>
      <c r="U787" t="s">
        <v>44</v>
      </c>
      <c r="V787" s="2">
        <f t="shared" si="160"/>
        <v>0.25</v>
      </c>
      <c r="W787" s="2">
        <f t="shared" si="161"/>
        <v>4519.41</v>
      </c>
      <c r="X787" s="2">
        <f>W787-R787</f>
        <v>1015.25</v>
      </c>
      <c r="Y787" s="2">
        <f t="shared" si="162"/>
        <v>0.22464215461752751</v>
      </c>
      <c r="Z787" s="2" t="str">
        <f t="shared" si="163"/>
        <v/>
      </c>
      <c r="AA787" s="2" t="e">
        <f t="shared" si="164"/>
        <v>#VALUE!</v>
      </c>
      <c r="AB787" s="2" t="e">
        <f t="shared" si="165"/>
        <v>#VALUE!</v>
      </c>
      <c r="AC787" s="2" t="str">
        <f t="shared" si="166"/>
        <v>Text Value Not Recognized as Date</v>
      </c>
      <c r="AD787" s="2">
        <f t="shared" si="167"/>
        <v>0</v>
      </c>
      <c r="AE787" s="2">
        <f t="shared" si="168"/>
        <v>1</v>
      </c>
      <c r="AH787" t="str">
        <f t="shared" si="158"/>
        <v>Diya Patel</v>
      </c>
      <c r="AI787" t="str">
        <f t="shared" si="158"/>
        <v>Small Business</v>
      </c>
      <c r="AJ787" t="str">
        <f t="shared" si="158"/>
        <v>North</v>
      </c>
      <c r="AK787" t="str">
        <f t="shared" si="158"/>
        <v>Haryana</v>
      </c>
      <c r="AL787" t="str">
        <f t="shared" si="157"/>
        <v>Gurugram</v>
      </c>
      <c r="AM787" t="str">
        <f t="shared" si="157"/>
        <v>Office Supplies</v>
      </c>
      <c r="AN787" t="str">
        <f t="shared" si="157"/>
        <v>Storage</v>
      </c>
      <c r="AO787" t="str">
        <f t="shared" si="169"/>
        <v>Same Day</v>
      </c>
      <c r="AP787" t="str">
        <f t="shared" si="159"/>
        <v>Failed</v>
      </c>
      <c r="AQ787" t="str">
        <f t="shared" si="159"/>
        <v>Cancelled</v>
      </c>
    </row>
    <row r="788" spans="1:43">
      <c r="A788" t="s">
        <v>2741</v>
      </c>
      <c r="B788" s="3">
        <v>45844</v>
      </c>
      <c r="C788" s="3">
        <v>45846</v>
      </c>
      <c r="D788" t="s">
        <v>2742</v>
      </c>
      <c r="E788" t="s">
        <v>148</v>
      </c>
      <c r="F788" t="s">
        <v>177</v>
      </c>
      <c r="G788" t="s">
        <v>110</v>
      </c>
      <c r="H788" t="s">
        <v>111</v>
      </c>
      <c r="I788" t="s">
        <v>112</v>
      </c>
      <c r="J788" t="s">
        <v>126</v>
      </c>
      <c r="K788" t="s">
        <v>143</v>
      </c>
      <c r="L788" t="s">
        <v>2743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189</v>
      </c>
      <c r="U788" t="s">
        <v>190</v>
      </c>
      <c r="V788" s="2">
        <f t="shared" si="160"/>
        <v>0.05</v>
      </c>
      <c r="W788" s="2">
        <f t="shared" si="161"/>
        <v>2718.71</v>
      </c>
      <c r="X788" s="2">
        <f>W788-R788</f>
        <v>653.65999999999985</v>
      </c>
      <c r="Y788" s="2">
        <f t="shared" si="162"/>
        <v>0.24043020403058799</v>
      </c>
      <c r="Z788" s="2">
        <f t="shared" si="163"/>
        <v>2</v>
      </c>
      <c r="AA788" s="2">
        <f t="shared" si="164"/>
        <v>7</v>
      </c>
      <c r="AB788" s="2">
        <f t="shared" si="165"/>
        <v>2025</v>
      </c>
      <c r="AC788" s="2" t="str">
        <f t="shared" si="166"/>
        <v>Missing ship_mode</v>
      </c>
      <c r="AD788" s="2">
        <f t="shared" si="167"/>
        <v>0</v>
      </c>
      <c r="AE788" s="2">
        <f t="shared" si="168"/>
        <v>0</v>
      </c>
      <c r="AH788" t="str">
        <f t="shared" si="158"/>
        <v>Ananya Rao</v>
      </c>
      <c r="AI788" t="str">
        <f t="shared" si="158"/>
        <v>Corporate</v>
      </c>
      <c r="AJ788" t="str">
        <f t="shared" si="158"/>
        <v>North</v>
      </c>
      <c r="AK788" t="str">
        <f t="shared" si="158"/>
        <v>Rajasthan</v>
      </c>
      <c r="AL788" t="str">
        <f t="shared" si="157"/>
        <v>Jaipur</v>
      </c>
      <c r="AM788" t="str">
        <f t="shared" si="157"/>
        <v>Furniture</v>
      </c>
      <c r="AN788" t="str">
        <f t="shared" si="157"/>
        <v>Furnishings</v>
      </c>
      <c r="AO788" t="s">
        <v>306</v>
      </c>
      <c r="AP788" t="str">
        <f t="shared" si="159"/>
        <v>Refunded</v>
      </c>
      <c r="AQ788" t="str">
        <f t="shared" si="159"/>
        <v>Returned</v>
      </c>
    </row>
    <row r="789" spans="1:43">
      <c r="A789" t="s">
        <v>2744</v>
      </c>
      <c r="B789" s="3">
        <v>45547</v>
      </c>
      <c r="C789" s="3">
        <v>45553</v>
      </c>
      <c r="D789" t="s">
        <v>2745</v>
      </c>
      <c r="E789" t="s">
        <v>148</v>
      </c>
      <c r="F789" t="s">
        <v>182</v>
      </c>
      <c r="G789" t="s">
        <v>123</v>
      </c>
      <c r="H789" t="s">
        <v>237</v>
      </c>
      <c r="I789" t="s">
        <v>238</v>
      </c>
      <c r="J789" t="s">
        <v>113</v>
      </c>
      <c r="K789" t="s">
        <v>114</v>
      </c>
      <c r="L789" t="s">
        <v>2746</v>
      </c>
      <c r="M789" t="s">
        <v>116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117</v>
      </c>
      <c r="U789" t="s">
        <v>118</v>
      </c>
      <c r="V789" s="2">
        <f t="shared" si="160"/>
        <v>0.05</v>
      </c>
      <c r="W789" s="2">
        <f t="shared" si="161"/>
        <v>7065.6629999999996</v>
      </c>
      <c r="X789" s="2">
        <f>W789-R789</f>
        <v>2150.3929999999991</v>
      </c>
      <c r="Y789" s="2">
        <f t="shared" si="162"/>
        <v>0.30434412170521002</v>
      </c>
      <c r="Z789" s="2">
        <f t="shared" si="163"/>
        <v>6</v>
      </c>
      <c r="AA789" s="2">
        <f t="shared" si="164"/>
        <v>9</v>
      </c>
      <c r="AB789" s="2">
        <f t="shared" si="165"/>
        <v>2024</v>
      </c>
      <c r="AC789" s="2" t="str">
        <f t="shared" si="166"/>
        <v>Valid</v>
      </c>
      <c r="AD789" s="2">
        <f t="shared" si="167"/>
        <v>0</v>
      </c>
      <c r="AE789" s="2">
        <f t="shared" si="168"/>
        <v>0</v>
      </c>
      <c r="AH789" t="str">
        <f t="shared" si="158"/>
        <v>Ananya Rao</v>
      </c>
      <c r="AI789" t="str">
        <f t="shared" si="158"/>
        <v>Home Office</v>
      </c>
      <c r="AJ789" t="str">
        <f t="shared" si="158"/>
        <v>East</v>
      </c>
      <c r="AK789" t="str">
        <f t="shared" si="158"/>
        <v>Bihar</v>
      </c>
      <c r="AL789" t="str">
        <f t="shared" si="157"/>
        <v>Patna</v>
      </c>
      <c r="AM789" t="str">
        <f t="shared" si="157"/>
        <v>Office Supplies</v>
      </c>
      <c r="AN789" t="str">
        <f t="shared" si="157"/>
        <v>Paper</v>
      </c>
      <c r="AO789" t="str">
        <f t="shared" si="169"/>
        <v>Second Class</v>
      </c>
      <c r="AP789" t="str">
        <f t="shared" si="159"/>
        <v>Paid</v>
      </c>
      <c r="AQ789" t="str">
        <f t="shared" si="159"/>
        <v>Completed</v>
      </c>
    </row>
    <row r="790" spans="1:43">
      <c r="A790" t="s">
        <v>2747</v>
      </c>
      <c r="B790" s="3">
        <v>45505</v>
      </c>
      <c r="C790" s="3">
        <v>45330</v>
      </c>
      <c r="D790" t="s">
        <v>2748</v>
      </c>
      <c r="E790" t="s">
        <v>132</v>
      </c>
      <c r="F790" t="s">
        <v>177</v>
      </c>
      <c r="G790" t="s">
        <v>110</v>
      </c>
      <c r="H790" t="s">
        <v>227</v>
      </c>
      <c r="I790" t="s">
        <v>228</v>
      </c>
      <c r="J790" t="s">
        <v>126</v>
      </c>
      <c r="K790" t="s">
        <v>152</v>
      </c>
      <c r="L790" t="s">
        <v>2749</v>
      </c>
      <c r="M790" t="s">
        <v>145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248</v>
      </c>
      <c r="U790" t="s">
        <v>190</v>
      </c>
      <c r="V790" s="2">
        <f t="shared" si="160"/>
        <v>0.1</v>
      </c>
      <c r="W790" s="2">
        <f t="shared" si="161"/>
        <v>17911.007999999998</v>
      </c>
      <c r="X790" s="2">
        <f>W790-R790</f>
        <v>6364.9579999999987</v>
      </c>
      <c r="Y790" s="2">
        <f t="shared" si="162"/>
        <v>0.35536570582738836</v>
      </c>
      <c r="Z790" s="2">
        <f t="shared" si="163"/>
        <v>-175</v>
      </c>
      <c r="AA790" s="2">
        <f t="shared" si="164"/>
        <v>8</v>
      </c>
      <c r="AB790" s="2">
        <f t="shared" si="165"/>
        <v>2024</v>
      </c>
      <c r="AC790" s="2" t="str">
        <f t="shared" si="166"/>
        <v>Invalid shipping record</v>
      </c>
      <c r="AD790" s="2">
        <f t="shared" si="167"/>
        <v>0</v>
      </c>
      <c r="AE790" s="2">
        <f t="shared" si="168"/>
        <v>0</v>
      </c>
      <c r="AH790" t="str">
        <f t="shared" si="158"/>
        <v>Isha Nair</v>
      </c>
      <c r="AI790" t="str">
        <f t="shared" si="158"/>
        <v>Corporate</v>
      </c>
      <c r="AJ790" t="str">
        <f t="shared" si="158"/>
        <v>North</v>
      </c>
      <c r="AK790" t="str">
        <f t="shared" si="158"/>
        <v>Uttar Pradesh</v>
      </c>
      <c r="AL790" t="str">
        <f t="shared" si="157"/>
        <v>Noida</v>
      </c>
      <c r="AM790" t="str">
        <f t="shared" si="157"/>
        <v>Furniture</v>
      </c>
      <c r="AN790" t="str">
        <f t="shared" si="157"/>
        <v>Chairs</v>
      </c>
      <c r="AO790" t="str">
        <f t="shared" si="169"/>
        <v>Standard Class</v>
      </c>
      <c r="AP790" t="str">
        <f t="shared" si="159"/>
        <v>Failed</v>
      </c>
      <c r="AQ790" t="str">
        <f t="shared" si="159"/>
        <v>Returned</v>
      </c>
    </row>
    <row r="791" spans="1:43">
      <c r="A791" t="s">
        <v>2750</v>
      </c>
      <c r="B791" s="3">
        <v>45723</v>
      </c>
      <c r="C791" s="3">
        <v>45724</v>
      </c>
      <c r="D791" t="s">
        <v>2751</v>
      </c>
      <c r="E791" t="s">
        <v>203</v>
      </c>
      <c r="F791" t="s">
        <v>182</v>
      </c>
      <c r="H791" t="s">
        <v>111</v>
      </c>
      <c r="I791" t="s">
        <v>197</v>
      </c>
      <c r="J791" t="s">
        <v>160</v>
      </c>
      <c r="K791" t="s">
        <v>166</v>
      </c>
      <c r="L791" t="s">
        <v>2752</v>
      </c>
      <c r="M791" t="s">
        <v>129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117</v>
      </c>
      <c r="U791" t="s">
        <v>118</v>
      </c>
      <c r="V791" s="2">
        <f t="shared" si="160"/>
        <v>0</v>
      </c>
      <c r="W791" s="2">
        <f t="shared" si="161"/>
        <v>14149.92</v>
      </c>
      <c r="X791" s="2">
        <f>W791-R791</f>
        <v>4683.41</v>
      </c>
      <c r="Y791" s="2">
        <f t="shared" si="162"/>
        <v>0.33098491016203624</v>
      </c>
      <c r="Z791" s="2">
        <f t="shared" si="163"/>
        <v>1</v>
      </c>
      <c r="AA791" s="2">
        <f t="shared" si="164"/>
        <v>3</v>
      </c>
      <c r="AB791" s="2">
        <f t="shared" si="165"/>
        <v>2025</v>
      </c>
      <c r="AC791" s="2" t="str">
        <f t="shared" si="166"/>
        <v>Missing region</v>
      </c>
      <c r="AD791" s="2">
        <f t="shared" si="167"/>
        <v>0</v>
      </c>
      <c r="AE791" s="2">
        <f t="shared" si="168"/>
        <v>0</v>
      </c>
      <c r="AH791" t="str">
        <f t="shared" si="158"/>
        <v>Priya Menon</v>
      </c>
      <c r="AI791" t="str">
        <f t="shared" si="158"/>
        <v>Home Office</v>
      </c>
      <c r="AJ791" t="s">
        <v>306</v>
      </c>
      <c r="AK791" t="str">
        <f t="shared" si="158"/>
        <v>Rajasthan</v>
      </c>
      <c r="AL791" t="str">
        <f t="shared" si="157"/>
        <v>Udaipur</v>
      </c>
      <c r="AM791" t="str">
        <f t="shared" si="157"/>
        <v>Technology</v>
      </c>
      <c r="AN791" t="str">
        <f t="shared" si="157"/>
        <v>Copiers</v>
      </c>
      <c r="AO791" t="str">
        <f t="shared" si="169"/>
        <v>Same Day</v>
      </c>
      <c r="AP791" t="str">
        <f t="shared" si="159"/>
        <v>Paid</v>
      </c>
      <c r="AQ791" t="str">
        <f t="shared" si="159"/>
        <v>Completed</v>
      </c>
    </row>
    <row r="792" spans="1:43">
      <c r="A792" t="s">
        <v>2753</v>
      </c>
      <c r="B792" s="3">
        <v>45443</v>
      </c>
      <c r="C792" s="3">
        <v>45445</v>
      </c>
      <c r="D792" t="s">
        <v>2754</v>
      </c>
      <c r="E792" t="s">
        <v>207</v>
      </c>
      <c r="F792" t="s">
        <v>177</v>
      </c>
      <c r="G792" t="s">
        <v>140</v>
      </c>
      <c r="H792" t="s">
        <v>171</v>
      </c>
      <c r="I792" t="s">
        <v>172</v>
      </c>
      <c r="J792" t="s">
        <v>113</v>
      </c>
      <c r="K792" t="s">
        <v>133</v>
      </c>
      <c r="L792" t="s">
        <v>2755</v>
      </c>
      <c r="M792" t="s">
        <v>145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117</v>
      </c>
      <c r="U792" t="s">
        <v>118</v>
      </c>
      <c r="V792" s="2">
        <f t="shared" si="160"/>
        <v>0.2</v>
      </c>
      <c r="W792" s="2">
        <f t="shared" si="161"/>
        <v>4272.576</v>
      </c>
      <c r="X792" s="2">
        <f>W792-R792</f>
        <v>943.65599999999995</v>
      </c>
      <c r="Y792" s="2">
        <f t="shared" si="162"/>
        <v>0.22086347908147214</v>
      </c>
      <c r="Z792" s="2">
        <f t="shared" si="163"/>
        <v>2</v>
      </c>
      <c r="AA792" s="2">
        <f t="shared" si="164"/>
        <v>5</v>
      </c>
      <c r="AB792" s="2">
        <f t="shared" si="165"/>
        <v>2024</v>
      </c>
      <c r="AC792" s="2" t="str">
        <f t="shared" si="166"/>
        <v>Valid</v>
      </c>
      <c r="AD792" s="2">
        <f t="shared" si="167"/>
        <v>0</v>
      </c>
      <c r="AE792" s="2">
        <f t="shared" si="168"/>
        <v>0</v>
      </c>
      <c r="AH792" t="str">
        <f t="shared" si="158"/>
        <v>Rahul Verma</v>
      </c>
      <c r="AI792" t="str">
        <f t="shared" si="158"/>
        <v>Corporate</v>
      </c>
      <c r="AJ792" t="str">
        <f t="shared" si="158"/>
        <v>South</v>
      </c>
      <c r="AK792" t="str">
        <f t="shared" si="158"/>
        <v>Andhra Pradesh</v>
      </c>
      <c r="AL792" t="str">
        <f t="shared" si="157"/>
        <v>Vijayawada</v>
      </c>
      <c r="AM792" t="str">
        <f t="shared" si="157"/>
        <v>Office Supplies</v>
      </c>
      <c r="AN792" t="str">
        <f t="shared" si="157"/>
        <v>Art</v>
      </c>
      <c r="AO792" t="str">
        <f t="shared" si="169"/>
        <v>Standard Class</v>
      </c>
      <c r="AP792" t="str">
        <f t="shared" si="159"/>
        <v>Paid</v>
      </c>
      <c r="AQ792" t="str">
        <f t="shared" si="159"/>
        <v>Completed</v>
      </c>
    </row>
    <row r="793" spans="1:43">
      <c r="A793" t="s">
        <v>2756</v>
      </c>
      <c r="B793" s="3">
        <v>45567</v>
      </c>
      <c r="C793" s="3">
        <v>45571</v>
      </c>
      <c r="D793" t="s">
        <v>2757</v>
      </c>
      <c r="E793" t="s">
        <v>207</v>
      </c>
      <c r="F793" t="s">
        <v>182</v>
      </c>
      <c r="G793" t="s">
        <v>140</v>
      </c>
      <c r="H793" t="s">
        <v>270</v>
      </c>
      <c r="I793" t="s">
        <v>271</v>
      </c>
      <c r="J793" t="s">
        <v>126</v>
      </c>
      <c r="K793" t="s">
        <v>252</v>
      </c>
      <c r="L793" t="s">
        <v>2758</v>
      </c>
      <c r="M793" t="s">
        <v>129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117</v>
      </c>
      <c r="U793" t="s">
        <v>118</v>
      </c>
      <c r="V793" s="2">
        <f t="shared" si="160"/>
        <v>0.25</v>
      </c>
      <c r="W793" s="2">
        <f t="shared" si="161"/>
        <v>9352.619999999999</v>
      </c>
      <c r="X793" s="2">
        <f>W793-R793</f>
        <v>4083.2099999999991</v>
      </c>
      <c r="Y793" s="2">
        <f t="shared" si="162"/>
        <v>0.43658461479243243</v>
      </c>
      <c r="Z793" s="2">
        <f t="shared" si="163"/>
        <v>4</v>
      </c>
      <c r="AA793" s="2">
        <f t="shared" si="164"/>
        <v>10</v>
      </c>
      <c r="AB793" s="2">
        <f t="shared" si="165"/>
        <v>2024</v>
      </c>
      <c r="AC793" s="2" t="str">
        <f t="shared" si="166"/>
        <v>Valid</v>
      </c>
      <c r="AD793" s="2">
        <f t="shared" si="167"/>
        <v>0</v>
      </c>
      <c r="AE793" s="2">
        <f t="shared" si="168"/>
        <v>0</v>
      </c>
      <c r="AH793" t="str">
        <f t="shared" si="158"/>
        <v>Rahul Verma</v>
      </c>
      <c r="AI793" t="str">
        <f t="shared" si="158"/>
        <v>Home Office</v>
      </c>
      <c r="AJ793" t="str">
        <f t="shared" si="158"/>
        <v>South</v>
      </c>
      <c r="AK793" t="str">
        <f t="shared" si="158"/>
        <v>Karnataka</v>
      </c>
      <c r="AL793" t="str">
        <f t="shared" si="157"/>
        <v>Bengaluru</v>
      </c>
      <c r="AM793" t="str">
        <f t="shared" si="157"/>
        <v>Furniture</v>
      </c>
      <c r="AN793" t="str">
        <f t="shared" si="157"/>
        <v>Bookcases</v>
      </c>
      <c r="AO793" t="str">
        <f t="shared" si="169"/>
        <v>Same Day</v>
      </c>
      <c r="AP793" t="str">
        <f t="shared" si="159"/>
        <v>Paid</v>
      </c>
      <c r="AQ793" t="str">
        <f t="shared" si="159"/>
        <v>Completed</v>
      </c>
    </row>
    <row r="794" spans="1:43">
      <c r="A794" t="s">
        <v>2759</v>
      </c>
      <c r="B794" s="3">
        <v>45812</v>
      </c>
      <c r="C794" s="3">
        <v>45816</v>
      </c>
      <c r="D794" t="s">
        <v>2760</v>
      </c>
      <c r="E794" t="s">
        <v>139</v>
      </c>
      <c r="F794" t="s">
        <v>122</v>
      </c>
      <c r="G794" t="s">
        <v>123</v>
      </c>
      <c r="H794" t="s">
        <v>260</v>
      </c>
      <c r="I794" t="s">
        <v>261</v>
      </c>
      <c r="J794" t="s">
        <v>126</v>
      </c>
      <c r="K794" t="s">
        <v>143</v>
      </c>
      <c r="L794" t="s">
        <v>2761</v>
      </c>
      <c r="M794" t="s">
        <v>116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117</v>
      </c>
      <c r="U794" t="s">
        <v>190</v>
      </c>
      <c r="V794" s="2">
        <f t="shared" si="160"/>
        <v>0.2</v>
      </c>
      <c r="W794" s="2">
        <f t="shared" si="161"/>
        <v>2800.8960000000002</v>
      </c>
      <c r="X794" s="2">
        <f>W794-R794</f>
        <v>1064.9160000000002</v>
      </c>
      <c r="Y794" s="2">
        <f t="shared" si="162"/>
        <v>0.38020547710446945</v>
      </c>
      <c r="Z794" s="2">
        <f t="shared" si="163"/>
        <v>4</v>
      </c>
      <c r="AA794" s="2">
        <f t="shared" si="164"/>
        <v>6</v>
      </c>
      <c r="AB794" s="2">
        <f t="shared" si="165"/>
        <v>2025</v>
      </c>
      <c r="AC794" s="2" t="str">
        <f t="shared" si="166"/>
        <v>Valid</v>
      </c>
      <c r="AD794" s="2">
        <f t="shared" si="167"/>
        <v>0</v>
      </c>
      <c r="AE794" s="2">
        <f t="shared" si="168"/>
        <v>0</v>
      </c>
      <c r="AH794" t="str">
        <f t="shared" si="158"/>
        <v>Arjun Bose</v>
      </c>
      <c r="AI794" t="str">
        <f t="shared" si="158"/>
        <v>Small Business</v>
      </c>
      <c r="AJ794" t="str">
        <f t="shared" si="158"/>
        <v>East</v>
      </c>
      <c r="AK794" t="str">
        <f t="shared" si="158"/>
        <v>Assam</v>
      </c>
      <c r="AL794" t="str">
        <f t="shared" si="157"/>
        <v>Guwahati</v>
      </c>
      <c r="AM794" t="str">
        <f t="shared" si="157"/>
        <v>Furniture</v>
      </c>
      <c r="AN794" t="str">
        <f t="shared" si="157"/>
        <v>Furnishings</v>
      </c>
      <c r="AO794" t="str">
        <f t="shared" si="169"/>
        <v>Second Class</v>
      </c>
      <c r="AP794" t="str">
        <f t="shared" si="159"/>
        <v>Paid</v>
      </c>
      <c r="AQ794" t="str">
        <f t="shared" si="159"/>
        <v>Returned</v>
      </c>
    </row>
    <row r="795" spans="1:43">
      <c r="A795" t="s">
        <v>2762</v>
      </c>
      <c r="B795" s="3" t="s">
        <v>155</v>
      </c>
      <c r="C795" s="3">
        <v>45446</v>
      </c>
      <c r="D795" t="s">
        <v>2763</v>
      </c>
      <c r="E795" t="s">
        <v>157</v>
      </c>
      <c r="F795" t="s">
        <v>177</v>
      </c>
      <c r="G795" t="s">
        <v>110</v>
      </c>
      <c r="H795" t="s">
        <v>111</v>
      </c>
      <c r="I795" t="s">
        <v>112</v>
      </c>
      <c r="J795" t="s">
        <v>160</v>
      </c>
      <c r="K795" t="s">
        <v>166</v>
      </c>
      <c r="L795" t="s">
        <v>2764</v>
      </c>
      <c r="M795" t="s">
        <v>116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117</v>
      </c>
      <c r="U795" t="s">
        <v>118</v>
      </c>
      <c r="V795" s="2">
        <f t="shared" si="160"/>
        <v>0</v>
      </c>
      <c r="W795" s="2">
        <f t="shared" si="161"/>
        <v>21511.599999999999</v>
      </c>
      <c r="X795" s="2">
        <f>W795-R795</f>
        <v>6103.1299999999992</v>
      </c>
      <c r="Y795" s="2">
        <f t="shared" si="162"/>
        <v>0.28371343833094703</v>
      </c>
      <c r="Z795" s="2" t="str">
        <f t="shared" si="163"/>
        <v/>
      </c>
      <c r="AA795" s="2" t="e">
        <f t="shared" si="164"/>
        <v>#VALUE!</v>
      </c>
      <c r="AB795" s="2" t="e">
        <f t="shared" si="165"/>
        <v>#VALUE!</v>
      </c>
      <c r="AC795" s="2" t="str">
        <f t="shared" si="166"/>
        <v>Text Value Not Recognized as Date</v>
      </c>
      <c r="AD795" s="2">
        <f t="shared" si="167"/>
        <v>0</v>
      </c>
      <c r="AE795" s="2">
        <f t="shared" si="168"/>
        <v>0</v>
      </c>
      <c r="AH795" t="str">
        <f t="shared" si="158"/>
        <v>Vikram Iyer</v>
      </c>
      <c r="AI795" t="str">
        <f t="shared" si="158"/>
        <v>Corporate</v>
      </c>
      <c r="AJ795" t="str">
        <f t="shared" si="158"/>
        <v>North</v>
      </c>
      <c r="AK795" t="str">
        <f t="shared" si="158"/>
        <v>Rajasthan</v>
      </c>
      <c r="AL795" t="str">
        <f t="shared" si="157"/>
        <v>Jaipur</v>
      </c>
      <c r="AM795" t="str">
        <f t="shared" si="157"/>
        <v>Technology</v>
      </c>
      <c r="AN795" t="str">
        <f t="shared" si="157"/>
        <v>Copiers</v>
      </c>
      <c r="AO795" t="str">
        <f t="shared" si="169"/>
        <v>Second Class</v>
      </c>
      <c r="AP795" t="str">
        <f t="shared" si="159"/>
        <v>Paid</v>
      </c>
      <c r="AQ795" t="str">
        <f t="shared" si="159"/>
        <v>Completed</v>
      </c>
    </row>
    <row r="796" spans="1:43">
      <c r="A796" t="s">
        <v>2765</v>
      </c>
      <c r="B796" s="3">
        <v>45830</v>
      </c>
      <c r="C796" s="3">
        <v>45832</v>
      </c>
      <c r="D796" t="s">
        <v>2766</v>
      </c>
      <c r="E796" t="s">
        <v>222</v>
      </c>
      <c r="F796" t="s">
        <v>177</v>
      </c>
      <c r="G796" t="s">
        <v>123</v>
      </c>
      <c r="H796" t="s">
        <v>260</v>
      </c>
      <c r="I796" t="s">
        <v>261</v>
      </c>
      <c r="J796" t="s">
        <v>113</v>
      </c>
      <c r="K796" t="s">
        <v>114</v>
      </c>
      <c r="L796" t="s">
        <v>2767</v>
      </c>
      <c r="M796" t="s">
        <v>145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117</v>
      </c>
      <c r="U796" t="s">
        <v>118</v>
      </c>
      <c r="V796" s="2">
        <f t="shared" si="160"/>
        <v>0.15</v>
      </c>
      <c r="W796" s="2">
        <f t="shared" si="161"/>
        <v>7279.3574999999992</v>
      </c>
      <c r="X796" s="2">
        <f>W796-R796</f>
        <v>2408.9674999999988</v>
      </c>
      <c r="Y796" s="2">
        <f t="shared" si="162"/>
        <v>0.33093133562955235</v>
      </c>
      <c r="Z796" s="2">
        <f t="shared" si="163"/>
        <v>2</v>
      </c>
      <c r="AA796" s="2">
        <f t="shared" si="164"/>
        <v>6</v>
      </c>
      <c r="AB796" s="2">
        <f t="shared" si="165"/>
        <v>2025</v>
      </c>
      <c r="AC796" s="2" t="str">
        <f t="shared" si="166"/>
        <v>Valid</v>
      </c>
      <c r="AD796" s="2">
        <f t="shared" si="167"/>
        <v>0</v>
      </c>
      <c r="AE796" s="2">
        <f t="shared" si="168"/>
        <v>0</v>
      </c>
      <c r="AH796" t="str">
        <f t="shared" si="158"/>
        <v>Sneha Kapoor</v>
      </c>
      <c r="AI796" t="str">
        <f t="shared" si="158"/>
        <v>Corporate</v>
      </c>
      <c r="AJ796" t="str">
        <f t="shared" si="158"/>
        <v>East</v>
      </c>
      <c r="AK796" t="str">
        <f t="shared" si="158"/>
        <v>Assam</v>
      </c>
      <c r="AL796" t="str">
        <f t="shared" si="157"/>
        <v>Guwahati</v>
      </c>
      <c r="AM796" t="str">
        <f t="shared" si="157"/>
        <v>Office Supplies</v>
      </c>
      <c r="AN796" t="str">
        <f t="shared" si="157"/>
        <v>Paper</v>
      </c>
      <c r="AO796" t="str">
        <f t="shared" si="169"/>
        <v>Standard Class</v>
      </c>
      <c r="AP796" t="str">
        <f t="shared" si="159"/>
        <v>Paid</v>
      </c>
      <c r="AQ796" t="str">
        <f t="shared" si="159"/>
        <v>Completed</v>
      </c>
    </row>
    <row r="797" spans="1:43">
      <c r="A797" t="s">
        <v>2768</v>
      </c>
      <c r="B797" s="3" t="s">
        <v>2769</v>
      </c>
      <c r="C797" s="3">
        <v>45503</v>
      </c>
      <c r="D797" t="s">
        <v>2770</v>
      </c>
      <c r="E797" t="s">
        <v>256</v>
      </c>
      <c r="F797" t="s">
        <v>182</v>
      </c>
      <c r="G797" t="s">
        <v>123</v>
      </c>
      <c r="H797" t="s">
        <v>124</v>
      </c>
      <c r="I797" t="s">
        <v>125</v>
      </c>
      <c r="J797" t="s">
        <v>160</v>
      </c>
      <c r="K797" t="s">
        <v>166</v>
      </c>
      <c r="L797" t="s">
        <v>2771</v>
      </c>
      <c r="M797" t="s">
        <v>129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189</v>
      </c>
      <c r="U797" t="s">
        <v>44</v>
      </c>
      <c r="V797" s="2">
        <f t="shared" si="160"/>
        <v>0</v>
      </c>
      <c r="W797" s="2">
        <f t="shared" si="161"/>
        <v>26051.94</v>
      </c>
      <c r="X797" s="2">
        <f>W797-R797</f>
        <v>9168.3499999999985</v>
      </c>
      <c r="Y797" s="2">
        <f t="shared" si="162"/>
        <v>0.3519258066769691</v>
      </c>
      <c r="Z797" s="2" t="str">
        <f t="shared" si="163"/>
        <v/>
      </c>
      <c r="AA797" s="2" t="e">
        <f t="shared" si="164"/>
        <v>#VALUE!</v>
      </c>
      <c r="AB797" s="2" t="e">
        <f t="shared" si="165"/>
        <v>#VALUE!</v>
      </c>
      <c r="AC797" s="2" t="str">
        <f t="shared" si="166"/>
        <v>Text Value Not Recognized as Date</v>
      </c>
      <c r="AD797" s="2">
        <f t="shared" si="167"/>
        <v>0</v>
      </c>
      <c r="AE797" s="2">
        <f t="shared" si="168"/>
        <v>0</v>
      </c>
      <c r="AH797" t="str">
        <f t="shared" si="158"/>
        <v>Diya Patel</v>
      </c>
      <c r="AI797" t="str">
        <f t="shared" si="158"/>
        <v>Home Office</v>
      </c>
      <c r="AJ797" t="str">
        <f t="shared" si="158"/>
        <v>East</v>
      </c>
      <c r="AK797" t="str">
        <f t="shared" si="158"/>
        <v>Odisha</v>
      </c>
      <c r="AL797" t="str">
        <f t="shared" si="157"/>
        <v>Bhubaneswar</v>
      </c>
      <c r="AM797" t="str">
        <f t="shared" si="157"/>
        <v>Technology</v>
      </c>
      <c r="AN797" t="str">
        <f t="shared" si="157"/>
        <v>Copiers</v>
      </c>
      <c r="AO797" t="str">
        <f t="shared" si="169"/>
        <v>Same Day</v>
      </c>
      <c r="AP797" t="str">
        <f t="shared" si="159"/>
        <v>Refunded</v>
      </c>
      <c r="AQ797" t="str">
        <f t="shared" si="159"/>
        <v>Cancelled</v>
      </c>
    </row>
    <row r="798" spans="1:43">
      <c r="A798" t="s">
        <v>2772</v>
      </c>
      <c r="B798" s="3">
        <v>45374</v>
      </c>
      <c r="C798" s="3" t="s">
        <v>2773</v>
      </c>
      <c r="D798" t="s">
        <v>2774</v>
      </c>
      <c r="E798" t="s">
        <v>232</v>
      </c>
      <c r="F798" t="s">
        <v>122</v>
      </c>
      <c r="G798" t="s">
        <v>140</v>
      </c>
      <c r="H798" t="s">
        <v>171</v>
      </c>
      <c r="I798" t="s">
        <v>172</v>
      </c>
      <c r="J798" t="s">
        <v>160</v>
      </c>
      <c r="K798" t="s">
        <v>385</v>
      </c>
      <c r="L798" t="s">
        <v>2775</v>
      </c>
      <c r="M798" t="s">
        <v>135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117</v>
      </c>
      <c r="U798" t="s">
        <v>118</v>
      </c>
      <c r="V798" s="2">
        <f t="shared" si="160"/>
        <v>0.15</v>
      </c>
      <c r="W798" s="2">
        <f t="shared" si="161"/>
        <v>9661.6439999999984</v>
      </c>
      <c r="X798" s="2">
        <f>W798-R798</f>
        <v>3357.873999999998</v>
      </c>
      <c r="Y798" s="2">
        <f t="shared" si="162"/>
        <v>0.34754685641491223</v>
      </c>
      <c r="Z798" s="2" t="str">
        <f t="shared" si="163"/>
        <v/>
      </c>
      <c r="AA798" s="2">
        <f t="shared" si="164"/>
        <v>3</v>
      </c>
      <c r="AB798" s="2">
        <f t="shared" si="165"/>
        <v>2024</v>
      </c>
      <c r="AC798" s="2" t="str">
        <f t="shared" si="166"/>
        <v>Text Value Not Recognized as Date</v>
      </c>
      <c r="AD798" s="2">
        <f t="shared" si="167"/>
        <v>0</v>
      </c>
      <c r="AE798" s="2">
        <f t="shared" si="168"/>
        <v>0</v>
      </c>
      <c r="AH798" t="str">
        <f t="shared" si="158"/>
        <v>Rohan Mehta</v>
      </c>
      <c r="AI798" t="str">
        <f t="shared" si="158"/>
        <v>Small Business</v>
      </c>
      <c r="AJ798" t="str">
        <f t="shared" si="158"/>
        <v>South</v>
      </c>
      <c r="AK798" t="str">
        <f t="shared" si="158"/>
        <v>Andhra Pradesh</v>
      </c>
      <c r="AL798" t="str">
        <f t="shared" si="157"/>
        <v>Vijayawada</v>
      </c>
      <c r="AM798" t="str">
        <f t="shared" si="157"/>
        <v>Technology</v>
      </c>
      <c r="AN798" t="str">
        <f t="shared" si="157"/>
        <v>Machines</v>
      </c>
      <c r="AO798" t="str">
        <f t="shared" si="169"/>
        <v>First Class</v>
      </c>
      <c r="AP798" t="str">
        <f t="shared" si="159"/>
        <v>Paid</v>
      </c>
      <c r="AQ798" t="str">
        <f t="shared" si="159"/>
        <v>Completed</v>
      </c>
    </row>
    <row r="799" spans="1:43">
      <c r="A799" t="s">
        <v>2776</v>
      </c>
      <c r="B799" s="3">
        <v>45400</v>
      </c>
      <c r="C799" s="3" t="s">
        <v>2704</v>
      </c>
      <c r="D799" t="s">
        <v>2777</v>
      </c>
      <c r="E799" t="s">
        <v>218</v>
      </c>
      <c r="F799" t="s">
        <v>109</v>
      </c>
      <c r="G799" t="s">
        <v>123</v>
      </c>
      <c r="H799" t="s">
        <v>124</v>
      </c>
      <c r="I799" t="s">
        <v>125</v>
      </c>
      <c r="J799" t="s">
        <v>113</v>
      </c>
      <c r="K799" t="s">
        <v>246</v>
      </c>
      <c r="L799" t="s">
        <v>2778</v>
      </c>
      <c r="M799" t="s">
        <v>135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248</v>
      </c>
      <c r="U799" t="s">
        <v>44</v>
      </c>
      <c r="V799" s="2">
        <f t="shared" si="160"/>
        <v>0</v>
      </c>
      <c r="W799" s="2">
        <f t="shared" si="161"/>
        <v>13714.96</v>
      </c>
      <c r="X799" s="2">
        <f>W799-R799</f>
        <v>3164.49</v>
      </c>
      <c r="Y799" s="2">
        <f t="shared" si="162"/>
        <v>0.23073271814135804</v>
      </c>
      <c r="Z799" s="2" t="str">
        <f t="shared" si="163"/>
        <v/>
      </c>
      <c r="AA799" s="2">
        <f t="shared" si="164"/>
        <v>4</v>
      </c>
      <c r="AB799" s="2">
        <f t="shared" si="165"/>
        <v>2024</v>
      </c>
      <c r="AC799" s="2" t="str">
        <f t="shared" si="166"/>
        <v>Text Value Not Recognized as Date</v>
      </c>
      <c r="AD799" s="2">
        <f t="shared" si="167"/>
        <v>0</v>
      </c>
      <c r="AE799" s="2">
        <f t="shared" si="168"/>
        <v>0</v>
      </c>
      <c r="AH799" t="str">
        <f t="shared" si="158"/>
        <v>Aarav Sharma</v>
      </c>
      <c r="AI799" t="str">
        <f t="shared" si="158"/>
        <v>Consumer</v>
      </c>
      <c r="AJ799" t="str">
        <f t="shared" si="158"/>
        <v>East</v>
      </c>
      <c r="AK799" t="str">
        <f t="shared" si="158"/>
        <v>Odisha</v>
      </c>
      <c r="AL799" t="str">
        <f t="shared" si="157"/>
        <v>Bhubaneswar</v>
      </c>
      <c r="AM799" t="str">
        <f t="shared" si="157"/>
        <v>Office Supplies</v>
      </c>
      <c r="AN799" t="str">
        <f t="shared" si="157"/>
        <v>Binders</v>
      </c>
      <c r="AO799" t="str">
        <f t="shared" si="169"/>
        <v>First Class</v>
      </c>
      <c r="AP799" t="str">
        <f t="shared" si="159"/>
        <v>Failed</v>
      </c>
      <c r="AQ799" t="str">
        <f t="shared" si="159"/>
        <v>Cancelled</v>
      </c>
    </row>
    <row r="800" spans="1:43">
      <c r="A800" t="s">
        <v>2779</v>
      </c>
      <c r="B800" s="3">
        <v>45849</v>
      </c>
      <c r="C800" s="3">
        <v>45907</v>
      </c>
      <c r="D800" t="s">
        <v>2780</v>
      </c>
      <c r="E800" t="s">
        <v>176</v>
      </c>
      <c r="F800" t="s">
        <v>177</v>
      </c>
      <c r="G800" t="s">
        <v>110</v>
      </c>
      <c r="H800" t="s">
        <v>465</v>
      </c>
      <c r="I800" t="s">
        <v>466</v>
      </c>
      <c r="J800" t="s">
        <v>126</v>
      </c>
      <c r="K800" t="s">
        <v>143</v>
      </c>
      <c r="L800" t="s">
        <v>2781</v>
      </c>
      <c r="M800" t="s">
        <v>145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117</v>
      </c>
      <c r="U800" t="s">
        <v>118</v>
      </c>
      <c r="V800" s="2">
        <f t="shared" si="160"/>
        <v>0</v>
      </c>
      <c r="W800" s="2">
        <f t="shared" si="161"/>
        <v>15354.449999999999</v>
      </c>
      <c r="X800" s="2">
        <f>W800-R800</f>
        <v>5697.9499999999989</v>
      </c>
      <c r="Y800" s="2">
        <f t="shared" si="162"/>
        <v>0.37109437329243311</v>
      </c>
      <c r="Z800" s="2">
        <f t="shared" si="163"/>
        <v>58</v>
      </c>
      <c r="AA800" s="2">
        <f t="shared" si="164"/>
        <v>7</v>
      </c>
      <c r="AB800" s="2">
        <f t="shared" si="165"/>
        <v>2025</v>
      </c>
      <c r="AC800" s="2" t="str">
        <f t="shared" si="166"/>
        <v>Valid</v>
      </c>
      <c r="AD800" s="2">
        <f t="shared" si="167"/>
        <v>0</v>
      </c>
      <c r="AE800" s="2">
        <f t="shared" si="168"/>
        <v>0</v>
      </c>
      <c r="AH800" t="str">
        <f t="shared" si="158"/>
        <v>Aditi Sen</v>
      </c>
      <c r="AI800" t="str">
        <f t="shared" si="158"/>
        <v>Corporate</v>
      </c>
      <c r="AJ800" t="str">
        <f t="shared" si="158"/>
        <v>North</v>
      </c>
      <c r="AK800" t="str">
        <f t="shared" si="158"/>
        <v>Delhi</v>
      </c>
      <c r="AL800" t="str">
        <f t="shared" si="157"/>
        <v>New Delhi</v>
      </c>
      <c r="AM800" t="str">
        <f t="shared" si="157"/>
        <v>Furniture</v>
      </c>
      <c r="AN800" t="str">
        <f t="shared" si="157"/>
        <v>Furnishings</v>
      </c>
      <c r="AO800" t="str">
        <f t="shared" si="169"/>
        <v>Standard Class</v>
      </c>
      <c r="AP800" t="str">
        <f t="shared" si="159"/>
        <v>Paid</v>
      </c>
      <c r="AQ800" t="str">
        <f t="shared" si="159"/>
        <v>Completed</v>
      </c>
    </row>
    <row r="801" spans="1:43">
      <c r="A801" t="s">
        <v>2782</v>
      </c>
      <c r="B801" s="3">
        <v>45575</v>
      </c>
      <c r="C801" s="3">
        <v>45582</v>
      </c>
      <c r="D801" t="s">
        <v>2783</v>
      </c>
      <c r="E801" t="s">
        <v>132</v>
      </c>
      <c r="F801" t="s">
        <v>182</v>
      </c>
      <c r="G801" t="s">
        <v>110</v>
      </c>
      <c r="H801" t="s">
        <v>344</v>
      </c>
      <c r="I801" t="s">
        <v>345</v>
      </c>
      <c r="J801" t="s">
        <v>160</v>
      </c>
      <c r="K801" t="s">
        <v>161</v>
      </c>
      <c r="L801" t="s">
        <v>2784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117</v>
      </c>
      <c r="U801" t="s">
        <v>190</v>
      </c>
      <c r="V801" s="2">
        <f t="shared" si="160"/>
        <v>0.05</v>
      </c>
      <c r="W801" s="2">
        <f t="shared" si="161"/>
        <v>4595.1975000000002</v>
      </c>
      <c r="X801" s="2">
        <f>W801-R801</f>
        <v>707.78750000000036</v>
      </c>
      <c r="Y801" s="2">
        <f t="shared" si="162"/>
        <v>0.15402765604742785</v>
      </c>
      <c r="Z801" s="2">
        <f t="shared" si="163"/>
        <v>7</v>
      </c>
      <c r="AA801" s="2">
        <f t="shared" si="164"/>
        <v>10</v>
      </c>
      <c r="AB801" s="2">
        <f t="shared" si="165"/>
        <v>2024</v>
      </c>
      <c r="AC801" s="2" t="str">
        <f t="shared" si="166"/>
        <v>Missing ship_mode</v>
      </c>
      <c r="AD801" s="2">
        <f t="shared" si="167"/>
        <v>0</v>
      </c>
      <c r="AE801" s="2">
        <f t="shared" si="168"/>
        <v>0</v>
      </c>
      <c r="AH801" t="str">
        <f t="shared" si="158"/>
        <v>Isha Nair</v>
      </c>
      <c r="AI801" t="str">
        <f t="shared" si="158"/>
        <v>Home Office</v>
      </c>
      <c r="AJ801" t="str">
        <f t="shared" si="158"/>
        <v>North</v>
      </c>
      <c r="AK801" t="str">
        <f t="shared" si="158"/>
        <v>Haryana</v>
      </c>
      <c r="AL801" t="str">
        <f t="shared" si="157"/>
        <v>Gurugram</v>
      </c>
      <c r="AM801" t="str">
        <f t="shared" si="157"/>
        <v>Technology</v>
      </c>
      <c r="AN801" t="str">
        <f t="shared" si="157"/>
        <v>Accessories</v>
      </c>
      <c r="AO801" t="s">
        <v>306</v>
      </c>
      <c r="AP801" t="str">
        <f t="shared" si="159"/>
        <v>Paid</v>
      </c>
      <c r="AQ801" t="str">
        <f t="shared" si="159"/>
        <v>Returned</v>
      </c>
    </row>
    <row r="802" spans="1:43">
      <c r="A802" t="s">
        <v>2785</v>
      </c>
      <c r="B802" s="3">
        <v>45352</v>
      </c>
      <c r="C802" s="3">
        <v>45358</v>
      </c>
      <c r="D802" t="s">
        <v>2786</v>
      </c>
      <c r="E802" t="s">
        <v>157</v>
      </c>
      <c r="F802" t="s">
        <v>122</v>
      </c>
      <c r="G802" t="s">
        <v>149</v>
      </c>
      <c r="H802" t="s">
        <v>150</v>
      </c>
      <c r="I802" t="s">
        <v>151</v>
      </c>
      <c r="J802" t="s">
        <v>113</v>
      </c>
      <c r="K802" t="s">
        <v>213</v>
      </c>
      <c r="L802" t="s">
        <v>2787</v>
      </c>
      <c r="M802" t="s">
        <v>116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117</v>
      </c>
      <c r="U802" t="s">
        <v>118</v>
      </c>
      <c r="V802" s="2">
        <f t="shared" si="160"/>
        <v>0.15</v>
      </c>
      <c r="W802" s="2">
        <f t="shared" si="161"/>
        <v>21234.971999999998</v>
      </c>
      <c r="X802" s="2">
        <f>W802-R802</f>
        <v>4498.8819999999978</v>
      </c>
      <c r="Y802" s="2">
        <f t="shared" si="162"/>
        <v>0.21186192286950029</v>
      </c>
      <c r="Z802" s="2">
        <f t="shared" si="163"/>
        <v>6</v>
      </c>
      <c r="AA802" s="2">
        <f t="shared" si="164"/>
        <v>3</v>
      </c>
      <c r="AB802" s="2">
        <f t="shared" si="165"/>
        <v>2024</v>
      </c>
      <c r="AC802" s="2" t="str">
        <f t="shared" si="166"/>
        <v>Valid</v>
      </c>
      <c r="AD802" s="2">
        <f t="shared" si="167"/>
        <v>0</v>
      </c>
      <c r="AE802" s="2">
        <f t="shared" si="168"/>
        <v>0</v>
      </c>
      <c r="AH802" t="str">
        <f t="shared" si="158"/>
        <v>Vikram Iyer</v>
      </c>
      <c r="AI802" t="str">
        <f t="shared" si="158"/>
        <v>Small Business</v>
      </c>
      <c r="AJ802" t="str">
        <f t="shared" si="158"/>
        <v>West</v>
      </c>
      <c r="AK802" t="str">
        <f t="shared" si="158"/>
        <v>Maharashtra</v>
      </c>
      <c r="AL802" t="str">
        <f t="shared" si="157"/>
        <v>Mumbai</v>
      </c>
      <c r="AM802" t="str">
        <f t="shared" si="157"/>
        <v>Office Supplies</v>
      </c>
      <c r="AN802" t="str">
        <f t="shared" si="157"/>
        <v>Storage</v>
      </c>
      <c r="AO802" t="str">
        <f t="shared" si="169"/>
        <v>Second Class</v>
      </c>
      <c r="AP802" t="str">
        <f t="shared" si="159"/>
        <v>Paid</v>
      </c>
      <c r="AQ802" t="str">
        <f t="shared" si="159"/>
        <v>Completed</v>
      </c>
    </row>
    <row r="803" spans="1:43">
      <c r="A803" t="s">
        <v>2788</v>
      </c>
      <c r="B803" s="3">
        <v>45938</v>
      </c>
      <c r="C803" s="3">
        <v>45945</v>
      </c>
      <c r="D803" t="s">
        <v>2789</v>
      </c>
      <c r="E803" t="s">
        <v>218</v>
      </c>
      <c r="F803" t="s">
        <v>182</v>
      </c>
      <c r="G803" t="s">
        <v>123</v>
      </c>
      <c r="H803" t="s">
        <v>124</v>
      </c>
      <c r="I803" t="s">
        <v>125</v>
      </c>
      <c r="J803" t="s">
        <v>160</v>
      </c>
      <c r="K803" t="s">
        <v>161</v>
      </c>
      <c r="L803" t="s">
        <v>2790</v>
      </c>
      <c r="M803" t="s">
        <v>116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199</v>
      </c>
      <c r="U803" t="s">
        <v>44</v>
      </c>
      <c r="V803" s="2">
        <f t="shared" si="160"/>
        <v>0.2</v>
      </c>
      <c r="W803" s="2">
        <f t="shared" si="161"/>
        <v>8093.304000000001</v>
      </c>
      <c r="X803" s="2">
        <f>W803-R803</f>
        <v>2040.8740000000007</v>
      </c>
      <c r="Y803" s="2">
        <f t="shared" si="162"/>
        <v>0.25216821214179036</v>
      </c>
      <c r="Z803" s="2">
        <f t="shared" si="163"/>
        <v>7</v>
      </c>
      <c r="AA803" s="2">
        <f t="shared" si="164"/>
        <v>10</v>
      </c>
      <c r="AB803" s="2">
        <f t="shared" si="165"/>
        <v>2025</v>
      </c>
      <c r="AC803" s="2" t="str">
        <f t="shared" si="166"/>
        <v>Valid</v>
      </c>
      <c r="AD803" s="2">
        <f t="shared" si="167"/>
        <v>0</v>
      </c>
      <c r="AE803" s="2">
        <f t="shared" si="168"/>
        <v>0</v>
      </c>
      <c r="AH803" t="str">
        <f t="shared" si="158"/>
        <v>Aarav Sharma</v>
      </c>
      <c r="AI803" t="str">
        <f t="shared" si="158"/>
        <v>Home Office</v>
      </c>
      <c r="AJ803" t="str">
        <f t="shared" si="158"/>
        <v>East</v>
      </c>
      <c r="AK803" t="str">
        <f t="shared" si="158"/>
        <v>Odisha</v>
      </c>
      <c r="AL803" t="str">
        <f t="shared" si="157"/>
        <v>Bhubaneswar</v>
      </c>
      <c r="AM803" t="str">
        <f t="shared" si="157"/>
        <v>Technology</v>
      </c>
      <c r="AN803" t="str">
        <f t="shared" si="157"/>
        <v>Accessories</v>
      </c>
      <c r="AO803" t="str">
        <f t="shared" si="169"/>
        <v>Second Class</v>
      </c>
      <c r="AP803" t="str">
        <f t="shared" si="159"/>
        <v>Pending</v>
      </c>
      <c r="AQ803" t="str">
        <f t="shared" si="159"/>
        <v>Cancelled</v>
      </c>
    </row>
    <row r="804" spans="1:43">
      <c r="A804" t="s">
        <v>2791</v>
      </c>
      <c r="B804" s="3">
        <v>45704</v>
      </c>
      <c r="C804" s="3">
        <v>45704</v>
      </c>
      <c r="D804" t="s">
        <v>2792</v>
      </c>
      <c r="E804" t="s">
        <v>232</v>
      </c>
      <c r="F804" t="s">
        <v>122</v>
      </c>
      <c r="G804" t="s">
        <v>123</v>
      </c>
      <c r="H804" t="s">
        <v>260</v>
      </c>
      <c r="I804" t="s">
        <v>261</v>
      </c>
      <c r="J804" t="s">
        <v>126</v>
      </c>
      <c r="K804" t="s">
        <v>143</v>
      </c>
      <c r="L804" t="s">
        <v>2793</v>
      </c>
      <c r="M804" t="s">
        <v>116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2794</v>
      </c>
      <c r="U804" t="s">
        <v>190</v>
      </c>
      <c r="V804" s="2">
        <f t="shared" si="160"/>
        <v>0</v>
      </c>
      <c r="W804" s="2">
        <f t="shared" si="161"/>
        <v>8651.4600000000009</v>
      </c>
      <c r="X804" s="2">
        <f>W804-R804</f>
        <v>3396.8400000000011</v>
      </c>
      <c r="Y804" s="2">
        <f t="shared" si="162"/>
        <v>0.39263199506210522</v>
      </c>
      <c r="Z804" s="2">
        <f t="shared" si="163"/>
        <v>0</v>
      </c>
      <c r="AA804" s="2">
        <f t="shared" si="164"/>
        <v>2</v>
      </c>
      <c r="AB804" s="2">
        <f t="shared" si="165"/>
        <v>2025</v>
      </c>
      <c r="AC804" s="2" t="str">
        <f t="shared" si="166"/>
        <v>Valid</v>
      </c>
      <c r="AD804" s="2">
        <f t="shared" si="167"/>
        <v>0</v>
      </c>
      <c r="AE804" s="2">
        <f t="shared" si="168"/>
        <v>0</v>
      </c>
      <c r="AH804" t="str">
        <f t="shared" si="158"/>
        <v>Rohan Mehta</v>
      </c>
      <c r="AI804" t="str">
        <f t="shared" si="158"/>
        <v>Small Business</v>
      </c>
      <c r="AJ804" t="str">
        <f t="shared" si="158"/>
        <v>East</v>
      </c>
      <c r="AK804" t="str">
        <f t="shared" si="158"/>
        <v>Assam</v>
      </c>
      <c r="AL804" t="str">
        <f t="shared" si="157"/>
        <v>Guwahati</v>
      </c>
      <c r="AM804" t="str">
        <f t="shared" si="157"/>
        <v>Furniture</v>
      </c>
      <c r="AN804" t="str">
        <f t="shared" si="157"/>
        <v>Furnishings</v>
      </c>
      <c r="AO804" t="str">
        <f t="shared" si="169"/>
        <v>Second Class</v>
      </c>
      <c r="AP804" t="str">
        <f t="shared" si="159"/>
        <v>Failed</v>
      </c>
      <c r="AQ804" t="str">
        <f t="shared" si="159"/>
        <v>Returned</v>
      </c>
    </row>
    <row r="805" spans="1:43">
      <c r="A805" t="s">
        <v>2795</v>
      </c>
      <c r="B805" s="3">
        <v>45635</v>
      </c>
      <c r="C805" s="3">
        <v>45639</v>
      </c>
      <c r="D805" t="s">
        <v>2796</v>
      </c>
      <c r="E805" t="s">
        <v>232</v>
      </c>
      <c r="F805" t="s">
        <v>109</v>
      </c>
      <c r="H805" t="s">
        <v>335</v>
      </c>
      <c r="I805" t="s">
        <v>336</v>
      </c>
      <c r="J805" t="s">
        <v>113</v>
      </c>
      <c r="K805" t="s">
        <v>178</v>
      </c>
      <c r="L805" t="s">
        <v>2797</v>
      </c>
      <c r="M805" t="s">
        <v>135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117</v>
      </c>
      <c r="U805" t="s">
        <v>118</v>
      </c>
      <c r="V805" s="2">
        <f t="shared" si="160"/>
        <v>0</v>
      </c>
      <c r="W805" s="2">
        <f t="shared" si="161"/>
        <v>4306.6499999999996</v>
      </c>
      <c r="X805" s="2">
        <f>W805-R805</f>
        <v>1737.8299999999995</v>
      </c>
      <c r="Y805" s="2">
        <f t="shared" si="162"/>
        <v>0.40352245945224235</v>
      </c>
      <c r="Z805" s="2">
        <f t="shared" si="163"/>
        <v>4</v>
      </c>
      <c r="AA805" s="2">
        <f t="shared" si="164"/>
        <v>12</v>
      </c>
      <c r="AB805" s="2">
        <f t="shared" si="165"/>
        <v>2024</v>
      </c>
      <c r="AC805" s="2" t="str">
        <f t="shared" si="166"/>
        <v>Missing region</v>
      </c>
      <c r="AD805" s="2">
        <f t="shared" si="167"/>
        <v>0</v>
      </c>
      <c r="AE805" s="2">
        <f t="shared" si="168"/>
        <v>0</v>
      </c>
      <c r="AH805" t="str">
        <f t="shared" si="158"/>
        <v>Rohan Mehta</v>
      </c>
      <c r="AI805" t="str">
        <f t="shared" si="158"/>
        <v>Consumer</v>
      </c>
      <c r="AJ805" t="s">
        <v>306</v>
      </c>
      <c r="AK805" t="str">
        <f t="shared" si="158"/>
        <v>Jharkhand</v>
      </c>
      <c r="AL805" t="str">
        <f t="shared" si="157"/>
        <v>Ranchi</v>
      </c>
      <c r="AM805" t="str">
        <f t="shared" si="157"/>
        <v>Office Supplies</v>
      </c>
      <c r="AN805" t="str">
        <f t="shared" si="157"/>
        <v>Labels</v>
      </c>
      <c r="AO805" t="str">
        <f t="shared" si="169"/>
        <v>First Class</v>
      </c>
      <c r="AP805" t="str">
        <f t="shared" si="159"/>
        <v>Paid</v>
      </c>
      <c r="AQ805" t="str">
        <f t="shared" si="159"/>
        <v>Completed</v>
      </c>
    </row>
    <row r="806" spans="1:43">
      <c r="A806" t="s">
        <v>2798</v>
      </c>
      <c r="B806" s="3">
        <v>45939</v>
      </c>
      <c r="C806" s="3" t="s">
        <v>1665</v>
      </c>
      <c r="D806" t="s">
        <v>2799</v>
      </c>
      <c r="E806" t="s">
        <v>207</v>
      </c>
      <c r="F806" t="s">
        <v>182</v>
      </c>
      <c r="G806" t="s">
        <v>140</v>
      </c>
      <c r="H806" t="s">
        <v>141</v>
      </c>
      <c r="I806" t="s">
        <v>142</v>
      </c>
      <c r="J806" t="s">
        <v>126</v>
      </c>
      <c r="K806" t="s">
        <v>143</v>
      </c>
      <c r="L806" t="s">
        <v>2800</v>
      </c>
      <c r="M806" t="s">
        <v>145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117</v>
      </c>
      <c r="U806" t="s">
        <v>118</v>
      </c>
      <c r="V806" s="2">
        <f t="shared" si="160"/>
        <v>0.05</v>
      </c>
      <c r="W806" s="2">
        <f t="shared" si="161"/>
        <v>1948.0889999999997</v>
      </c>
      <c r="X806" s="2">
        <f>W806-R806</f>
        <v>441.00899999999979</v>
      </c>
      <c r="Y806" s="2">
        <f t="shared" si="162"/>
        <v>0.22638031424642296</v>
      </c>
      <c r="Z806" s="2" t="str">
        <f t="shared" si="163"/>
        <v/>
      </c>
      <c r="AA806" s="2">
        <f t="shared" si="164"/>
        <v>10</v>
      </c>
      <c r="AB806" s="2">
        <f t="shared" si="165"/>
        <v>2025</v>
      </c>
      <c r="AC806" s="2" t="str">
        <f t="shared" si="166"/>
        <v>Text Value Not Recognized as Date</v>
      </c>
      <c r="AD806" s="2">
        <f t="shared" si="167"/>
        <v>0</v>
      </c>
      <c r="AE806" s="2">
        <f t="shared" si="168"/>
        <v>0</v>
      </c>
      <c r="AH806" t="str">
        <f t="shared" si="158"/>
        <v>Rahul Verma</v>
      </c>
      <c r="AI806" t="str">
        <f t="shared" si="158"/>
        <v>Home Office</v>
      </c>
      <c r="AJ806" t="str">
        <f t="shared" si="158"/>
        <v>South</v>
      </c>
      <c r="AK806" t="str">
        <f t="shared" si="158"/>
        <v>Telangana</v>
      </c>
      <c r="AL806" t="str">
        <f t="shared" si="157"/>
        <v>Hyderabad</v>
      </c>
      <c r="AM806" t="str">
        <f t="shared" si="157"/>
        <v>Furniture</v>
      </c>
      <c r="AN806" t="str">
        <f t="shared" si="157"/>
        <v>Furnishings</v>
      </c>
      <c r="AO806" t="str">
        <f t="shared" si="169"/>
        <v>Standard Class</v>
      </c>
      <c r="AP806" t="str">
        <f t="shared" si="159"/>
        <v>Paid</v>
      </c>
      <c r="AQ806" t="str">
        <f t="shared" si="159"/>
        <v>Completed</v>
      </c>
    </row>
    <row r="807" spans="1:43">
      <c r="A807" t="s">
        <v>2801</v>
      </c>
      <c r="B807" s="3">
        <v>45753</v>
      </c>
      <c r="C807" s="3">
        <v>45842</v>
      </c>
      <c r="D807" t="s">
        <v>2656</v>
      </c>
      <c r="E807" t="s">
        <v>203</v>
      </c>
      <c r="F807" t="s">
        <v>182</v>
      </c>
      <c r="G807" t="s">
        <v>123</v>
      </c>
      <c r="H807" t="s">
        <v>260</v>
      </c>
      <c r="I807" t="s">
        <v>261</v>
      </c>
      <c r="J807" t="s">
        <v>113</v>
      </c>
      <c r="K807" t="s">
        <v>246</v>
      </c>
      <c r="L807" t="s">
        <v>2802</v>
      </c>
      <c r="M807" t="s">
        <v>116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117</v>
      </c>
      <c r="U807" t="s">
        <v>118</v>
      </c>
      <c r="V807" s="2">
        <f t="shared" si="160"/>
        <v>0.25</v>
      </c>
      <c r="W807" s="2">
        <f t="shared" si="161"/>
        <v>3045.09</v>
      </c>
      <c r="X807" s="2">
        <f>W807-R807</f>
        <v>444</v>
      </c>
      <c r="Y807" s="2">
        <f t="shared" si="162"/>
        <v>0.14580849827098705</v>
      </c>
      <c r="Z807" s="2">
        <f t="shared" si="163"/>
        <v>89</v>
      </c>
      <c r="AA807" s="2">
        <f t="shared" si="164"/>
        <v>4</v>
      </c>
      <c r="AB807" s="2">
        <f t="shared" si="165"/>
        <v>2025</v>
      </c>
      <c r="AC807" s="2" t="str">
        <f t="shared" si="166"/>
        <v>Valid</v>
      </c>
      <c r="AD807" s="2">
        <f t="shared" si="167"/>
        <v>0</v>
      </c>
      <c r="AE807" s="2">
        <f t="shared" si="168"/>
        <v>0</v>
      </c>
      <c r="AH807" t="str">
        <f t="shared" si="158"/>
        <v>Priya Menon</v>
      </c>
      <c r="AI807" t="str">
        <f t="shared" si="158"/>
        <v>Home Office</v>
      </c>
      <c r="AJ807" t="str">
        <f t="shared" si="158"/>
        <v>East</v>
      </c>
      <c r="AK807" t="str">
        <f t="shared" si="158"/>
        <v>Assam</v>
      </c>
      <c r="AL807" t="str">
        <f t="shared" si="157"/>
        <v>Guwahati</v>
      </c>
      <c r="AM807" t="str">
        <f t="shared" si="157"/>
        <v>Office Supplies</v>
      </c>
      <c r="AN807" t="str">
        <f t="shared" si="157"/>
        <v>Binders</v>
      </c>
      <c r="AO807" t="str">
        <f t="shared" si="169"/>
        <v>Second Class</v>
      </c>
      <c r="AP807" t="str">
        <f t="shared" si="159"/>
        <v>Paid</v>
      </c>
      <c r="AQ807" t="str">
        <f t="shared" si="159"/>
        <v>Completed</v>
      </c>
    </row>
    <row r="808" spans="1:43">
      <c r="A808" t="s">
        <v>2803</v>
      </c>
      <c r="B808" s="3">
        <v>45546</v>
      </c>
      <c r="C808" s="3">
        <v>45611</v>
      </c>
      <c r="D808" t="s">
        <v>2804</v>
      </c>
      <c r="E808" t="s">
        <v>132</v>
      </c>
      <c r="F808" t="s">
        <v>182</v>
      </c>
      <c r="G808" t="s">
        <v>110</v>
      </c>
      <c r="H808" t="s">
        <v>111</v>
      </c>
      <c r="I808" t="s">
        <v>112</v>
      </c>
      <c r="J808" t="s">
        <v>160</v>
      </c>
      <c r="K808" t="s">
        <v>166</v>
      </c>
      <c r="L808" t="s">
        <v>2805</v>
      </c>
      <c r="M808" t="s">
        <v>145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248</v>
      </c>
      <c r="U808" t="s">
        <v>44</v>
      </c>
      <c r="V808" s="2">
        <f t="shared" si="160"/>
        <v>0.2</v>
      </c>
      <c r="W808" s="2">
        <f t="shared" si="161"/>
        <v>2932.7759999999998</v>
      </c>
      <c r="X808" s="2">
        <f>W808-R808</f>
        <v>1032.4259999999999</v>
      </c>
      <c r="Y808" s="2">
        <f t="shared" si="162"/>
        <v>0.35203029484692999</v>
      </c>
      <c r="Z808" s="2">
        <f t="shared" si="163"/>
        <v>65</v>
      </c>
      <c r="AA808" s="2">
        <f t="shared" si="164"/>
        <v>9</v>
      </c>
      <c r="AB808" s="2">
        <f t="shared" si="165"/>
        <v>2024</v>
      </c>
      <c r="AC808" s="2" t="str">
        <f t="shared" si="166"/>
        <v>Valid</v>
      </c>
      <c r="AD808" s="2">
        <f t="shared" si="167"/>
        <v>0</v>
      </c>
      <c r="AE808" s="2">
        <f t="shared" si="168"/>
        <v>0</v>
      </c>
      <c r="AH808" t="str">
        <f t="shared" si="158"/>
        <v>Isha Nair</v>
      </c>
      <c r="AI808" t="str">
        <f t="shared" si="158"/>
        <v>Home Office</v>
      </c>
      <c r="AJ808" t="str">
        <f t="shared" si="158"/>
        <v>North</v>
      </c>
      <c r="AK808" t="str">
        <f t="shared" si="158"/>
        <v>Rajasthan</v>
      </c>
      <c r="AL808" t="str">
        <f t="shared" si="157"/>
        <v>Jaipur</v>
      </c>
      <c r="AM808" t="str">
        <f t="shared" si="157"/>
        <v>Technology</v>
      </c>
      <c r="AN808" t="str">
        <f t="shared" si="157"/>
        <v>Copiers</v>
      </c>
      <c r="AO808" t="str">
        <f t="shared" si="169"/>
        <v>Standard Class</v>
      </c>
      <c r="AP808" t="str">
        <f t="shared" si="159"/>
        <v>Failed</v>
      </c>
      <c r="AQ808" t="str">
        <f t="shared" si="159"/>
        <v>Cancelled</v>
      </c>
    </row>
    <row r="809" spans="1:43">
      <c r="A809" t="s">
        <v>2806</v>
      </c>
      <c r="B809" s="3">
        <v>45695</v>
      </c>
      <c r="C809" s="3">
        <v>45696</v>
      </c>
      <c r="D809" t="s">
        <v>2807</v>
      </c>
      <c r="E809" t="s">
        <v>108</v>
      </c>
      <c r="F809" t="s">
        <v>122</v>
      </c>
      <c r="G809" t="s">
        <v>140</v>
      </c>
      <c r="H809" t="s">
        <v>141</v>
      </c>
      <c r="I809" t="s">
        <v>142</v>
      </c>
      <c r="J809" t="s">
        <v>113</v>
      </c>
      <c r="K809" t="s">
        <v>178</v>
      </c>
      <c r="L809" t="s">
        <v>2808</v>
      </c>
      <c r="M809" t="s">
        <v>2809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117</v>
      </c>
      <c r="U809" t="s">
        <v>118</v>
      </c>
      <c r="V809" s="2">
        <f t="shared" si="160"/>
        <v>0.1</v>
      </c>
      <c r="W809" s="2">
        <f t="shared" si="161"/>
        <v>4379.3640000000005</v>
      </c>
      <c r="X809" s="2">
        <f>W809-R809</f>
        <v>655.43400000000065</v>
      </c>
      <c r="Y809" s="2">
        <f t="shared" si="162"/>
        <v>0.14966419781502532</v>
      </c>
      <c r="Z809" s="2">
        <f t="shared" si="163"/>
        <v>1</v>
      </c>
      <c r="AA809" s="2">
        <f t="shared" si="164"/>
        <v>2</v>
      </c>
      <c r="AB809" s="2">
        <f t="shared" si="165"/>
        <v>2025</v>
      </c>
      <c r="AC809" s="2" t="str">
        <f t="shared" si="166"/>
        <v>Valid</v>
      </c>
      <c r="AD809" s="2">
        <f t="shared" si="167"/>
        <v>0</v>
      </c>
      <c r="AE809" s="2">
        <f t="shared" si="168"/>
        <v>0</v>
      </c>
      <c r="AH809" t="str">
        <f t="shared" si="158"/>
        <v>Karan Malhotra</v>
      </c>
      <c r="AI809" t="str">
        <f t="shared" si="158"/>
        <v>Small Business</v>
      </c>
      <c r="AJ809" t="str">
        <f t="shared" si="158"/>
        <v>South</v>
      </c>
      <c r="AK809" t="str">
        <f t="shared" si="158"/>
        <v>Telangana</v>
      </c>
      <c r="AL809" t="str">
        <f t="shared" si="157"/>
        <v>Hyderabad</v>
      </c>
      <c r="AM809" t="str">
        <f t="shared" si="157"/>
        <v>Office Supplies</v>
      </c>
      <c r="AN809" t="str">
        <f t="shared" si="157"/>
        <v>Labels</v>
      </c>
      <c r="AO809" t="str">
        <f t="shared" si="169"/>
        <v>Standard Class</v>
      </c>
      <c r="AP809" t="str">
        <f t="shared" si="159"/>
        <v>Paid</v>
      </c>
      <c r="AQ809" t="str">
        <f t="shared" si="159"/>
        <v>Completed</v>
      </c>
    </row>
    <row r="810" spans="1:43">
      <c r="A810" t="s">
        <v>2810</v>
      </c>
      <c r="B810" s="3">
        <v>45900</v>
      </c>
      <c r="C810" s="3">
        <v>45897</v>
      </c>
      <c r="D810" t="s">
        <v>2811</v>
      </c>
      <c r="E810" t="s">
        <v>218</v>
      </c>
      <c r="F810" t="s">
        <v>122</v>
      </c>
      <c r="G810" t="s">
        <v>140</v>
      </c>
      <c r="H810" t="s">
        <v>357</v>
      </c>
      <c r="I810" t="s">
        <v>358</v>
      </c>
      <c r="J810" t="s">
        <v>126</v>
      </c>
      <c r="K810" t="s">
        <v>143</v>
      </c>
      <c r="L810" t="s">
        <v>2812</v>
      </c>
      <c r="M810" t="s">
        <v>135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117</v>
      </c>
      <c r="U810" t="s">
        <v>118</v>
      </c>
      <c r="V810" s="2">
        <f t="shared" si="160"/>
        <v>0.2</v>
      </c>
      <c r="W810" s="2">
        <f t="shared" si="161"/>
        <v>5472.768</v>
      </c>
      <c r="X810" s="2">
        <f>W810-R810</f>
        <v>995.4380000000001</v>
      </c>
      <c r="Y810" s="2">
        <f t="shared" si="162"/>
        <v>0.18188931085695575</v>
      </c>
      <c r="Z810" s="2">
        <f t="shared" si="163"/>
        <v>-3</v>
      </c>
      <c r="AA810" s="2">
        <f t="shared" si="164"/>
        <v>8</v>
      </c>
      <c r="AB810" s="2">
        <f t="shared" si="165"/>
        <v>2025</v>
      </c>
      <c r="AC810" s="2" t="str">
        <f t="shared" si="166"/>
        <v>Invalid shipping record</v>
      </c>
      <c r="AD810" s="2">
        <f t="shared" si="167"/>
        <v>0</v>
      </c>
      <c r="AE810" s="2">
        <f t="shared" si="168"/>
        <v>0</v>
      </c>
      <c r="AH810" t="str">
        <f t="shared" si="158"/>
        <v>Aarav Sharma</v>
      </c>
      <c r="AI810" t="str">
        <f t="shared" si="158"/>
        <v>Small Business</v>
      </c>
      <c r="AJ810" t="str">
        <f t="shared" si="158"/>
        <v>South</v>
      </c>
      <c r="AK810" t="str">
        <f t="shared" si="158"/>
        <v>Tamil Nadu</v>
      </c>
      <c r="AL810" t="str">
        <f t="shared" si="157"/>
        <v>Chennai</v>
      </c>
      <c r="AM810" t="str">
        <f t="shared" si="157"/>
        <v>Furniture</v>
      </c>
      <c r="AN810" t="str">
        <f t="shared" si="157"/>
        <v>Furnishings</v>
      </c>
      <c r="AO810" t="str">
        <f t="shared" si="169"/>
        <v>First Class</v>
      </c>
      <c r="AP810" t="str">
        <f t="shared" si="159"/>
        <v>Paid</v>
      </c>
      <c r="AQ810" t="str">
        <f t="shared" si="159"/>
        <v>Completed</v>
      </c>
    </row>
    <row r="811" spans="1:43">
      <c r="A811" t="s">
        <v>2813</v>
      </c>
      <c r="B811" s="3">
        <v>45833</v>
      </c>
      <c r="C811" s="3">
        <v>45833</v>
      </c>
      <c r="D811" t="s">
        <v>2814</v>
      </c>
      <c r="E811" t="s">
        <v>139</v>
      </c>
      <c r="F811" t="s">
        <v>122</v>
      </c>
      <c r="H811" t="s">
        <v>211</v>
      </c>
      <c r="I811" t="s">
        <v>212</v>
      </c>
      <c r="J811" t="s">
        <v>113</v>
      </c>
      <c r="K811" t="s">
        <v>246</v>
      </c>
      <c r="L811" t="s">
        <v>2815</v>
      </c>
      <c r="M811" t="s">
        <v>116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117</v>
      </c>
      <c r="U811" t="s">
        <v>118</v>
      </c>
      <c r="V811" s="2">
        <f t="shared" si="160"/>
        <v>0.1</v>
      </c>
      <c r="W811" s="2">
        <f t="shared" si="161"/>
        <v>7377.1020000000008</v>
      </c>
      <c r="X811" s="2">
        <f>W811-R811</f>
        <v>2291.8920000000007</v>
      </c>
      <c r="Y811" s="2">
        <f t="shared" si="162"/>
        <v>0.31067646888981615</v>
      </c>
      <c r="Z811" s="2">
        <f t="shared" si="163"/>
        <v>0</v>
      </c>
      <c r="AA811" s="2">
        <f t="shared" si="164"/>
        <v>6</v>
      </c>
      <c r="AB811" s="2">
        <f t="shared" si="165"/>
        <v>2025</v>
      </c>
      <c r="AC811" s="2" t="str">
        <f t="shared" si="166"/>
        <v>Missing region</v>
      </c>
      <c r="AD811" s="2">
        <f t="shared" si="167"/>
        <v>0</v>
      </c>
      <c r="AE811" s="2">
        <f t="shared" si="168"/>
        <v>0</v>
      </c>
      <c r="AH811" t="str">
        <f t="shared" si="158"/>
        <v>Arjun Bose</v>
      </c>
      <c r="AI811" t="str">
        <f t="shared" si="158"/>
        <v>Small Business</v>
      </c>
      <c r="AJ811" t="s">
        <v>306</v>
      </c>
      <c r="AK811" t="str">
        <f t="shared" si="158"/>
        <v>Punjab</v>
      </c>
      <c r="AL811" t="str">
        <f t="shared" si="157"/>
        <v>Ludhiana</v>
      </c>
      <c r="AM811" t="str">
        <f t="shared" si="157"/>
        <v>Office Supplies</v>
      </c>
      <c r="AN811" t="str">
        <f t="shared" si="157"/>
        <v>Binders</v>
      </c>
      <c r="AO811" t="str">
        <f t="shared" si="169"/>
        <v>Second Class</v>
      </c>
      <c r="AP811" t="str">
        <f t="shared" si="159"/>
        <v>Paid</v>
      </c>
      <c r="AQ811" t="str">
        <f t="shared" si="159"/>
        <v>Completed</v>
      </c>
    </row>
    <row r="812" spans="1:43">
      <c r="A812" t="s">
        <v>2816</v>
      </c>
      <c r="B812" s="3">
        <v>45385</v>
      </c>
      <c r="C812" s="3">
        <v>45508</v>
      </c>
      <c r="D812" t="s">
        <v>1914</v>
      </c>
      <c r="E812" t="s">
        <v>375</v>
      </c>
      <c r="F812" t="s">
        <v>182</v>
      </c>
      <c r="G812" t="s">
        <v>149</v>
      </c>
      <c r="H812" t="s">
        <v>276</v>
      </c>
      <c r="I812" t="s">
        <v>277</v>
      </c>
      <c r="J812" t="s">
        <v>160</v>
      </c>
      <c r="K812" t="s">
        <v>166</v>
      </c>
      <c r="L812" t="s">
        <v>2817</v>
      </c>
      <c r="M812" t="s">
        <v>135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117</v>
      </c>
      <c r="U812" t="s">
        <v>118</v>
      </c>
      <c r="V812" s="2">
        <f t="shared" si="160"/>
        <v>0.25</v>
      </c>
      <c r="W812" s="2">
        <f t="shared" si="161"/>
        <v>2363.8874999999998</v>
      </c>
      <c r="X812" s="2">
        <f>W812-R812</f>
        <v>892.37749999999983</v>
      </c>
      <c r="Y812" s="2">
        <f t="shared" si="162"/>
        <v>0.37750421710000998</v>
      </c>
      <c r="Z812" s="2">
        <f t="shared" si="163"/>
        <v>123</v>
      </c>
      <c r="AA812" s="2">
        <f t="shared" si="164"/>
        <v>4</v>
      </c>
      <c r="AB812" s="2">
        <f t="shared" si="165"/>
        <v>2024</v>
      </c>
      <c r="AC812" s="2" t="str">
        <f t="shared" si="166"/>
        <v>Valid</v>
      </c>
      <c r="AD812" s="2">
        <f t="shared" si="167"/>
        <v>0</v>
      </c>
      <c r="AE812" s="2">
        <f t="shared" si="168"/>
        <v>0</v>
      </c>
      <c r="AH812" t="str">
        <f t="shared" si="158"/>
        <v>Kabir Singh</v>
      </c>
      <c r="AI812" t="str">
        <f t="shared" si="158"/>
        <v>Home Office</v>
      </c>
      <c r="AJ812" t="str">
        <f t="shared" si="158"/>
        <v>West</v>
      </c>
      <c r="AK812" t="str">
        <f t="shared" si="158"/>
        <v>Gujarat</v>
      </c>
      <c r="AL812" t="str">
        <f t="shared" si="157"/>
        <v>Ahmedabad</v>
      </c>
      <c r="AM812" t="str">
        <f t="shared" si="157"/>
        <v>Technology</v>
      </c>
      <c r="AN812" t="str">
        <f t="shared" si="157"/>
        <v>Copiers</v>
      </c>
      <c r="AO812" t="str">
        <f t="shared" si="169"/>
        <v>First Class</v>
      </c>
      <c r="AP812" t="str">
        <f t="shared" si="159"/>
        <v>Paid</v>
      </c>
      <c r="AQ812" t="str">
        <f t="shared" si="159"/>
        <v>Completed</v>
      </c>
    </row>
    <row r="813" spans="1:43">
      <c r="A813" t="s">
        <v>2818</v>
      </c>
      <c r="B813" s="3">
        <v>45638</v>
      </c>
      <c r="C813" s="3">
        <v>45645</v>
      </c>
      <c r="D813" t="s">
        <v>2819</v>
      </c>
      <c r="E813" t="s">
        <v>232</v>
      </c>
      <c r="F813" t="s">
        <v>182</v>
      </c>
      <c r="G813" t="s">
        <v>110</v>
      </c>
      <c r="H813" t="s">
        <v>344</v>
      </c>
      <c r="I813" t="s">
        <v>345</v>
      </c>
      <c r="J813" t="s">
        <v>160</v>
      </c>
      <c r="K813" t="s">
        <v>161</v>
      </c>
      <c r="L813" t="s">
        <v>2820</v>
      </c>
      <c r="M813" t="s">
        <v>135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117</v>
      </c>
      <c r="U813" t="s">
        <v>118</v>
      </c>
      <c r="V813" s="2">
        <f t="shared" si="160"/>
        <v>0.2</v>
      </c>
      <c r="W813" s="2">
        <f t="shared" si="161"/>
        <v>2577.2000000000003</v>
      </c>
      <c r="X813" s="2">
        <f>W813-R813</f>
        <v>1101.3300000000004</v>
      </c>
      <c r="Y813" s="2">
        <f t="shared" si="162"/>
        <v>0.42733586838429316</v>
      </c>
      <c r="Z813" s="2">
        <f t="shared" si="163"/>
        <v>7</v>
      </c>
      <c r="AA813" s="2">
        <f t="shared" si="164"/>
        <v>12</v>
      </c>
      <c r="AB813" s="2">
        <f t="shared" si="165"/>
        <v>2024</v>
      </c>
      <c r="AC813" s="2" t="str">
        <f t="shared" si="166"/>
        <v>Valid</v>
      </c>
      <c r="AD813" s="2">
        <f t="shared" si="167"/>
        <v>0</v>
      </c>
      <c r="AE813" s="2">
        <f t="shared" si="168"/>
        <v>0</v>
      </c>
      <c r="AH813" t="str">
        <f t="shared" si="158"/>
        <v>Rohan Mehta</v>
      </c>
      <c r="AI813" t="str">
        <f t="shared" si="158"/>
        <v>Home Office</v>
      </c>
      <c r="AJ813" t="str">
        <f t="shared" si="158"/>
        <v>North</v>
      </c>
      <c r="AK813" t="str">
        <f t="shared" si="158"/>
        <v>Haryana</v>
      </c>
      <c r="AL813" t="str">
        <f t="shared" si="157"/>
        <v>Gurugram</v>
      </c>
      <c r="AM813" t="str">
        <f t="shared" si="157"/>
        <v>Technology</v>
      </c>
      <c r="AN813" t="str">
        <f t="shared" si="157"/>
        <v>Accessories</v>
      </c>
      <c r="AO813" t="str">
        <f t="shared" si="169"/>
        <v>First Class</v>
      </c>
      <c r="AP813" t="str">
        <f t="shared" si="159"/>
        <v>Paid</v>
      </c>
      <c r="AQ813" t="str">
        <f t="shared" si="159"/>
        <v>Completed</v>
      </c>
    </row>
    <row r="814" spans="1:43">
      <c r="A814" t="s">
        <v>2821</v>
      </c>
      <c r="B814" s="3">
        <v>45458</v>
      </c>
      <c r="C814" s="3" t="s">
        <v>2822</v>
      </c>
      <c r="D814" t="s">
        <v>2823</v>
      </c>
      <c r="E814" t="s">
        <v>222</v>
      </c>
      <c r="F814" t="s">
        <v>122</v>
      </c>
      <c r="G814" t="s">
        <v>123</v>
      </c>
      <c r="H814" t="s">
        <v>335</v>
      </c>
      <c r="I814" t="s">
        <v>336</v>
      </c>
      <c r="J814" t="s">
        <v>126</v>
      </c>
      <c r="K814" t="s">
        <v>127</v>
      </c>
      <c r="L814" t="s">
        <v>2824</v>
      </c>
      <c r="M814" t="s">
        <v>135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117</v>
      </c>
      <c r="U814" t="s">
        <v>118</v>
      </c>
      <c r="V814" s="2">
        <f t="shared" si="160"/>
        <v>0</v>
      </c>
      <c r="W814" s="2">
        <f t="shared" si="161"/>
        <v>17827.759999999998</v>
      </c>
      <c r="X814" s="2">
        <f>W814-R814</f>
        <v>3705.6299999999992</v>
      </c>
      <c r="Y814" s="2">
        <f t="shared" si="162"/>
        <v>0.20785729671029896</v>
      </c>
      <c r="Z814" s="2" t="str">
        <f t="shared" si="163"/>
        <v/>
      </c>
      <c r="AA814" s="2">
        <f t="shared" si="164"/>
        <v>6</v>
      </c>
      <c r="AB814" s="2">
        <f t="shared" si="165"/>
        <v>2024</v>
      </c>
      <c r="AC814" s="2" t="str">
        <f t="shared" si="166"/>
        <v>Text Value Not Recognized as Date</v>
      </c>
      <c r="AD814" s="2">
        <f t="shared" si="167"/>
        <v>0</v>
      </c>
      <c r="AE814" s="2">
        <f t="shared" si="168"/>
        <v>0</v>
      </c>
      <c r="AH814" t="str">
        <f t="shared" si="158"/>
        <v>Sneha Kapoor</v>
      </c>
      <c r="AI814" t="str">
        <f t="shared" si="158"/>
        <v>Small Business</v>
      </c>
      <c r="AJ814" t="str">
        <f t="shared" si="158"/>
        <v>East</v>
      </c>
      <c r="AK814" t="str">
        <f t="shared" si="158"/>
        <v>Jharkhand</v>
      </c>
      <c r="AL814" t="str">
        <f t="shared" si="157"/>
        <v>Ranchi</v>
      </c>
      <c r="AM814" t="str">
        <f t="shared" si="157"/>
        <v>Furniture</v>
      </c>
      <c r="AN814" t="str">
        <f t="shared" si="157"/>
        <v>Tables</v>
      </c>
      <c r="AO814" t="str">
        <f t="shared" si="169"/>
        <v>First Class</v>
      </c>
      <c r="AP814" t="str">
        <f t="shared" si="159"/>
        <v>Paid</v>
      </c>
      <c r="AQ814" t="str">
        <f t="shared" si="159"/>
        <v>Completed</v>
      </c>
    </row>
    <row r="815" spans="1:43">
      <c r="A815" t="s">
        <v>2825</v>
      </c>
      <c r="B815" s="3">
        <v>45753</v>
      </c>
      <c r="C815" s="3">
        <v>45757</v>
      </c>
      <c r="D815" t="s">
        <v>2826</v>
      </c>
      <c r="E815" t="s">
        <v>232</v>
      </c>
      <c r="F815" t="s">
        <v>109</v>
      </c>
      <c r="G815" t="s">
        <v>123</v>
      </c>
      <c r="H815" t="s">
        <v>124</v>
      </c>
      <c r="I815" t="s">
        <v>125</v>
      </c>
      <c r="J815" t="s">
        <v>126</v>
      </c>
      <c r="K815" t="s">
        <v>252</v>
      </c>
      <c r="L815" t="s">
        <v>1314</v>
      </c>
      <c r="M815" t="s">
        <v>145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117</v>
      </c>
      <c r="U815" t="s">
        <v>118</v>
      </c>
      <c r="V815" s="2">
        <f t="shared" si="160"/>
        <v>0</v>
      </c>
      <c r="W815" s="2">
        <f t="shared" si="161"/>
        <v>2675.34</v>
      </c>
      <c r="X815" s="2">
        <f>W815-R815</f>
        <v>1079.4700000000003</v>
      </c>
      <c r="Y815" s="2">
        <f t="shared" si="162"/>
        <v>0.40348890234512258</v>
      </c>
      <c r="Z815" s="2">
        <f t="shared" si="163"/>
        <v>4</v>
      </c>
      <c r="AA815" s="2">
        <f t="shared" si="164"/>
        <v>4</v>
      </c>
      <c r="AB815" s="2">
        <f t="shared" si="165"/>
        <v>2025</v>
      </c>
      <c r="AC815" s="2" t="str">
        <f t="shared" si="166"/>
        <v>Valid</v>
      </c>
      <c r="AD815" s="2">
        <f t="shared" si="167"/>
        <v>0</v>
      </c>
      <c r="AE815" s="2">
        <f t="shared" si="168"/>
        <v>0</v>
      </c>
      <c r="AH815" t="str">
        <f t="shared" si="158"/>
        <v>Rohan Mehta</v>
      </c>
      <c r="AI815" t="str">
        <f t="shared" si="158"/>
        <v>Consumer</v>
      </c>
      <c r="AJ815" t="str">
        <f t="shared" si="158"/>
        <v>East</v>
      </c>
      <c r="AK815" t="str">
        <f t="shared" si="158"/>
        <v>Odisha</v>
      </c>
      <c r="AL815" t="str">
        <f t="shared" si="157"/>
        <v>Bhubaneswar</v>
      </c>
      <c r="AM815" t="str">
        <f t="shared" si="157"/>
        <v>Furniture</v>
      </c>
      <c r="AN815" t="str">
        <f t="shared" si="157"/>
        <v>Bookcases</v>
      </c>
      <c r="AO815" t="str">
        <f t="shared" si="169"/>
        <v>Standard Class</v>
      </c>
      <c r="AP815" t="str">
        <f t="shared" si="159"/>
        <v>Paid</v>
      </c>
      <c r="AQ815" t="str">
        <f t="shared" si="159"/>
        <v>Completed</v>
      </c>
    </row>
    <row r="816" spans="1:43">
      <c r="A816" t="s">
        <v>2827</v>
      </c>
      <c r="B816" s="3">
        <v>45875</v>
      </c>
      <c r="C816" s="3">
        <v>45880</v>
      </c>
      <c r="D816" t="s">
        <v>2828</v>
      </c>
      <c r="E816" t="s">
        <v>139</v>
      </c>
      <c r="F816" t="s">
        <v>109</v>
      </c>
      <c r="G816" t="s">
        <v>149</v>
      </c>
      <c r="H816" t="s">
        <v>158</v>
      </c>
      <c r="I816" t="s">
        <v>159</v>
      </c>
      <c r="J816" t="s">
        <v>113</v>
      </c>
      <c r="K816" t="s">
        <v>178</v>
      </c>
      <c r="L816" t="s">
        <v>2829</v>
      </c>
      <c r="M816" t="s">
        <v>135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117</v>
      </c>
      <c r="U816" t="s">
        <v>118</v>
      </c>
      <c r="V816" s="2">
        <f t="shared" si="160"/>
        <v>0.25</v>
      </c>
      <c r="W816" s="2">
        <f t="shared" si="161"/>
        <v>3563.91</v>
      </c>
      <c r="X816" s="2">
        <f>W816-R816</f>
        <v>924.21</v>
      </c>
      <c r="Y816" s="2">
        <f t="shared" si="162"/>
        <v>0.25932473042248544</v>
      </c>
      <c r="Z816" s="2">
        <f t="shared" si="163"/>
        <v>5</v>
      </c>
      <c r="AA816" s="2">
        <f t="shared" si="164"/>
        <v>8</v>
      </c>
      <c r="AB816" s="2">
        <f t="shared" si="165"/>
        <v>2025</v>
      </c>
      <c r="AC816" s="2" t="str">
        <f t="shared" si="166"/>
        <v>Valid</v>
      </c>
      <c r="AD816" s="2">
        <f t="shared" si="167"/>
        <v>0</v>
      </c>
      <c r="AE816" s="2">
        <f t="shared" si="168"/>
        <v>0</v>
      </c>
      <c r="AH816" t="str">
        <f t="shared" si="158"/>
        <v>Arjun Bose</v>
      </c>
      <c r="AI816" t="str">
        <f t="shared" si="158"/>
        <v>Consumer</v>
      </c>
      <c r="AJ816" t="str">
        <f t="shared" si="158"/>
        <v>West</v>
      </c>
      <c r="AK816" t="str">
        <f t="shared" si="158"/>
        <v>Madhya Pradesh</v>
      </c>
      <c r="AL816" t="str">
        <f t="shared" si="157"/>
        <v>Indore</v>
      </c>
      <c r="AM816" t="str">
        <f t="shared" si="157"/>
        <v>Office Supplies</v>
      </c>
      <c r="AN816" t="str">
        <f t="shared" si="157"/>
        <v>Labels</v>
      </c>
      <c r="AO816" t="str">
        <f t="shared" si="169"/>
        <v>First Class</v>
      </c>
      <c r="AP816" t="str">
        <f t="shared" si="159"/>
        <v>Paid</v>
      </c>
      <c r="AQ816" t="str">
        <f t="shared" si="159"/>
        <v>Completed</v>
      </c>
    </row>
    <row r="817" spans="1:43">
      <c r="A817" t="s">
        <v>2830</v>
      </c>
      <c r="B817" s="3">
        <v>45383</v>
      </c>
      <c r="C817" s="3">
        <v>45390</v>
      </c>
      <c r="D817" t="s">
        <v>2831</v>
      </c>
      <c r="E817" t="s">
        <v>256</v>
      </c>
      <c r="F817" t="s">
        <v>109</v>
      </c>
      <c r="G817" t="s">
        <v>123</v>
      </c>
      <c r="H817" t="s">
        <v>124</v>
      </c>
      <c r="I817" t="s">
        <v>125</v>
      </c>
      <c r="J817" t="s">
        <v>160</v>
      </c>
      <c r="K817" t="s">
        <v>385</v>
      </c>
      <c r="L817" t="s">
        <v>2832</v>
      </c>
      <c r="M817" t="s">
        <v>145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199</v>
      </c>
      <c r="U817" t="s">
        <v>44</v>
      </c>
      <c r="V817" s="2">
        <f t="shared" si="160"/>
        <v>0.15</v>
      </c>
      <c r="W817" s="2">
        <f t="shared" si="161"/>
        <v>4259.0694999999996</v>
      </c>
      <c r="X817" s="2">
        <f>W817-R817</f>
        <v>1128.7494999999994</v>
      </c>
      <c r="Y817" s="2">
        <f t="shared" si="162"/>
        <v>0.26502255950507486</v>
      </c>
      <c r="Z817" s="2">
        <f t="shared" si="163"/>
        <v>7</v>
      </c>
      <c r="AA817" s="2">
        <f t="shared" si="164"/>
        <v>4</v>
      </c>
      <c r="AB817" s="2">
        <f t="shared" si="165"/>
        <v>2024</v>
      </c>
      <c r="AC817" s="2" t="str">
        <f t="shared" si="166"/>
        <v>Valid</v>
      </c>
      <c r="AD817" s="2">
        <f t="shared" si="167"/>
        <v>0</v>
      </c>
      <c r="AE817" s="2">
        <f t="shared" si="168"/>
        <v>0</v>
      </c>
      <c r="AH817" t="str">
        <f t="shared" si="158"/>
        <v>Diya Patel</v>
      </c>
      <c r="AI817" t="str">
        <f t="shared" si="158"/>
        <v>Consumer</v>
      </c>
      <c r="AJ817" t="str">
        <f t="shared" si="158"/>
        <v>East</v>
      </c>
      <c r="AK817" t="str">
        <f t="shared" si="158"/>
        <v>Odisha</v>
      </c>
      <c r="AL817" t="str">
        <f t="shared" si="157"/>
        <v>Bhubaneswar</v>
      </c>
      <c r="AM817" t="str">
        <f t="shared" si="157"/>
        <v>Technology</v>
      </c>
      <c r="AN817" t="str">
        <f t="shared" si="157"/>
        <v>Machines</v>
      </c>
      <c r="AO817" t="str">
        <f t="shared" si="169"/>
        <v>Standard Class</v>
      </c>
      <c r="AP817" t="str">
        <f t="shared" si="159"/>
        <v>Pending</v>
      </c>
      <c r="AQ817" t="str">
        <f t="shared" si="159"/>
        <v>Cancelled</v>
      </c>
    </row>
    <row r="818" spans="1:43">
      <c r="A818" t="s">
        <v>2833</v>
      </c>
      <c r="B818" s="3">
        <v>45623</v>
      </c>
      <c r="C818" s="3">
        <v>45626</v>
      </c>
      <c r="D818" t="s">
        <v>2834</v>
      </c>
      <c r="E818" t="s">
        <v>207</v>
      </c>
      <c r="F818" t="s">
        <v>122</v>
      </c>
      <c r="G818" t="s">
        <v>123</v>
      </c>
      <c r="H818" t="s">
        <v>335</v>
      </c>
      <c r="I818" t="s">
        <v>336</v>
      </c>
      <c r="J818" t="s">
        <v>126</v>
      </c>
      <c r="K818" t="s">
        <v>143</v>
      </c>
      <c r="L818" t="s">
        <v>2835</v>
      </c>
      <c r="M818" t="s">
        <v>135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117</v>
      </c>
      <c r="U818" t="s">
        <v>118</v>
      </c>
      <c r="V818" s="2">
        <f t="shared" si="160"/>
        <v>0.1</v>
      </c>
      <c r="W818" s="2">
        <f t="shared" si="161"/>
        <v>786.87</v>
      </c>
      <c r="X818" s="2">
        <f>W818-R818</f>
        <v>288.37</v>
      </c>
      <c r="Y818" s="2">
        <f t="shared" si="162"/>
        <v>0.36647730883119195</v>
      </c>
      <c r="Z818" s="2">
        <f t="shared" si="163"/>
        <v>3</v>
      </c>
      <c r="AA818" s="2">
        <f t="shared" si="164"/>
        <v>11</v>
      </c>
      <c r="AB818" s="2">
        <f t="shared" si="165"/>
        <v>2024</v>
      </c>
      <c r="AC818" s="2" t="str">
        <f t="shared" si="166"/>
        <v>Valid</v>
      </c>
      <c r="AD818" s="2">
        <f t="shared" si="167"/>
        <v>0</v>
      </c>
      <c r="AE818" s="2">
        <f t="shared" si="168"/>
        <v>0</v>
      </c>
      <c r="AH818" t="str">
        <f t="shared" si="158"/>
        <v>Rahul Verma</v>
      </c>
      <c r="AI818" t="str">
        <f t="shared" si="158"/>
        <v>Small Business</v>
      </c>
      <c r="AJ818" t="str">
        <f t="shared" si="158"/>
        <v>East</v>
      </c>
      <c r="AK818" t="str">
        <f t="shared" si="158"/>
        <v>Jharkhand</v>
      </c>
      <c r="AL818" t="str">
        <f t="shared" si="157"/>
        <v>Ranchi</v>
      </c>
      <c r="AM818" t="str">
        <f t="shared" si="157"/>
        <v>Furniture</v>
      </c>
      <c r="AN818" t="str">
        <f t="shared" si="157"/>
        <v>Furnishings</v>
      </c>
      <c r="AO818" t="str">
        <f t="shared" si="169"/>
        <v>First Class</v>
      </c>
      <c r="AP818" t="str">
        <f t="shared" si="159"/>
        <v>Paid</v>
      </c>
      <c r="AQ818" t="str">
        <f t="shared" si="159"/>
        <v>Completed</v>
      </c>
    </row>
    <row r="819" spans="1:43">
      <c r="A819" t="s">
        <v>2836</v>
      </c>
      <c r="B819" s="3">
        <v>45752</v>
      </c>
      <c r="C819" s="3">
        <v>45752</v>
      </c>
      <c r="D819" t="s">
        <v>2837</v>
      </c>
      <c r="E819" t="s">
        <v>222</v>
      </c>
      <c r="F819" t="s">
        <v>109</v>
      </c>
      <c r="G819" t="s">
        <v>123</v>
      </c>
      <c r="H819" t="s">
        <v>237</v>
      </c>
      <c r="I819" t="s">
        <v>238</v>
      </c>
      <c r="J819" t="s">
        <v>113</v>
      </c>
      <c r="K819" t="s">
        <v>246</v>
      </c>
      <c r="L819" t="s">
        <v>2838</v>
      </c>
      <c r="M819" t="s">
        <v>145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117</v>
      </c>
      <c r="U819" t="s">
        <v>118</v>
      </c>
      <c r="V819" s="2">
        <f t="shared" si="160"/>
        <v>0.25</v>
      </c>
      <c r="W819" s="2">
        <f t="shared" si="161"/>
        <v>8233.6049999999996</v>
      </c>
      <c r="X819" s="2">
        <f>W819-R819</f>
        <v>3519.8149999999996</v>
      </c>
      <c r="Y819" s="2">
        <f t="shared" si="162"/>
        <v>0.42749378917254349</v>
      </c>
      <c r="Z819" s="2">
        <f t="shared" si="163"/>
        <v>0</v>
      </c>
      <c r="AA819" s="2">
        <f t="shared" si="164"/>
        <v>4</v>
      </c>
      <c r="AB819" s="2">
        <f t="shared" si="165"/>
        <v>2025</v>
      </c>
      <c r="AC819" s="2" t="str">
        <f t="shared" si="166"/>
        <v>Valid</v>
      </c>
      <c r="AD819" s="2">
        <f t="shared" si="167"/>
        <v>0</v>
      </c>
      <c r="AE819" s="2">
        <f t="shared" si="168"/>
        <v>0</v>
      </c>
      <c r="AH819" t="str">
        <f t="shared" si="158"/>
        <v>Sneha Kapoor</v>
      </c>
      <c r="AI819" t="str">
        <f t="shared" si="158"/>
        <v>Consumer</v>
      </c>
      <c r="AJ819" t="str">
        <f t="shared" si="158"/>
        <v>East</v>
      </c>
      <c r="AK819" t="str">
        <f t="shared" si="158"/>
        <v>Bihar</v>
      </c>
      <c r="AL819" t="str">
        <f t="shared" si="157"/>
        <v>Patna</v>
      </c>
      <c r="AM819" t="str">
        <f t="shared" si="157"/>
        <v>Office Supplies</v>
      </c>
      <c r="AN819" t="str">
        <f t="shared" si="157"/>
        <v>Binders</v>
      </c>
      <c r="AO819" t="str">
        <f t="shared" si="169"/>
        <v>Standard Class</v>
      </c>
      <c r="AP819" t="str">
        <f t="shared" si="159"/>
        <v>Paid</v>
      </c>
      <c r="AQ819" t="str">
        <f t="shared" si="159"/>
        <v>Completed</v>
      </c>
    </row>
    <row r="820" spans="1:43">
      <c r="A820" t="s">
        <v>2839</v>
      </c>
      <c r="B820" s="3">
        <v>45564</v>
      </c>
      <c r="C820" s="3">
        <v>45422</v>
      </c>
      <c r="D820" t="s">
        <v>2840</v>
      </c>
      <c r="E820" t="s">
        <v>203</v>
      </c>
      <c r="F820" t="s">
        <v>122</v>
      </c>
      <c r="G820" t="s">
        <v>149</v>
      </c>
      <c r="H820" t="s">
        <v>150</v>
      </c>
      <c r="I820" t="s">
        <v>151</v>
      </c>
      <c r="J820" t="s">
        <v>113</v>
      </c>
      <c r="K820" t="s">
        <v>178</v>
      </c>
      <c r="L820" t="s">
        <v>2841</v>
      </c>
      <c r="M820" t="s">
        <v>135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117</v>
      </c>
      <c r="U820" t="s">
        <v>118</v>
      </c>
      <c r="V820" s="2">
        <f t="shared" si="160"/>
        <v>-0.14000000000000001</v>
      </c>
      <c r="W820" s="2">
        <f t="shared" si="161"/>
        <v>18067.084800000001</v>
      </c>
      <c r="X820" s="2">
        <f>W820-R820</f>
        <v>7978.4348000000009</v>
      </c>
      <c r="Y820" s="2">
        <f t="shared" si="162"/>
        <v>0.44160056192352631</v>
      </c>
      <c r="Z820" s="2">
        <f t="shared" si="163"/>
        <v>-142</v>
      </c>
      <c r="AA820" s="2">
        <f t="shared" si="164"/>
        <v>9</v>
      </c>
      <c r="AB820" s="2">
        <f t="shared" si="165"/>
        <v>2024</v>
      </c>
      <c r="AC820" s="2" t="str">
        <f t="shared" si="166"/>
        <v>Invalid shipping record</v>
      </c>
      <c r="AD820" s="2">
        <f t="shared" si="167"/>
        <v>1</v>
      </c>
      <c r="AE820" s="2">
        <f t="shared" si="168"/>
        <v>1</v>
      </c>
      <c r="AH820" t="str">
        <f t="shared" si="158"/>
        <v>Priya Menon</v>
      </c>
      <c r="AI820" t="str">
        <f t="shared" si="158"/>
        <v>Small Business</v>
      </c>
      <c r="AJ820" t="str">
        <f t="shared" si="158"/>
        <v>West</v>
      </c>
      <c r="AK820" t="str">
        <f t="shared" si="158"/>
        <v>Maharashtra</v>
      </c>
      <c r="AL820" t="str">
        <f t="shared" si="157"/>
        <v>Mumbai</v>
      </c>
      <c r="AM820" t="str">
        <f t="shared" si="157"/>
        <v>Office Supplies</v>
      </c>
      <c r="AN820" t="str">
        <f t="shared" si="157"/>
        <v>Labels</v>
      </c>
      <c r="AO820" t="str">
        <f t="shared" si="169"/>
        <v>First Class</v>
      </c>
      <c r="AP820" t="str">
        <f t="shared" si="159"/>
        <v>Paid</v>
      </c>
      <c r="AQ820" t="str">
        <f t="shared" si="159"/>
        <v>Completed</v>
      </c>
    </row>
    <row r="821" spans="1:43">
      <c r="A821" t="s">
        <v>2842</v>
      </c>
      <c r="B821" s="3">
        <v>45504</v>
      </c>
      <c r="C821" s="3" t="s">
        <v>2843</v>
      </c>
      <c r="D821" t="s">
        <v>2844</v>
      </c>
      <c r="E821" t="s">
        <v>108</v>
      </c>
      <c r="F821" t="s">
        <v>182</v>
      </c>
      <c r="G821" t="s">
        <v>140</v>
      </c>
      <c r="H821" t="s">
        <v>282</v>
      </c>
      <c r="I821" t="s">
        <v>283</v>
      </c>
      <c r="J821" t="s">
        <v>160</v>
      </c>
      <c r="K821" t="s">
        <v>2845</v>
      </c>
      <c r="L821" t="s">
        <v>2846</v>
      </c>
      <c r="M821" t="s">
        <v>145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248</v>
      </c>
      <c r="U821" t="s">
        <v>44</v>
      </c>
      <c r="V821" s="2">
        <f t="shared" si="160"/>
        <v>0</v>
      </c>
      <c r="W821" s="2">
        <f t="shared" si="161"/>
        <v>33968.080000000002</v>
      </c>
      <c r="X821" s="2">
        <f>W821-R821</f>
        <v>7065.6400000000031</v>
      </c>
      <c r="Y821" s="2">
        <f t="shared" si="162"/>
        <v>0.20800822419165294</v>
      </c>
      <c r="Z821" s="2" t="str">
        <f t="shared" si="163"/>
        <v/>
      </c>
      <c r="AA821" s="2">
        <f t="shared" si="164"/>
        <v>7</v>
      </c>
      <c r="AB821" s="2">
        <f t="shared" si="165"/>
        <v>2024</v>
      </c>
      <c r="AC821" s="2" t="str">
        <f t="shared" si="166"/>
        <v>Text Value Not Recognized as Date</v>
      </c>
      <c r="AD821" s="2">
        <f t="shared" si="167"/>
        <v>0</v>
      </c>
      <c r="AE821" s="2">
        <f t="shared" si="168"/>
        <v>0</v>
      </c>
      <c r="AH821" t="str">
        <f t="shared" si="158"/>
        <v>Karan Malhotra</v>
      </c>
      <c r="AI821" t="str">
        <f t="shared" si="158"/>
        <v>Home Office</v>
      </c>
      <c r="AJ821" t="str">
        <f t="shared" si="158"/>
        <v>South</v>
      </c>
      <c r="AK821" t="str">
        <f t="shared" si="158"/>
        <v>Kerala</v>
      </c>
      <c r="AL821" t="str">
        <f t="shared" si="157"/>
        <v>Kochi</v>
      </c>
      <c r="AM821" t="str">
        <f t="shared" si="157"/>
        <v>Technology</v>
      </c>
      <c r="AN821" t="str">
        <f t="shared" si="157"/>
        <v>Machines</v>
      </c>
      <c r="AO821" t="str">
        <f t="shared" si="169"/>
        <v>Standard Class</v>
      </c>
      <c r="AP821" t="str">
        <f t="shared" si="159"/>
        <v>Failed</v>
      </c>
      <c r="AQ821" t="str">
        <f t="shared" si="159"/>
        <v>Cancelled</v>
      </c>
    </row>
    <row r="822" spans="1:43">
      <c r="A822" t="s">
        <v>2847</v>
      </c>
      <c r="B822" s="3">
        <v>45810</v>
      </c>
      <c r="C822" s="3">
        <v>45932</v>
      </c>
      <c r="D822" t="s">
        <v>2848</v>
      </c>
      <c r="E822" t="s">
        <v>148</v>
      </c>
      <c r="F822" t="s">
        <v>182</v>
      </c>
      <c r="G822" t="s">
        <v>110</v>
      </c>
      <c r="H822" t="s">
        <v>227</v>
      </c>
      <c r="I822" t="s">
        <v>228</v>
      </c>
      <c r="J822" t="s">
        <v>126</v>
      </c>
      <c r="K822" t="s">
        <v>252</v>
      </c>
      <c r="L822" t="s">
        <v>2849</v>
      </c>
      <c r="M822" t="s">
        <v>145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117</v>
      </c>
      <c r="U822" t="s">
        <v>118</v>
      </c>
      <c r="V822" s="2">
        <f t="shared" si="160"/>
        <v>0.2</v>
      </c>
      <c r="W822" s="2">
        <f t="shared" si="161"/>
        <v>511.31200000000001</v>
      </c>
      <c r="X822" s="2">
        <f>W822-R822</f>
        <v>74.882000000000005</v>
      </c>
      <c r="Y822" s="2">
        <f t="shared" si="162"/>
        <v>0.14645069937728825</v>
      </c>
      <c r="Z822" s="2">
        <f t="shared" si="163"/>
        <v>122</v>
      </c>
      <c r="AA822" s="2">
        <f t="shared" si="164"/>
        <v>6</v>
      </c>
      <c r="AB822" s="2">
        <f t="shared" si="165"/>
        <v>2025</v>
      </c>
      <c r="AC822" s="2" t="str">
        <f t="shared" si="166"/>
        <v>Valid</v>
      </c>
      <c r="AD822" s="2">
        <f t="shared" si="167"/>
        <v>0</v>
      </c>
      <c r="AE822" s="2">
        <f t="shared" si="168"/>
        <v>0</v>
      </c>
      <c r="AH822" t="str">
        <f t="shared" si="158"/>
        <v>Ananya Rao</v>
      </c>
      <c r="AI822" t="str">
        <f t="shared" si="158"/>
        <v>Home Office</v>
      </c>
      <c r="AJ822" t="str">
        <f t="shared" si="158"/>
        <v>North</v>
      </c>
      <c r="AK822" t="str">
        <f t="shared" si="158"/>
        <v>Uttar Pradesh</v>
      </c>
      <c r="AL822" t="str">
        <f t="shared" si="157"/>
        <v>Noida</v>
      </c>
      <c r="AM822" t="str">
        <f t="shared" si="157"/>
        <v>Furniture</v>
      </c>
      <c r="AN822" t="str">
        <f t="shared" si="157"/>
        <v>Bookcases</v>
      </c>
      <c r="AO822" t="str">
        <f t="shared" si="169"/>
        <v>Standard Class</v>
      </c>
      <c r="AP822" t="str">
        <f t="shared" si="159"/>
        <v>Paid</v>
      </c>
      <c r="AQ822" t="str">
        <f t="shared" si="159"/>
        <v>Completed</v>
      </c>
    </row>
    <row r="823" spans="1:43">
      <c r="A823" t="s">
        <v>2850</v>
      </c>
      <c r="B823" s="3">
        <v>45476</v>
      </c>
      <c r="C823" s="3">
        <v>45450</v>
      </c>
      <c r="D823" t="s">
        <v>2851</v>
      </c>
      <c r="E823" t="s">
        <v>218</v>
      </c>
      <c r="F823" t="s">
        <v>177</v>
      </c>
      <c r="G823" t="s">
        <v>140</v>
      </c>
      <c r="H823" t="s">
        <v>270</v>
      </c>
      <c r="I823" t="s">
        <v>271</v>
      </c>
      <c r="J823" t="s">
        <v>160</v>
      </c>
      <c r="K823" t="s">
        <v>161</v>
      </c>
      <c r="L823" t="s">
        <v>2852</v>
      </c>
      <c r="M823" t="s">
        <v>135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117</v>
      </c>
      <c r="U823" t="s">
        <v>118</v>
      </c>
      <c r="V823" s="2">
        <f t="shared" si="160"/>
        <v>0.2</v>
      </c>
      <c r="W823" s="2">
        <f t="shared" si="161"/>
        <v>10877.944000000001</v>
      </c>
      <c r="X823" s="2">
        <f>W823-R823</f>
        <v>1767.8040000000019</v>
      </c>
      <c r="Y823" s="2">
        <f t="shared" si="162"/>
        <v>0.16251269541376584</v>
      </c>
      <c r="Z823" s="2">
        <f t="shared" si="163"/>
        <v>-26</v>
      </c>
      <c r="AA823" s="2">
        <f t="shared" si="164"/>
        <v>7</v>
      </c>
      <c r="AB823" s="2">
        <f t="shared" si="165"/>
        <v>2024</v>
      </c>
      <c r="AC823" s="2" t="str">
        <f t="shared" si="166"/>
        <v>Invalid shipping record</v>
      </c>
      <c r="AD823" s="2">
        <f t="shared" si="167"/>
        <v>0</v>
      </c>
      <c r="AE823" s="2">
        <f t="shared" si="168"/>
        <v>0</v>
      </c>
      <c r="AH823" t="str">
        <f t="shared" si="158"/>
        <v>Aarav Sharma</v>
      </c>
      <c r="AI823" t="str">
        <f t="shared" si="158"/>
        <v>Corporate</v>
      </c>
      <c r="AJ823" t="str">
        <f t="shared" si="158"/>
        <v>South</v>
      </c>
      <c r="AK823" t="str">
        <f t="shared" si="158"/>
        <v>Karnataka</v>
      </c>
      <c r="AL823" t="str">
        <f t="shared" si="157"/>
        <v>Bengaluru</v>
      </c>
      <c r="AM823" t="str">
        <f t="shared" si="157"/>
        <v>Technology</v>
      </c>
      <c r="AN823" t="str">
        <f t="shared" si="157"/>
        <v>Accessories</v>
      </c>
      <c r="AO823" t="str">
        <f t="shared" si="169"/>
        <v>First Class</v>
      </c>
      <c r="AP823" t="str">
        <f t="shared" si="159"/>
        <v>Paid</v>
      </c>
      <c r="AQ823" t="str">
        <f t="shared" si="159"/>
        <v>Completed</v>
      </c>
    </row>
    <row r="824" spans="1:43">
      <c r="A824" t="s">
        <v>2853</v>
      </c>
      <c r="B824" s="3">
        <v>45577</v>
      </c>
      <c r="C824" s="3">
        <v>45573</v>
      </c>
      <c r="D824" t="s">
        <v>2854</v>
      </c>
      <c r="E824" t="s">
        <v>121</v>
      </c>
      <c r="F824" t="s">
        <v>177</v>
      </c>
      <c r="G824" t="s">
        <v>123</v>
      </c>
      <c r="H824" t="s">
        <v>260</v>
      </c>
      <c r="I824" t="s">
        <v>261</v>
      </c>
      <c r="J824" t="s">
        <v>126</v>
      </c>
      <c r="K824" t="s">
        <v>143</v>
      </c>
      <c r="L824" t="s">
        <v>2855</v>
      </c>
      <c r="M824" t="s">
        <v>116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199</v>
      </c>
      <c r="U824" t="s">
        <v>190</v>
      </c>
      <c r="V824" s="2">
        <f t="shared" si="160"/>
        <v>0.2</v>
      </c>
      <c r="W824" s="2">
        <f t="shared" si="161"/>
        <v>10246.528</v>
      </c>
      <c r="X824" s="2">
        <f>W824-R824</f>
        <v>1612.1080000000002</v>
      </c>
      <c r="Y824" s="2">
        <f t="shared" si="162"/>
        <v>0.15733212264681268</v>
      </c>
      <c r="Z824" s="2">
        <f t="shared" si="163"/>
        <v>-4</v>
      </c>
      <c r="AA824" s="2">
        <f t="shared" si="164"/>
        <v>10</v>
      </c>
      <c r="AB824" s="2">
        <f t="shared" si="165"/>
        <v>2024</v>
      </c>
      <c r="AC824" s="2" t="str">
        <f t="shared" si="166"/>
        <v>Invalid shipping record</v>
      </c>
      <c r="AD824" s="2">
        <f t="shared" si="167"/>
        <v>0</v>
      </c>
      <c r="AE824" s="2">
        <f t="shared" si="168"/>
        <v>0</v>
      </c>
      <c r="AH824" t="str">
        <f t="shared" si="158"/>
        <v>Mira Das</v>
      </c>
      <c r="AI824" t="str">
        <f t="shared" si="158"/>
        <v>Corporate</v>
      </c>
      <c r="AJ824" t="str">
        <f t="shared" si="158"/>
        <v>East</v>
      </c>
      <c r="AK824" t="str">
        <f t="shared" si="158"/>
        <v>Assam</v>
      </c>
      <c r="AL824" t="str">
        <f t="shared" si="158"/>
        <v>Guwahati</v>
      </c>
      <c r="AM824" t="str">
        <f t="shared" si="158"/>
        <v>Furniture</v>
      </c>
      <c r="AN824" t="str">
        <f t="shared" si="158"/>
        <v>Furnishings</v>
      </c>
      <c r="AO824" t="str">
        <f t="shared" si="169"/>
        <v>Second Class</v>
      </c>
      <c r="AP824" t="str">
        <f t="shared" si="159"/>
        <v>Pending</v>
      </c>
      <c r="AQ824" t="str">
        <f t="shared" si="159"/>
        <v>Returned</v>
      </c>
    </row>
    <row r="825" spans="1:43">
      <c r="A825" t="s">
        <v>2856</v>
      </c>
      <c r="B825" s="3">
        <v>45663</v>
      </c>
      <c r="C825" s="3">
        <v>45669</v>
      </c>
      <c r="D825" t="s">
        <v>2857</v>
      </c>
      <c r="E825" t="s">
        <v>121</v>
      </c>
      <c r="F825" t="s">
        <v>182</v>
      </c>
      <c r="G825" t="s">
        <v>149</v>
      </c>
      <c r="H825" t="s">
        <v>287</v>
      </c>
      <c r="I825" t="s">
        <v>288</v>
      </c>
      <c r="J825" t="s">
        <v>113</v>
      </c>
      <c r="K825" t="s">
        <v>114</v>
      </c>
      <c r="L825" t="s">
        <v>2858</v>
      </c>
      <c r="M825" t="s">
        <v>129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117</v>
      </c>
      <c r="U825" t="s">
        <v>118</v>
      </c>
      <c r="V825" s="2">
        <f t="shared" si="160"/>
        <v>0.15</v>
      </c>
      <c r="W825" s="2">
        <f t="shared" si="161"/>
        <v>1704.2415000000001</v>
      </c>
      <c r="X825" s="2">
        <f>W825-R825</f>
        <v>746.69150000000013</v>
      </c>
      <c r="Y825" s="2">
        <f t="shared" si="162"/>
        <v>0.43813714194848563</v>
      </c>
      <c r="Z825" s="2">
        <f t="shared" si="163"/>
        <v>6</v>
      </c>
      <c r="AA825" s="2">
        <f t="shared" si="164"/>
        <v>1</v>
      </c>
      <c r="AB825" s="2">
        <f t="shared" si="165"/>
        <v>2025</v>
      </c>
      <c r="AC825" s="2" t="str">
        <f t="shared" si="166"/>
        <v>Valid</v>
      </c>
      <c r="AD825" s="2">
        <f t="shared" si="167"/>
        <v>0</v>
      </c>
      <c r="AE825" s="2">
        <f t="shared" si="168"/>
        <v>0</v>
      </c>
      <c r="AH825" t="str">
        <f t="shared" si="158"/>
        <v>Mira Das</v>
      </c>
      <c r="AI825" t="str">
        <f t="shared" si="158"/>
        <v>Home Office</v>
      </c>
      <c r="AJ825" t="str">
        <f t="shared" si="158"/>
        <v>West</v>
      </c>
      <c r="AK825" t="str">
        <f t="shared" si="158"/>
        <v>Goa</v>
      </c>
      <c r="AL825" t="str">
        <f t="shared" si="158"/>
        <v>Panaji</v>
      </c>
      <c r="AM825" t="str">
        <f t="shared" si="158"/>
        <v>Office Supplies</v>
      </c>
      <c r="AN825" t="str">
        <f t="shared" si="158"/>
        <v>Paper</v>
      </c>
      <c r="AO825" t="str">
        <f t="shared" si="169"/>
        <v>Same Day</v>
      </c>
      <c r="AP825" t="str">
        <f t="shared" si="159"/>
        <v>Paid</v>
      </c>
      <c r="AQ825" t="str">
        <f t="shared" si="159"/>
        <v>Completed</v>
      </c>
    </row>
    <row r="826" spans="1:43">
      <c r="A826" t="s">
        <v>2859</v>
      </c>
      <c r="B826" s="3" t="s">
        <v>2860</v>
      </c>
      <c r="C826" s="3">
        <v>45738</v>
      </c>
      <c r="D826" t="s">
        <v>2861</v>
      </c>
      <c r="E826" t="s">
        <v>203</v>
      </c>
      <c r="F826" t="s">
        <v>109</v>
      </c>
      <c r="G826" t="s">
        <v>149</v>
      </c>
      <c r="H826" t="s">
        <v>287</v>
      </c>
      <c r="I826" t="s">
        <v>288</v>
      </c>
      <c r="J826" t="s">
        <v>113</v>
      </c>
      <c r="K826" t="s">
        <v>114</v>
      </c>
      <c r="L826" t="s">
        <v>2862</v>
      </c>
      <c r="M826" t="s">
        <v>135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117</v>
      </c>
      <c r="U826" t="s">
        <v>118</v>
      </c>
      <c r="V826" s="2">
        <f t="shared" si="160"/>
        <v>0.05</v>
      </c>
      <c r="W826" s="2">
        <f t="shared" si="161"/>
        <v>33719.223999999995</v>
      </c>
      <c r="X826" s="2">
        <f>W826-R826</f>
        <v>4794.7939999999944</v>
      </c>
      <c r="Y826" s="2">
        <f t="shared" si="162"/>
        <v>0.14219763776295669</v>
      </c>
      <c r="Z826" s="2" t="str">
        <f t="shared" si="163"/>
        <v/>
      </c>
      <c r="AA826" s="2" t="e">
        <f t="shared" si="164"/>
        <v>#VALUE!</v>
      </c>
      <c r="AB826" s="2" t="e">
        <f t="shared" si="165"/>
        <v>#VALUE!</v>
      </c>
      <c r="AC826" s="2" t="str">
        <f t="shared" si="166"/>
        <v>Text Value Not Recognized as Date</v>
      </c>
      <c r="AD826" s="2">
        <f t="shared" si="167"/>
        <v>0</v>
      </c>
      <c r="AE826" s="2">
        <f t="shared" si="168"/>
        <v>0</v>
      </c>
      <c r="AH826" t="str">
        <f t="shared" si="158"/>
        <v>Priya Menon</v>
      </c>
      <c r="AI826" t="str">
        <f t="shared" si="158"/>
        <v>Consumer</v>
      </c>
      <c r="AJ826" t="str">
        <f t="shared" si="158"/>
        <v>West</v>
      </c>
      <c r="AK826" t="str">
        <f t="shared" si="158"/>
        <v>Goa</v>
      </c>
      <c r="AL826" t="str">
        <f t="shared" ref="AL826:AN889" si="170">PROPER(TRIM(I826))</f>
        <v>Panaji</v>
      </c>
      <c r="AM826" t="str">
        <f t="shared" si="170"/>
        <v>Office Supplies</v>
      </c>
      <c r="AN826" t="str">
        <f t="shared" si="170"/>
        <v>Paper</v>
      </c>
      <c r="AO826" t="str">
        <f t="shared" si="169"/>
        <v>First Class</v>
      </c>
      <c r="AP826" t="str">
        <f t="shared" si="159"/>
        <v>Paid</v>
      </c>
      <c r="AQ826" t="str">
        <f t="shared" si="159"/>
        <v>Completed</v>
      </c>
    </row>
    <row r="827" spans="1:43">
      <c r="A827" t="s">
        <v>2863</v>
      </c>
      <c r="B827" s="3">
        <v>45763</v>
      </c>
      <c r="C827" s="3" t="s">
        <v>2864</v>
      </c>
      <c r="D827" t="s">
        <v>2865</v>
      </c>
      <c r="E827" t="s">
        <v>157</v>
      </c>
      <c r="F827" t="s">
        <v>122</v>
      </c>
      <c r="G827" t="s">
        <v>110</v>
      </c>
      <c r="H827" t="s">
        <v>227</v>
      </c>
      <c r="I827" t="s">
        <v>228</v>
      </c>
      <c r="J827" t="s">
        <v>160</v>
      </c>
      <c r="K827" t="s">
        <v>385</v>
      </c>
      <c r="L827" t="s">
        <v>2866</v>
      </c>
      <c r="M827" t="s">
        <v>135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117</v>
      </c>
      <c r="U827" t="s">
        <v>118</v>
      </c>
      <c r="V827" s="2">
        <f t="shared" si="160"/>
        <v>0</v>
      </c>
      <c r="W827" s="2">
        <f t="shared" si="161"/>
        <v>2720.17</v>
      </c>
      <c r="X827" s="2">
        <f>W827-R827</f>
        <v>885.94</v>
      </c>
      <c r="Y827" s="2">
        <f t="shared" si="162"/>
        <v>0.3256928794891496</v>
      </c>
      <c r="Z827" s="2" t="str">
        <f t="shared" si="163"/>
        <v/>
      </c>
      <c r="AA827" s="2">
        <f t="shared" si="164"/>
        <v>4</v>
      </c>
      <c r="AB827" s="2">
        <f t="shared" si="165"/>
        <v>2025</v>
      </c>
      <c r="AC827" s="2" t="str">
        <f t="shared" si="166"/>
        <v>Text Value Not Recognized as Date</v>
      </c>
      <c r="AD827" s="2">
        <f t="shared" si="167"/>
        <v>0</v>
      </c>
      <c r="AE827" s="2">
        <f t="shared" si="168"/>
        <v>0</v>
      </c>
      <c r="AH827" t="str">
        <f t="shared" ref="AH827:AN890" si="171">PROPER(TRIM(E827))</f>
        <v>Vikram Iyer</v>
      </c>
      <c r="AI827" t="str">
        <f t="shared" si="171"/>
        <v>Small Business</v>
      </c>
      <c r="AJ827" t="str">
        <f t="shared" si="171"/>
        <v>North</v>
      </c>
      <c r="AK827" t="str">
        <f t="shared" si="171"/>
        <v>Uttar Pradesh</v>
      </c>
      <c r="AL827" t="str">
        <f t="shared" si="170"/>
        <v>Noida</v>
      </c>
      <c r="AM827" t="str">
        <f t="shared" si="170"/>
        <v>Technology</v>
      </c>
      <c r="AN827" t="str">
        <f t="shared" si="170"/>
        <v>Machines</v>
      </c>
      <c r="AO827" t="str">
        <f t="shared" si="169"/>
        <v>First Class</v>
      </c>
      <c r="AP827" t="str">
        <f t="shared" si="159"/>
        <v>Paid</v>
      </c>
      <c r="AQ827" t="str">
        <f t="shared" si="159"/>
        <v>Completed</v>
      </c>
    </row>
    <row r="828" spans="1:43">
      <c r="A828" t="s">
        <v>2867</v>
      </c>
      <c r="B828" s="3">
        <v>45879</v>
      </c>
      <c r="C828" s="3">
        <v>45883</v>
      </c>
      <c r="D828" t="s">
        <v>2868</v>
      </c>
      <c r="E828" t="s">
        <v>176</v>
      </c>
      <c r="F828" t="s">
        <v>109</v>
      </c>
      <c r="G828" t="s">
        <v>149</v>
      </c>
      <c r="H828" t="s">
        <v>111</v>
      </c>
      <c r="I828" t="s">
        <v>197</v>
      </c>
      <c r="J828" t="s">
        <v>160</v>
      </c>
      <c r="K828" t="s">
        <v>161</v>
      </c>
      <c r="L828" t="s">
        <v>2869</v>
      </c>
      <c r="M828" t="s">
        <v>145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117</v>
      </c>
      <c r="U828" t="s">
        <v>118</v>
      </c>
      <c r="V828" s="2">
        <f t="shared" si="160"/>
        <v>0.25</v>
      </c>
      <c r="W828" s="2">
        <f t="shared" si="161"/>
        <v>8213.0249999999996</v>
      </c>
      <c r="X828" s="2">
        <f>W828-R828</f>
        <v>2643.7249999999995</v>
      </c>
      <c r="Y828" s="2">
        <f t="shared" si="162"/>
        <v>0.32189418636860345</v>
      </c>
      <c r="Z828" s="2">
        <f t="shared" si="163"/>
        <v>4</v>
      </c>
      <c r="AA828" s="2">
        <f t="shared" si="164"/>
        <v>8</v>
      </c>
      <c r="AB828" s="2">
        <f t="shared" si="165"/>
        <v>2025</v>
      </c>
      <c r="AC828" s="2" t="str">
        <f t="shared" si="166"/>
        <v>Valid</v>
      </c>
      <c r="AD828" s="2">
        <f t="shared" si="167"/>
        <v>0</v>
      </c>
      <c r="AE828" s="2">
        <f t="shared" si="168"/>
        <v>0</v>
      </c>
      <c r="AH828" t="str">
        <f t="shared" si="171"/>
        <v>Aditi Sen</v>
      </c>
      <c r="AI828" t="str">
        <f t="shared" si="171"/>
        <v>Consumer</v>
      </c>
      <c r="AJ828" t="str">
        <f t="shared" si="171"/>
        <v>West</v>
      </c>
      <c r="AK828" t="str">
        <f t="shared" si="171"/>
        <v>Rajasthan</v>
      </c>
      <c r="AL828" t="str">
        <f t="shared" si="170"/>
        <v>Udaipur</v>
      </c>
      <c r="AM828" t="str">
        <f t="shared" si="170"/>
        <v>Technology</v>
      </c>
      <c r="AN828" t="str">
        <f t="shared" si="170"/>
        <v>Accessories</v>
      </c>
      <c r="AO828" t="str">
        <f t="shared" si="169"/>
        <v>Standard Class</v>
      </c>
      <c r="AP828" t="str">
        <f t="shared" si="159"/>
        <v>Paid</v>
      </c>
      <c r="AQ828" t="str">
        <f t="shared" si="159"/>
        <v>Completed</v>
      </c>
    </row>
    <row r="829" spans="1:43">
      <c r="A829" t="s">
        <v>2870</v>
      </c>
      <c r="B829" s="3">
        <v>45620</v>
      </c>
      <c r="C829" s="3">
        <v>45303</v>
      </c>
      <c r="D829" t="s">
        <v>2871</v>
      </c>
      <c r="E829" t="s">
        <v>203</v>
      </c>
      <c r="F829" t="s">
        <v>182</v>
      </c>
      <c r="G829" t="s">
        <v>140</v>
      </c>
      <c r="H829" t="s">
        <v>357</v>
      </c>
      <c r="I829" t="s">
        <v>358</v>
      </c>
      <c r="J829" t="s">
        <v>113</v>
      </c>
      <c r="K829" t="s">
        <v>114</v>
      </c>
      <c r="L829" t="s">
        <v>2872</v>
      </c>
      <c r="M829" t="s">
        <v>129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117</v>
      </c>
      <c r="U829" t="s">
        <v>44</v>
      </c>
      <c r="V829" s="2">
        <f t="shared" si="160"/>
        <v>0.25</v>
      </c>
      <c r="W829" s="2">
        <f t="shared" si="161"/>
        <v>633.66750000000002</v>
      </c>
      <c r="X829" s="2">
        <f>W829-R829</f>
        <v>113.19749999999999</v>
      </c>
      <c r="Y829" s="2">
        <f t="shared" si="162"/>
        <v>0.17863863934950111</v>
      </c>
      <c r="Z829" s="2">
        <f t="shared" si="163"/>
        <v>-317</v>
      </c>
      <c r="AA829" s="2">
        <f t="shared" si="164"/>
        <v>11</v>
      </c>
      <c r="AB829" s="2">
        <f t="shared" si="165"/>
        <v>2024</v>
      </c>
      <c r="AC829" s="2" t="str">
        <f t="shared" si="166"/>
        <v>Invalid shipping record</v>
      </c>
      <c r="AD829" s="2">
        <f t="shared" si="167"/>
        <v>0</v>
      </c>
      <c r="AE829" s="2">
        <f t="shared" si="168"/>
        <v>0</v>
      </c>
      <c r="AH829" t="str">
        <f t="shared" si="171"/>
        <v>Priya Menon</v>
      </c>
      <c r="AI829" t="str">
        <f t="shared" si="171"/>
        <v>Home Office</v>
      </c>
      <c r="AJ829" t="str">
        <f t="shared" si="171"/>
        <v>South</v>
      </c>
      <c r="AK829" t="str">
        <f t="shared" si="171"/>
        <v>Tamil Nadu</v>
      </c>
      <c r="AL829" t="str">
        <f t="shared" si="170"/>
        <v>Chennai</v>
      </c>
      <c r="AM829" t="str">
        <f t="shared" si="170"/>
        <v>Office Supplies</v>
      </c>
      <c r="AN829" t="str">
        <f t="shared" si="170"/>
        <v>Paper</v>
      </c>
      <c r="AO829" t="str">
        <f t="shared" si="169"/>
        <v>Same Day</v>
      </c>
      <c r="AP829" t="str">
        <f t="shared" si="159"/>
        <v>Paid</v>
      </c>
      <c r="AQ829" t="str">
        <f t="shared" si="159"/>
        <v>Cancelled</v>
      </c>
    </row>
    <row r="830" spans="1:43">
      <c r="A830" t="s">
        <v>2873</v>
      </c>
      <c r="B830" s="3">
        <v>45940</v>
      </c>
      <c r="C830" s="3">
        <v>45971</v>
      </c>
      <c r="D830" t="s">
        <v>2874</v>
      </c>
      <c r="E830" t="s">
        <v>108</v>
      </c>
      <c r="F830" t="s">
        <v>177</v>
      </c>
      <c r="G830" t="s">
        <v>123</v>
      </c>
      <c r="H830" t="s">
        <v>124</v>
      </c>
      <c r="I830" t="s">
        <v>125</v>
      </c>
      <c r="J830" t="s">
        <v>126</v>
      </c>
      <c r="K830" t="s">
        <v>152</v>
      </c>
      <c r="L830" t="s">
        <v>2875</v>
      </c>
      <c r="M830" t="s">
        <v>116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248</v>
      </c>
      <c r="U830" t="s">
        <v>44</v>
      </c>
      <c r="V830" s="2">
        <f t="shared" si="160"/>
        <v>0.05</v>
      </c>
      <c r="W830" s="2">
        <f t="shared" si="161"/>
        <v>25216.534</v>
      </c>
      <c r="X830" s="2">
        <f>W830-R830</f>
        <v>10999.593999999999</v>
      </c>
      <c r="Y830" s="2">
        <f t="shared" si="162"/>
        <v>0.4362056260388521</v>
      </c>
      <c r="Z830" s="2">
        <f t="shared" si="163"/>
        <v>31</v>
      </c>
      <c r="AA830" s="2">
        <f t="shared" si="164"/>
        <v>10</v>
      </c>
      <c r="AB830" s="2">
        <f t="shared" si="165"/>
        <v>2025</v>
      </c>
      <c r="AC830" s="2" t="str">
        <f t="shared" si="166"/>
        <v>Valid</v>
      </c>
      <c r="AD830" s="2">
        <f t="shared" si="167"/>
        <v>0</v>
      </c>
      <c r="AE830" s="2">
        <f t="shared" si="168"/>
        <v>0</v>
      </c>
      <c r="AH830" t="str">
        <f t="shared" si="171"/>
        <v>Karan Malhotra</v>
      </c>
      <c r="AI830" t="str">
        <f t="shared" si="171"/>
        <v>Corporate</v>
      </c>
      <c r="AJ830" t="str">
        <f t="shared" si="171"/>
        <v>East</v>
      </c>
      <c r="AK830" t="str">
        <f t="shared" si="171"/>
        <v>Odisha</v>
      </c>
      <c r="AL830" t="str">
        <f t="shared" si="170"/>
        <v>Bhubaneswar</v>
      </c>
      <c r="AM830" t="str">
        <f t="shared" si="170"/>
        <v>Furniture</v>
      </c>
      <c r="AN830" t="str">
        <f t="shared" si="170"/>
        <v>Chairs</v>
      </c>
      <c r="AO830" t="str">
        <f t="shared" si="169"/>
        <v>Second Class</v>
      </c>
      <c r="AP830" t="str">
        <f t="shared" si="159"/>
        <v>Failed</v>
      </c>
      <c r="AQ830" t="str">
        <f t="shared" si="159"/>
        <v>Cancelled</v>
      </c>
    </row>
    <row r="831" spans="1:43">
      <c r="A831" t="s">
        <v>2876</v>
      </c>
      <c r="B831" s="3">
        <v>45348</v>
      </c>
      <c r="C831" s="3" t="s">
        <v>1143</v>
      </c>
      <c r="D831" t="s">
        <v>2877</v>
      </c>
      <c r="E831" t="s">
        <v>176</v>
      </c>
      <c r="F831" t="s">
        <v>122</v>
      </c>
      <c r="G831" t="s">
        <v>149</v>
      </c>
      <c r="H831" t="s">
        <v>287</v>
      </c>
      <c r="I831" t="s">
        <v>288</v>
      </c>
      <c r="J831" t="s">
        <v>126</v>
      </c>
      <c r="K831" t="s">
        <v>143</v>
      </c>
      <c r="L831" t="s">
        <v>2878</v>
      </c>
      <c r="M831" t="s">
        <v>116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117</v>
      </c>
      <c r="U831" t="s">
        <v>118</v>
      </c>
      <c r="V831" s="2">
        <f t="shared" si="160"/>
        <v>0.1</v>
      </c>
      <c r="W831" s="2">
        <f t="shared" si="161"/>
        <v>6521.3820000000005</v>
      </c>
      <c r="X831" s="2">
        <f>W831-R831</f>
        <v>2010.2820000000002</v>
      </c>
      <c r="Y831" s="2">
        <f t="shared" si="162"/>
        <v>0.30826012032418892</v>
      </c>
      <c r="Z831" s="2" t="str">
        <f t="shared" si="163"/>
        <v/>
      </c>
      <c r="AA831" s="2">
        <f t="shared" si="164"/>
        <v>2</v>
      </c>
      <c r="AB831" s="2">
        <f t="shared" si="165"/>
        <v>2024</v>
      </c>
      <c r="AC831" s="2" t="str">
        <f t="shared" si="166"/>
        <v>Text Value Not Recognized as Date</v>
      </c>
      <c r="AD831" s="2">
        <f t="shared" si="167"/>
        <v>0</v>
      </c>
      <c r="AE831" s="2">
        <f t="shared" si="168"/>
        <v>0</v>
      </c>
      <c r="AH831" t="str">
        <f t="shared" si="171"/>
        <v>Aditi Sen</v>
      </c>
      <c r="AI831" t="str">
        <f t="shared" si="171"/>
        <v>Small Business</v>
      </c>
      <c r="AJ831" t="str">
        <f t="shared" si="171"/>
        <v>West</v>
      </c>
      <c r="AK831" t="str">
        <f t="shared" si="171"/>
        <v>Goa</v>
      </c>
      <c r="AL831" t="str">
        <f t="shared" si="170"/>
        <v>Panaji</v>
      </c>
      <c r="AM831" t="str">
        <f t="shared" si="170"/>
        <v>Furniture</v>
      </c>
      <c r="AN831" t="str">
        <f t="shared" si="170"/>
        <v>Furnishings</v>
      </c>
      <c r="AO831" t="str">
        <f t="shared" si="169"/>
        <v>Second Class</v>
      </c>
      <c r="AP831" t="str">
        <f t="shared" si="159"/>
        <v>Paid</v>
      </c>
      <c r="AQ831" t="str">
        <f t="shared" si="159"/>
        <v>Completed</v>
      </c>
    </row>
    <row r="832" spans="1:43">
      <c r="A832" t="s">
        <v>2879</v>
      </c>
      <c r="B832" s="3">
        <v>45853</v>
      </c>
      <c r="C832" s="3" t="s">
        <v>612</v>
      </c>
      <c r="D832" t="s">
        <v>2880</v>
      </c>
      <c r="E832" t="s">
        <v>176</v>
      </c>
      <c r="F832" t="s">
        <v>122</v>
      </c>
      <c r="H832" t="s">
        <v>357</v>
      </c>
      <c r="I832" t="s">
        <v>358</v>
      </c>
      <c r="J832" t="s">
        <v>160</v>
      </c>
      <c r="K832" t="s">
        <v>385</v>
      </c>
      <c r="L832" t="s">
        <v>2881</v>
      </c>
      <c r="M832" t="s">
        <v>135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117</v>
      </c>
      <c r="U832" t="s">
        <v>118</v>
      </c>
      <c r="V832" s="2">
        <f t="shared" si="160"/>
        <v>0.1</v>
      </c>
      <c r="W832" s="2">
        <f t="shared" si="161"/>
        <v>12867.552000000001</v>
      </c>
      <c r="X832" s="2">
        <f>W832-R832</f>
        <v>2798.612000000001</v>
      </c>
      <c r="Y832" s="2">
        <f t="shared" si="162"/>
        <v>0.21749373929089236</v>
      </c>
      <c r="Z832" s="2" t="str">
        <f t="shared" si="163"/>
        <v/>
      </c>
      <c r="AA832" s="2">
        <f t="shared" si="164"/>
        <v>7</v>
      </c>
      <c r="AB832" s="2">
        <f t="shared" si="165"/>
        <v>2025</v>
      </c>
      <c r="AC832" s="2" t="str">
        <f t="shared" si="166"/>
        <v>Missing region</v>
      </c>
      <c r="AD832" s="2">
        <f t="shared" si="167"/>
        <v>0</v>
      </c>
      <c r="AE832" s="2">
        <f t="shared" si="168"/>
        <v>0</v>
      </c>
      <c r="AH832" t="str">
        <f t="shared" si="171"/>
        <v>Aditi Sen</v>
      </c>
      <c r="AI832" t="str">
        <f t="shared" si="171"/>
        <v>Small Business</v>
      </c>
      <c r="AJ832" t="s">
        <v>306</v>
      </c>
      <c r="AK832" t="str">
        <f t="shared" si="171"/>
        <v>Tamil Nadu</v>
      </c>
      <c r="AL832" t="str">
        <f t="shared" si="170"/>
        <v>Chennai</v>
      </c>
      <c r="AM832" t="str">
        <f t="shared" si="170"/>
        <v>Technology</v>
      </c>
      <c r="AN832" t="str">
        <f t="shared" si="170"/>
        <v>Machines</v>
      </c>
      <c r="AO832" t="str">
        <f t="shared" si="169"/>
        <v>First Class</v>
      </c>
      <c r="AP832" t="str">
        <f t="shared" ref="AP832:AQ895" si="172">PROPER(TRIM(T832))</f>
        <v>Paid</v>
      </c>
      <c r="AQ832" t="str">
        <f t="shared" si="172"/>
        <v>Completed</v>
      </c>
    </row>
    <row r="833" spans="1:43">
      <c r="A833" t="s">
        <v>2882</v>
      </c>
      <c r="B833" s="3">
        <v>45750</v>
      </c>
      <c r="C833" s="3">
        <v>45720</v>
      </c>
      <c r="D833" t="s">
        <v>2883</v>
      </c>
      <c r="E833" t="s">
        <v>256</v>
      </c>
      <c r="F833" t="s">
        <v>182</v>
      </c>
      <c r="H833" t="s">
        <v>344</v>
      </c>
      <c r="I833" t="s">
        <v>345</v>
      </c>
      <c r="J833" t="s">
        <v>126</v>
      </c>
      <c r="K833" t="s">
        <v>152</v>
      </c>
      <c r="L833" t="s">
        <v>2884</v>
      </c>
      <c r="M833" t="s">
        <v>135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248</v>
      </c>
      <c r="U833" t="s">
        <v>190</v>
      </c>
      <c r="V833" s="2">
        <f t="shared" si="160"/>
        <v>0.15</v>
      </c>
      <c r="W833" s="2">
        <f t="shared" si="161"/>
        <v>26489.654999999999</v>
      </c>
      <c r="X833" s="2">
        <f>W833-R833</f>
        <v>10671.195</v>
      </c>
      <c r="Y833" s="2">
        <f t="shared" si="162"/>
        <v>0.40284386489744772</v>
      </c>
      <c r="Z833" s="2">
        <f t="shared" si="163"/>
        <v>-30</v>
      </c>
      <c r="AA833" s="2">
        <f t="shared" si="164"/>
        <v>4</v>
      </c>
      <c r="AB833" s="2">
        <f t="shared" si="165"/>
        <v>2025</v>
      </c>
      <c r="AC833" s="2" t="str">
        <f t="shared" si="166"/>
        <v>Missing region</v>
      </c>
      <c r="AD833" s="2">
        <f t="shared" si="167"/>
        <v>0</v>
      </c>
      <c r="AE833" s="2">
        <f t="shared" si="168"/>
        <v>0</v>
      </c>
      <c r="AH833" t="str">
        <f t="shared" si="171"/>
        <v>Diya Patel</v>
      </c>
      <c r="AI833" t="str">
        <f t="shared" si="171"/>
        <v>Home Office</v>
      </c>
      <c r="AJ833" t="s">
        <v>306</v>
      </c>
      <c r="AK833" t="str">
        <f t="shared" si="171"/>
        <v>Haryana</v>
      </c>
      <c r="AL833" t="str">
        <f t="shared" si="170"/>
        <v>Gurugram</v>
      </c>
      <c r="AM833" t="str">
        <f t="shared" si="170"/>
        <v>Furniture</v>
      </c>
      <c r="AN833" t="str">
        <f t="shared" si="170"/>
        <v>Chairs</v>
      </c>
      <c r="AO833" t="str">
        <f t="shared" si="169"/>
        <v>First Class</v>
      </c>
      <c r="AP833" t="str">
        <f t="shared" si="172"/>
        <v>Failed</v>
      </c>
      <c r="AQ833" t="str">
        <f t="shared" si="172"/>
        <v>Returned</v>
      </c>
    </row>
    <row r="834" spans="1:43">
      <c r="A834" t="s">
        <v>2885</v>
      </c>
      <c r="B834" s="3">
        <v>45803</v>
      </c>
      <c r="C834" s="3" t="s">
        <v>2886</v>
      </c>
      <c r="D834" t="s">
        <v>2887</v>
      </c>
      <c r="E834" t="s">
        <v>375</v>
      </c>
      <c r="F834" t="s">
        <v>122</v>
      </c>
      <c r="G834" t="s">
        <v>140</v>
      </c>
      <c r="H834" t="s">
        <v>171</v>
      </c>
      <c r="I834" t="s">
        <v>172</v>
      </c>
      <c r="J834" t="s">
        <v>160</v>
      </c>
      <c r="K834" t="s">
        <v>266</v>
      </c>
      <c r="L834" t="s">
        <v>2888</v>
      </c>
      <c r="M834" t="s">
        <v>116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117</v>
      </c>
      <c r="U834" t="s">
        <v>118</v>
      </c>
      <c r="V834" s="2">
        <f t="shared" si="160"/>
        <v>0.05</v>
      </c>
      <c r="W834" s="2">
        <f t="shared" si="161"/>
        <v>36782.271000000008</v>
      </c>
      <c r="X834" s="2">
        <f>W834-R834</f>
        <v>10879.461000000007</v>
      </c>
      <c r="Y834" s="2">
        <f t="shared" si="162"/>
        <v>0.29578002402298664</v>
      </c>
      <c r="Z834" s="2" t="str">
        <f t="shared" si="163"/>
        <v/>
      </c>
      <c r="AA834" s="2">
        <f t="shared" si="164"/>
        <v>5</v>
      </c>
      <c r="AB834" s="2">
        <f t="shared" si="165"/>
        <v>2025</v>
      </c>
      <c r="AC834" s="2" t="str">
        <f t="shared" si="166"/>
        <v>Text Value Not Recognized as Date</v>
      </c>
      <c r="AD834" s="2">
        <f t="shared" si="167"/>
        <v>0</v>
      </c>
      <c r="AE834" s="2">
        <f t="shared" si="168"/>
        <v>0</v>
      </c>
      <c r="AH834" t="str">
        <f t="shared" si="171"/>
        <v>Kabir Singh</v>
      </c>
      <c r="AI834" t="str">
        <f t="shared" si="171"/>
        <v>Small Business</v>
      </c>
      <c r="AJ834" t="str">
        <f t="shared" si="171"/>
        <v>South</v>
      </c>
      <c r="AK834" t="str">
        <f t="shared" si="171"/>
        <v>Andhra Pradesh</v>
      </c>
      <c r="AL834" t="str">
        <f t="shared" si="170"/>
        <v>Vijayawada</v>
      </c>
      <c r="AM834" t="str">
        <f t="shared" si="170"/>
        <v>Technology</v>
      </c>
      <c r="AN834" t="str">
        <f t="shared" si="170"/>
        <v>Phones</v>
      </c>
      <c r="AO834" t="str">
        <f t="shared" si="169"/>
        <v>Second Class</v>
      </c>
      <c r="AP834" t="str">
        <f t="shared" si="172"/>
        <v>Paid</v>
      </c>
      <c r="AQ834" t="str">
        <f t="shared" si="172"/>
        <v>Completed</v>
      </c>
    </row>
    <row r="835" spans="1:43">
      <c r="A835" t="s">
        <v>2889</v>
      </c>
      <c r="B835" s="3">
        <v>45447</v>
      </c>
      <c r="C835" s="3">
        <v>45447</v>
      </c>
      <c r="D835" t="s">
        <v>2890</v>
      </c>
      <c r="E835" t="s">
        <v>207</v>
      </c>
      <c r="F835" t="s">
        <v>182</v>
      </c>
      <c r="G835" t="s">
        <v>123</v>
      </c>
      <c r="H835" t="s">
        <v>186</v>
      </c>
      <c r="I835" t="s">
        <v>187</v>
      </c>
      <c r="J835" t="s">
        <v>126</v>
      </c>
      <c r="K835" t="s">
        <v>252</v>
      </c>
      <c r="L835" t="s">
        <v>2891</v>
      </c>
      <c r="M835" t="s">
        <v>135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117</v>
      </c>
      <c r="U835" t="s">
        <v>118</v>
      </c>
      <c r="V835" s="2">
        <f t="shared" ref="V835:V898" si="173">IF(ISBLANK(P835), 0, P835)</f>
        <v>0</v>
      </c>
      <c r="W835" s="2">
        <f t="shared" ref="W835:W898" si="174">N835 * O835 * (1 - P835)</f>
        <v>23696.400000000001</v>
      </c>
      <c r="X835" s="2">
        <f>W835-R835</f>
        <v>5586.630000000001</v>
      </c>
      <c r="Y835" s="2">
        <f t="shared" ref="Y835:Y898" si="175">IFERROR(X835 / W835, 0)</f>
        <v>0.23575859624246723</v>
      </c>
      <c r="Z835" s="2">
        <f t="shared" ref="Z835:Z898" si="176">IF(OR(ISBLANK(B835), ISBLANK(C835), ISTEXT(B835), ISTEXT(C835)), "", C835 - B835)</f>
        <v>0</v>
      </c>
      <c r="AA835" s="2">
        <f t="shared" ref="AA835:AA898" si="177">MONTH(B835)</f>
        <v>6</v>
      </c>
      <c r="AB835" s="2">
        <f t="shared" ref="AB835:AB898" si="178">YEAR(B835)</f>
        <v>2024</v>
      </c>
      <c r="AC835" s="2" t="str">
        <f t="shared" ref="AC835:AC898" si="179">IF(COUNTIF(A:A, A835) &gt; 1, "Conflicting Duplicate Order ID",
 IF(OR(G835="Unknown", ISBLANK(G835)), "Missing region",
 IF(OR(M835="Unknown", ISBLANK(M835)), "Missing ship_mode",
 IF(OR(ISBLANK(B835), ISBLANK(C835)), "Missing Date",
 IF(OR(ISTEXT(B835), ISTEXT(C835)), "Text Value Not Recognized as Date",
 IF(C835 &lt; B835, "Invalid shipping record",
 IF(P835 &lt; 0, "Invalid",
 IF(P835 &gt; 0.7, "Invalid",
 "Valid"))))))))</f>
        <v>Valid</v>
      </c>
      <c r="AD835" s="2">
        <f t="shared" ref="AD835:AD898" si="180">IF(ABS(Q835 - W835) &gt; 0.01, 1, 0)</f>
        <v>0</v>
      </c>
      <c r="AE835" s="2">
        <f t="shared" ref="AE835:AE898" si="181">IF(ABS(S835 - X835) &gt; 0.01, 1, 0)</f>
        <v>0</v>
      </c>
      <c r="AH835" t="str">
        <f t="shared" si="171"/>
        <v>Rahul Verma</v>
      </c>
      <c r="AI835" t="str">
        <f t="shared" si="171"/>
        <v>Home Office</v>
      </c>
      <c r="AJ835" t="str">
        <f t="shared" si="171"/>
        <v>East</v>
      </c>
      <c r="AK835" t="str">
        <f t="shared" si="171"/>
        <v>West Bengal</v>
      </c>
      <c r="AL835" t="str">
        <f t="shared" si="170"/>
        <v>Kolkata</v>
      </c>
      <c r="AM835" t="str">
        <f t="shared" si="170"/>
        <v>Furniture</v>
      </c>
      <c r="AN835" t="str">
        <f t="shared" si="170"/>
        <v>Bookcases</v>
      </c>
      <c r="AO835" t="str">
        <f t="shared" ref="AO835:AO898" si="182">PROPER(TRIM(M835))</f>
        <v>First Class</v>
      </c>
      <c r="AP835" t="str">
        <f t="shared" si="172"/>
        <v>Paid</v>
      </c>
      <c r="AQ835" t="str">
        <f t="shared" si="172"/>
        <v>Completed</v>
      </c>
    </row>
    <row r="836" spans="1:43">
      <c r="A836" t="s">
        <v>2892</v>
      </c>
      <c r="B836" s="3" t="s">
        <v>274</v>
      </c>
      <c r="C836" s="3">
        <v>45587</v>
      </c>
      <c r="D836" t="s">
        <v>2893</v>
      </c>
      <c r="E836" t="s">
        <v>218</v>
      </c>
      <c r="F836" t="s">
        <v>182</v>
      </c>
      <c r="G836" t="s">
        <v>140</v>
      </c>
      <c r="H836" t="s">
        <v>141</v>
      </c>
      <c r="I836" t="s">
        <v>142</v>
      </c>
      <c r="J836" t="s">
        <v>113</v>
      </c>
      <c r="K836" t="s">
        <v>133</v>
      </c>
      <c r="L836" t="s">
        <v>2894</v>
      </c>
      <c r="M836" t="s">
        <v>135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117</v>
      </c>
      <c r="U836" t="s">
        <v>118</v>
      </c>
      <c r="V836" s="2">
        <f t="shared" si="173"/>
        <v>0</v>
      </c>
      <c r="W836" s="2">
        <f t="shared" si="174"/>
        <v>4047.66</v>
      </c>
      <c r="X836" s="2">
        <f>W836-R836</f>
        <v>968.73</v>
      </c>
      <c r="Y836" s="2">
        <f t="shared" si="175"/>
        <v>0.23933087265234729</v>
      </c>
      <c r="Z836" s="2" t="str">
        <f t="shared" si="176"/>
        <v/>
      </c>
      <c r="AA836" s="2" t="e">
        <f t="shared" si="177"/>
        <v>#VALUE!</v>
      </c>
      <c r="AB836" s="2" t="e">
        <f t="shared" si="178"/>
        <v>#VALUE!</v>
      </c>
      <c r="AC836" s="2" t="str">
        <f t="shared" si="179"/>
        <v>Text Value Not Recognized as Date</v>
      </c>
      <c r="AD836" s="2">
        <f t="shared" si="180"/>
        <v>0</v>
      </c>
      <c r="AE836" s="2">
        <f t="shared" si="181"/>
        <v>1</v>
      </c>
      <c r="AH836" t="str">
        <f t="shared" si="171"/>
        <v>Aarav Sharma</v>
      </c>
      <c r="AI836" t="str">
        <f t="shared" si="171"/>
        <v>Home Office</v>
      </c>
      <c r="AJ836" t="str">
        <f t="shared" si="171"/>
        <v>South</v>
      </c>
      <c r="AK836" t="str">
        <f t="shared" si="171"/>
        <v>Telangana</v>
      </c>
      <c r="AL836" t="str">
        <f t="shared" si="170"/>
        <v>Hyderabad</v>
      </c>
      <c r="AM836" t="str">
        <f t="shared" si="170"/>
        <v>Office Supplies</v>
      </c>
      <c r="AN836" t="str">
        <f t="shared" si="170"/>
        <v>Art</v>
      </c>
      <c r="AO836" t="str">
        <f t="shared" si="182"/>
        <v>First Class</v>
      </c>
      <c r="AP836" t="str">
        <f t="shared" si="172"/>
        <v>Paid</v>
      </c>
      <c r="AQ836" t="str">
        <f t="shared" si="172"/>
        <v>Completed</v>
      </c>
    </row>
    <row r="837" spans="1:43">
      <c r="A837" t="s">
        <v>2895</v>
      </c>
      <c r="B837" s="3">
        <v>45926</v>
      </c>
      <c r="C837" s="3">
        <v>45757</v>
      </c>
      <c r="D837" t="s">
        <v>2896</v>
      </c>
      <c r="E837" t="s">
        <v>203</v>
      </c>
      <c r="F837" t="s">
        <v>122</v>
      </c>
      <c r="G837" t="s">
        <v>123</v>
      </c>
      <c r="H837" t="s">
        <v>260</v>
      </c>
      <c r="I837" t="s">
        <v>261</v>
      </c>
      <c r="J837" t="s">
        <v>160</v>
      </c>
      <c r="K837" t="s">
        <v>266</v>
      </c>
      <c r="L837" t="s">
        <v>2897</v>
      </c>
      <c r="M837" t="s">
        <v>116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117</v>
      </c>
      <c r="U837" t="s">
        <v>118</v>
      </c>
      <c r="V837" s="2">
        <f t="shared" si="173"/>
        <v>0.05</v>
      </c>
      <c r="W837" s="2">
        <f t="shared" si="174"/>
        <v>10038.773499999999</v>
      </c>
      <c r="X837" s="2">
        <f>W837-R837</f>
        <v>4365.673499999999</v>
      </c>
      <c r="Y837" s="2">
        <f t="shared" si="175"/>
        <v>0.43488116352062323</v>
      </c>
      <c r="Z837" s="2">
        <f t="shared" si="176"/>
        <v>-169</v>
      </c>
      <c r="AA837" s="2">
        <f t="shared" si="177"/>
        <v>9</v>
      </c>
      <c r="AB837" s="2">
        <f t="shared" si="178"/>
        <v>2025</v>
      </c>
      <c r="AC837" s="2" t="str">
        <f t="shared" si="179"/>
        <v>Invalid shipping record</v>
      </c>
      <c r="AD837" s="2">
        <f t="shared" si="180"/>
        <v>0</v>
      </c>
      <c r="AE837" s="2">
        <f t="shared" si="181"/>
        <v>0</v>
      </c>
      <c r="AH837" t="str">
        <f t="shared" si="171"/>
        <v>Priya Menon</v>
      </c>
      <c r="AI837" t="str">
        <f t="shared" si="171"/>
        <v>Small Business</v>
      </c>
      <c r="AJ837" t="str">
        <f t="shared" si="171"/>
        <v>East</v>
      </c>
      <c r="AK837" t="str">
        <f t="shared" si="171"/>
        <v>Assam</v>
      </c>
      <c r="AL837" t="str">
        <f t="shared" si="170"/>
        <v>Guwahati</v>
      </c>
      <c r="AM837" t="str">
        <f t="shared" si="170"/>
        <v>Technology</v>
      </c>
      <c r="AN837" t="str">
        <f t="shared" si="170"/>
        <v>Phones</v>
      </c>
      <c r="AO837" t="str">
        <f t="shared" si="182"/>
        <v>Second Class</v>
      </c>
      <c r="AP837" t="str">
        <f t="shared" si="172"/>
        <v>Paid</v>
      </c>
      <c r="AQ837" t="str">
        <f t="shared" si="172"/>
        <v>Completed</v>
      </c>
    </row>
    <row r="838" spans="1:43">
      <c r="A838" t="s">
        <v>2898</v>
      </c>
      <c r="B838" s="3">
        <v>45641</v>
      </c>
      <c r="C838" s="3">
        <v>45644</v>
      </c>
      <c r="D838" t="s">
        <v>2899</v>
      </c>
      <c r="E838" t="s">
        <v>132</v>
      </c>
      <c r="F838" t="s">
        <v>122</v>
      </c>
      <c r="G838" t="s">
        <v>110</v>
      </c>
      <c r="H838" t="s">
        <v>111</v>
      </c>
      <c r="I838" t="s">
        <v>112</v>
      </c>
      <c r="J838" t="s">
        <v>113</v>
      </c>
      <c r="K838" t="s">
        <v>178</v>
      </c>
      <c r="L838" t="s">
        <v>2900</v>
      </c>
      <c r="M838" t="s">
        <v>116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117</v>
      </c>
      <c r="U838" t="s">
        <v>118</v>
      </c>
      <c r="V838" s="2">
        <f t="shared" si="173"/>
        <v>0</v>
      </c>
      <c r="W838" s="2">
        <f t="shared" si="174"/>
        <v>1074.22</v>
      </c>
      <c r="X838" s="2">
        <f>W838-R838</f>
        <v>223.36</v>
      </c>
      <c r="Y838" s="2">
        <f t="shared" si="175"/>
        <v>0.20792761259332354</v>
      </c>
      <c r="Z838" s="2">
        <f t="shared" si="176"/>
        <v>3</v>
      </c>
      <c r="AA838" s="2">
        <f t="shared" si="177"/>
        <v>12</v>
      </c>
      <c r="AB838" s="2">
        <f t="shared" si="178"/>
        <v>2024</v>
      </c>
      <c r="AC838" s="2" t="str">
        <f t="shared" si="179"/>
        <v>Valid</v>
      </c>
      <c r="AD838" s="2">
        <f t="shared" si="180"/>
        <v>0</v>
      </c>
      <c r="AE838" s="2">
        <f t="shared" si="181"/>
        <v>0</v>
      </c>
      <c r="AH838" t="str">
        <f t="shared" si="171"/>
        <v>Isha Nair</v>
      </c>
      <c r="AI838" t="str">
        <f t="shared" si="171"/>
        <v>Small Business</v>
      </c>
      <c r="AJ838" t="str">
        <f t="shared" si="171"/>
        <v>North</v>
      </c>
      <c r="AK838" t="str">
        <f t="shared" si="171"/>
        <v>Rajasthan</v>
      </c>
      <c r="AL838" t="str">
        <f t="shared" si="170"/>
        <v>Jaipur</v>
      </c>
      <c r="AM838" t="str">
        <f t="shared" si="170"/>
        <v>Office Supplies</v>
      </c>
      <c r="AN838" t="str">
        <f t="shared" si="170"/>
        <v>Labels</v>
      </c>
      <c r="AO838" t="str">
        <f t="shared" si="182"/>
        <v>Second Class</v>
      </c>
      <c r="AP838" t="str">
        <f t="shared" si="172"/>
        <v>Paid</v>
      </c>
      <c r="AQ838" t="str">
        <f t="shared" si="172"/>
        <v>Completed</v>
      </c>
    </row>
    <row r="839" spans="1:43">
      <c r="A839" t="s">
        <v>2901</v>
      </c>
      <c r="B839" s="3">
        <v>45927</v>
      </c>
      <c r="C839" s="3">
        <v>45928</v>
      </c>
      <c r="D839" t="s">
        <v>2902</v>
      </c>
      <c r="E839" t="s">
        <v>108</v>
      </c>
      <c r="F839" t="s">
        <v>182</v>
      </c>
      <c r="G839" t="s">
        <v>149</v>
      </c>
      <c r="H839" t="s">
        <v>150</v>
      </c>
      <c r="I839" t="s">
        <v>151</v>
      </c>
      <c r="J839" t="s">
        <v>113</v>
      </c>
      <c r="K839" t="s">
        <v>114</v>
      </c>
      <c r="L839" t="s">
        <v>2903</v>
      </c>
      <c r="M839" t="s">
        <v>135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117</v>
      </c>
      <c r="U839" t="s">
        <v>118</v>
      </c>
      <c r="V839" s="2">
        <f t="shared" si="173"/>
        <v>0.25</v>
      </c>
      <c r="W839" s="2">
        <f t="shared" si="174"/>
        <v>9399.6674999999996</v>
      </c>
      <c r="X839" s="2">
        <f>W839-R839</f>
        <v>2859.2974999999997</v>
      </c>
      <c r="Y839" s="2">
        <f t="shared" si="175"/>
        <v>0.30419134506619516</v>
      </c>
      <c r="Z839" s="2">
        <f t="shared" si="176"/>
        <v>1</v>
      </c>
      <c r="AA839" s="2">
        <f t="shared" si="177"/>
        <v>9</v>
      </c>
      <c r="AB839" s="2">
        <f t="shared" si="178"/>
        <v>2025</v>
      </c>
      <c r="AC839" s="2" t="str">
        <f t="shared" si="179"/>
        <v>Valid</v>
      </c>
      <c r="AD839" s="2">
        <f t="shared" si="180"/>
        <v>0</v>
      </c>
      <c r="AE839" s="2">
        <f t="shared" si="181"/>
        <v>0</v>
      </c>
      <c r="AH839" t="str">
        <f t="shared" si="171"/>
        <v>Karan Malhotra</v>
      </c>
      <c r="AI839" t="str">
        <f t="shared" si="171"/>
        <v>Home Office</v>
      </c>
      <c r="AJ839" t="str">
        <f t="shared" si="171"/>
        <v>West</v>
      </c>
      <c r="AK839" t="str">
        <f t="shared" si="171"/>
        <v>Maharashtra</v>
      </c>
      <c r="AL839" t="str">
        <f t="shared" si="170"/>
        <v>Mumbai</v>
      </c>
      <c r="AM839" t="str">
        <f t="shared" si="170"/>
        <v>Office Supplies</v>
      </c>
      <c r="AN839" t="str">
        <f t="shared" si="170"/>
        <v>Paper</v>
      </c>
      <c r="AO839" t="str">
        <f t="shared" si="182"/>
        <v>First Class</v>
      </c>
      <c r="AP839" t="str">
        <f t="shared" si="172"/>
        <v>Paid</v>
      </c>
      <c r="AQ839" t="str">
        <f t="shared" si="172"/>
        <v>Completed</v>
      </c>
    </row>
    <row r="840" spans="1:43">
      <c r="A840" t="s">
        <v>2904</v>
      </c>
      <c r="B840" s="3">
        <v>45750</v>
      </c>
      <c r="C840" s="3">
        <v>45754</v>
      </c>
      <c r="D840" t="s">
        <v>2905</v>
      </c>
      <c r="E840" t="s">
        <v>148</v>
      </c>
      <c r="F840" t="s">
        <v>122</v>
      </c>
      <c r="G840" t="s">
        <v>149</v>
      </c>
      <c r="H840" t="s">
        <v>287</v>
      </c>
      <c r="I840" t="s">
        <v>288</v>
      </c>
      <c r="J840" t="s">
        <v>113</v>
      </c>
      <c r="K840" t="s">
        <v>114</v>
      </c>
      <c r="L840" t="s">
        <v>2906</v>
      </c>
      <c r="M840" t="s">
        <v>129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117</v>
      </c>
      <c r="U840" t="s">
        <v>190</v>
      </c>
      <c r="V840" s="2">
        <f t="shared" si="173"/>
        <v>0</v>
      </c>
      <c r="W840" s="2">
        <f t="shared" si="174"/>
        <v>1470.57</v>
      </c>
      <c r="X840" s="2">
        <f>W840-R840</f>
        <v>636.54999999999995</v>
      </c>
      <c r="Y840" s="2">
        <f t="shared" si="175"/>
        <v>0.43285936745615644</v>
      </c>
      <c r="Z840" s="2">
        <f t="shared" si="176"/>
        <v>4</v>
      </c>
      <c r="AA840" s="2">
        <f t="shared" si="177"/>
        <v>4</v>
      </c>
      <c r="AB840" s="2">
        <f t="shared" si="178"/>
        <v>2025</v>
      </c>
      <c r="AC840" s="2" t="str">
        <f t="shared" si="179"/>
        <v>Valid</v>
      </c>
      <c r="AD840" s="2">
        <f t="shared" si="180"/>
        <v>0</v>
      </c>
      <c r="AE840" s="2">
        <f t="shared" si="181"/>
        <v>0</v>
      </c>
      <c r="AH840" t="str">
        <f t="shared" si="171"/>
        <v>Ananya Rao</v>
      </c>
      <c r="AI840" t="str">
        <f t="shared" si="171"/>
        <v>Small Business</v>
      </c>
      <c r="AJ840" t="str">
        <f t="shared" si="171"/>
        <v>West</v>
      </c>
      <c r="AK840" t="str">
        <f t="shared" si="171"/>
        <v>Goa</v>
      </c>
      <c r="AL840" t="str">
        <f t="shared" si="170"/>
        <v>Panaji</v>
      </c>
      <c r="AM840" t="str">
        <f t="shared" si="170"/>
        <v>Office Supplies</v>
      </c>
      <c r="AN840" t="str">
        <f t="shared" si="170"/>
        <v>Paper</v>
      </c>
      <c r="AO840" t="str">
        <f t="shared" si="182"/>
        <v>Same Day</v>
      </c>
      <c r="AP840" t="str">
        <f t="shared" si="172"/>
        <v>Paid</v>
      </c>
      <c r="AQ840" t="str">
        <f t="shared" si="172"/>
        <v>Returned</v>
      </c>
    </row>
    <row r="841" spans="1:43">
      <c r="A841" t="s">
        <v>2907</v>
      </c>
      <c r="B841" s="3">
        <v>45555</v>
      </c>
      <c r="C841" s="3" t="s">
        <v>2908</v>
      </c>
      <c r="D841" t="s">
        <v>2909</v>
      </c>
      <c r="E841" t="s">
        <v>232</v>
      </c>
      <c r="F841" t="s">
        <v>182</v>
      </c>
      <c r="G841" t="s">
        <v>123</v>
      </c>
      <c r="H841" t="s">
        <v>124</v>
      </c>
      <c r="I841" t="s">
        <v>125</v>
      </c>
      <c r="J841" t="s">
        <v>160</v>
      </c>
      <c r="K841" t="s">
        <v>266</v>
      </c>
      <c r="L841" t="s">
        <v>2910</v>
      </c>
      <c r="M841" t="s">
        <v>145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117</v>
      </c>
      <c r="U841" t="s">
        <v>118</v>
      </c>
      <c r="V841" s="2">
        <f t="shared" si="173"/>
        <v>0.1</v>
      </c>
      <c r="W841" s="2">
        <f t="shared" si="174"/>
        <v>3826.2959999999998</v>
      </c>
      <c r="X841" s="2">
        <f>W841-R841</f>
        <v>1632.1759999999999</v>
      </c>
      <c r="Y841" s="2">
        <f t="shared" si="175"/>
        <v>0.42656814841298218</v>
      </c>
      <c r="Z841" s="2" t="str">
        <f t="shared" si="176"/>
        <v/>
      </c>
      <c r="AA841" s="2">
        <f t="shared" si="177"/>
        <v>9</v>
      </c>
      <c r="AB841" s="2">
        <f t="shared" si="178"/>
        <v>2024</v>
      </c>
      <c r="AC841" s="2" t="str">
        <f t="shared" si="179"/>
        <v>Text Value Not Recognized as Date</v>
      </c>
      <c r="AD841" s="2">
        <f t="shared" si="180"/>
        <v>0</v>
      </c>
      <c r="AE841" s="2">
        <f t="shared" si="181"/>
        <v>0</v>
      </c>
      <c r="AH841" t="str">
        <f t="shared" si="171"/>
        <v>Rohan Mehta</v>
      </c>
      <c r="AI841" t="str">
        <f t="shared" si="171"/>
        <v>Home Office</v>
      </c>
      <c r="AJ841" t="str">
        <f t="shared" si="171"/>
        <v>East</v>
      </c>
      <c r="AK841" t="str">
        <f t="shared" si="171"/>
        <v>Odisha</v>
      </c>
      <c r="AL841" t="str">
        <f t="shared" si="170"/>
        <v>Bhubaneswar</v>
      </c>
      <c r="AM841" t="str">
        <f t="shared" si="170"/>
        <v>Technology</v>
      </c>
      <c r="AN841" t="str">
        <f t="shared" si="170"/>
        <v>Phones</v>
      </c>
      <c r="AO841" t="str">
        <f t="shared" si="182"/>
        <v>Standard Class</v>
      </c>
      <c r="AP841" t="str">
        <f t="shared" si="172"/>
        <v>Paid</v>
      </c>
      <c r="AQ841" t="str">
        <f t="shared" si="172"/>
        <v>Completed</v>
      </c>
    </row>
    <row r="842" spans="1:43">
      <c r="A842" t="s">
        <v>2911</v>
      </c>
      <c r="B842" s="3">
        <v>45919</v>
      </c>
      <c r="C842" s="3" t="s">
        <v>1666</v>
      </c>
      <c r="D842" t="s">
        <v>2912</v>
      </c>
      <c r="E842" t="s">
        <v>165</v>
      </c>
      <c r="F842" t="s">
        <v>182</v>
      </c>
      <c r="G842" t="s">
        <v>110</v>
      </c>
      <c r="H842" t="s">
        <v>465</v>
      </c>
      <c r="I842" t="s">
        <v>466</v>
      </c>
      <c r="J842" t="s">
        <v>126</v>
      </c>
      <c r="K842" t="s">
        <v>152</v>
      </c>
      <c r="L842" t="s">
        <v>2913</v>
      </c>
      <c r="M842" t="s">
        <v>129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117</v>
      </c>
      <c r="U842" t="s">
        <v>118</v>
      </c>
      <c r="V842" s="2">
        <f t="shared" si="173"/>
        <v>0</v>
      </c>
      <c r="W842" s="2">
        <f t="shared" si="174"/>
        <v>6336.44</v>
      </c>
      <c r="X842" s="2">
        <f>W842-R842</f>
        <v>1655.7599999999993</v>
      </c>
      <c r="Y842" s="2">
        <f t="shared" si="175"/>
        <v>0.26130761121386764</v>
      </c>
      <c r="Z842" s="2" t="str">
        <f t="shared" si="176"/>
        <v/>
      </c>
      <c r="AA842" s="2">
        <f t="shared" si="177"/>
        <v>9</v>
      </c>
      <c r="AB842" s="2">
        <f t="shared" si="178"/>
        <v>2025</v>
      </c>
      <c r="AC842" s="2" t="str">
        <f t="shared" si="179"/>
        <v>Text Value Not Recognized as Date</v>
      </c>
      <c r="AD842" s="2">
        <f t="shared" si="180"/>
        <v>0</v>
      </c>
      <c r="AE842" s="2">
        <f t="shared" si="181"/>
        <v>0</v>
      </c>
      <c r="AH842" t="str">
        <f t="shared" si="171"/>
        <v>Neha Gupta</v>
      </c>
      <c r="AI842" t="str">
        <f t="shared" si="171"/>
        <v>Home Office</v>
      </c>
      <c r="AJ842" t="str">
        <f t="shared" si="171"/>
        <v>North</v>
      </c>
      <c r="AK842" t="str">
        <f t="shared" si="171"/>
        <v>Delhi</v>
      </c>
      <c r="AL842" t="str">
        <f t="shared" si="170"/>
        <v>New Delhi</v>
      </c>
      <c r="AM842" t="str">
        <f t="shared" si="170"/>
        <v>Furniture</v>
      </c>
      <c r="AN842" t="str">
        <f t="shared" si="170"/>
        <v>Chairs</v>
      </c>
      <c r="AO842" t="str">
        <f t="shared" si="182"/>
        <v>Same Day</v>
      </c>
      <c r="AP842" t="str">
        <f t="shared" si="172"/>
        <v>Paid</v>
      </c>
      <c r="AQ842" t="str">
        <f t="shared" si="172"/>
        <v>Completed</v>
      </c>
    </row>
    <row r="843" spans="1:43">
      <c r="A843" t="s">
        <v>2914</v>
      </c>
      <c r="B843" s="3">
        <v>45694</v>
      </c>
      <c r="C843" s="3">
        <v>45700</v>
      </c>
      <c r="D843" t="s">
        <v>2915</v>
      </c>
      <c r="E843" t="s">
        <v>148</v>
      </c>
      <c r="F843" t="s">
        <v>122</v>
      </c>
      <c r="G843" t="s">
        <v>123</v>
      </c>
      <c r="H843" t="s">
        <v>237</v>
      </c>
      <c r="I843" t="s">
        <v>238</v>
      </c>
      <c r="J843" t="s">
        <v>113</v>
      </c>
      <c r="K843" t="s">
        <v>133</v>
      </c>
      <c r="L843" t="s">
        <v>2916</v>
      </c>
      <c r="M843" t="s">
        <v>145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117</v>
      </c>
      <c r="U843" t="s">
        <v>118</v>
      </c>
      <c r="V843" s="2">
        <f t="shared" si="173"/>
        <v>0.25</v>
      </c>
      <c r="W843" s="2">
        <f t="shared" si="174"/>
        <v>21850.829999999998</v>
      </c>
      <c r="X843" s="2">
        <f>W843-R843</f>
        <v>5250.6999999999971</v>
      </c>
      <c r="Y843" s="2">
        <f t="shared" si="175"/>
        <v>0.2402975081495759</v>
      </c>
      <c r="Z843" s="2">
        <f t="shared" si="176"/>
        <v>6</v>
      </c>
      <c r="AA843" s="2">
        <f t="shared" si="177"/>
        <v>2</v>
      </c>
      <c r="AB843" s="2">
        <f t="shared" si="178"/>
        <v>2025</v>
      </c>
      <c r="AC843" s="2" t="str">
        <f t="shared" si="179"/>
        <v>Valid</v>
      </c>
      <c r="AD843" s="2">
        <f t="shared" si="180"/>
        <v>0</v>
      </c>
      <c r="AE843" s="2">
        <f t="shared" si="181"/>
        <v>0</v>
      </c>
      <c r="AH843" t="str">
        <f t="shared" si="171"/>
        <v>Ananya Rao</v>
      </c>
      <c r="AI843" t="str">
        <f t="shared" si="171"/>
        <v>Small Business</v>
      </c>
      <c r="AJ843" t="str">
        <f t="shared" si="171"/>
        <v>East</v>
      </c>
      <c r="AK843" t="str">
        <f t="shared" si="171"/>
        <v>Bihar</v>
      </c>
      <c r="AL843" t="str">
        <f t="shared" si="170"/>
        <v>Patna</v>
      </c>
      <c r="AM843" t="str">
        <f t="shared" si="170"/>
        <v>Office Supplies</v>
      </c>
      <c r="AN843" t="str">
        <f t="shared" si="170"/>
        <v>Art</v>
      </c>
      <c r="AO843" t="str">
        <f t="shared" si="182"/>
        <v>Standard Class</v>
      </c>
      <c r="AP843" t="str">
        <f t="shared" si="172"/>
        <v>Paid</v>
      </c>
      <c r="AQ843" t="str">
        <f t="shared" si="172"/>
        <v>Completed</v>
      </c>
    </row>
    <row r="844" spans="1:43">
      <c r="A844" t="s">
        <v>2917</v>
      </c>
      <c r="B844" s="3" t="s">
        <v>2918</v>
      </c>
      <c r="C844" s="3">
        <v>45381</v>
      </c>
      <c r="D844" t="s">
        <v>2919</v>
      </c>
      <c r="E844" t="s">
        <v>2920</v>
      </c>
      <c r="F844" t="s">
        <v>109</v>
      </c>
      <c r="G844" t="s">
        <v>110</v>
      </c>
      <c r="H844" t="s">
        <v>344</v>
      </c>
      <c r="I844" t="s">
        <v>345</v>
      </c>
      <c r="J844" t="s">
        <v>160</v>
      </c>
      <c r="K844" t="s">
        <v>385</v>
      </c>
      <c r="L844" t="s">
        <v>2921</v>
      </c>
      <c r="M844" t="s">
        <v>135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117</v>
      </c>
      <c r="U844" t="s">
        <v>190</v>
      </c>
      <c r="V844" s="2">
        <f t="shared" si="173"/>
        <v>0.15</v>
      </c>
      <c r="W844" s="2">
        <f t="shared" si="174"/>
        <v>7453.0719999999992</v>
      </c>
      <c r="X844" s="2">
        <f>W844-R844</f>
        <v>2319.2919999999995</v>
      </c>
      <c r="Y844" s="2">
        <f t="shared" si="175"/>
        <v>0.31118604516365866</v>
      </c>
      <c r="Z844" s="2" t="str">
        <f t="shared" si="176"/>
        <v/>
      </c>
      <c r="AA844" s="2" t="e">
        <f t="shared" si="177"/>
        <v>#VALUE!</v>
      </c>
      <c r="AB844" s="2" t="e">
        <f t="shared" si="178"/>
        <v>#VALUE!</v>
      </c>
      <c r="AC844" s="2" t="str">
        <f t="shared" si="179"/>
        <v>Text Value Not Recognized as Date</v>
      </c>
      <c r="AD844" s="2">
        <f t="shared" si="180"/>
        <v>0</v>
      </c>
      <c r="AE844" s="2">
        <f t="shared" si="181"/>
        <v>0</v>
      </c>
      <c r="AH844" t="str">
        <f t="shared" si="171"/>
        <v>Kabir Singh</v>
      </c>
      <c r="AI844" t="str">
        <f t="shared" si="171"/>
        <v>Consumer</v>
      </c>
      <c r="AJ844" t="str">
        <f t="shared" si="171"/>
        <v>North</v>
      </c>
      <c r="AK844" t="str">
        <f t="shared" si="171"/>
        <v>Haryana</v>
      </c>
      <c r="AL844" t="str">
        <f t="shared" si="170"/>
        <v>Gurugram</v>
      </c>
      <c r="AM844" t="str">
        <f t="shared" si="170"/>
        <v>Technology</v>
      </c>
      <c r="AN844" t="str">
        <f t="shared" si="170"/>
        <v>Machines</v>
      </c>
      <c r="AO844" t="str">
        <f t="shared" si="182"/>
        <v>First Class</v>
      </c>
      <c r="AP844" t="str">
        <f t="shared" si="172"/>
        <v>Paid</v>
      </c>
      <c r="AQ844" t="str">
        <f t="shared" si="172"/>
        <v>Returned</v>
      </c>
    </row>
    <row r="845" spans="1:43">
      <c r="A845" t="s">
        <v>2922</v>
      </c>
      <c r="B845" s="3">
        <v>45856</v>
      </c>
      <c r="C845" s="3">
        <v>45863</v>
      </c>
      <c r="D845" t="s">
        <v>2923</v>
      </c>
      <c r="E845" t="s">
        <v>203</v>
      </c>
      <c r="F845" t="s">
        <v>122</v>
      </c>
      <c r="G845" t="s">
        <v>110</v>
      </c>
      <c r="H845" t="s">
        <v>227</v>
      </c>
      <c r="I845" t="s">
        <v>228</v>
      </c>
      <c r="J845" t="s">
        <v>160</v>
      </c>
      <c r="K845" t="s">
        <v>266</v>
      </c>
      <c r="L845" t="s">
        <v>2924</v>
      </c>
      <c r="M845" t="s">
        <v>135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117</v>
      </c>
      <c r="U845" t="s">
        <v>118</v>
      </c>
      <c r="V845" s="2">
        <f t="shared" si="173"/>
        <v>-0.02</v>
      </c>
      <c r="W845" s="2">
        <f t="shared" si="174"/>
        <v>36623.793600000005</v>
      </c>
      <c r="X845" s="2">
        <f>W845-R845</f>
        <v>12707.693600000006</v>
      </c>
      <c r="Y845" s="2">
        <f t="shared" si="175"/>
        <v>0.34697917257812433</v>
      </c>
      <c r="Z845" s="2">
        <f t="shared" si="176"/>
        <v>7</v>
      </c>
      <c r="AA845" s="2">
        <f t="shared" si="177"/>
        <v>7</v>
      </c>
      <c r="AB845" s="2">
        <f t="shared" si="178"/>
        <v>2025</v>
      </c>
      <c r="AC845" s="2" t="str">
        <f t="shared" si="179"/>
        <v>Invalid</v>
      </c>
      <c r="AD845" s="2">
        <f t="shared" si="180"/>
        <v>1</v>
      </c>
      <c r="AE845" s="2">
        <f t="shared" si="181"/>
        <v>1</v>
      </c>
      <c r="AH845" t="str">
        <f t="shared" si="171"/>
        <v>Priya Menon</v>
      </c>
      <c r="AI845" t="str">
        <f t="shared" si="171"/>
        <v>Small Business</v>
      </c>
      <c r="AJ845" t="str">
        <f t="shared" si="171"/>
        <v>North</v>
      </c>
      <c r="AK845" t="str">
        <f t="shared" si="171"/>
        <v>Uttar Pradesh</v>
      </c>
      <c r="AL845" t="str">
        <f t="shared" si="170"/>
        <v>Noida</v>
      </c>
      <c r="AM845" t="str">
        <f t="shared" si="170"/>
        <v>Technology</v>
      </c>
      <c r="AN845" t="str">
        <f t="shared" si="170"/>
        <v>Phones</v>
      </c>
      <c r="AO845" t="str">
        <f t="shared" si="182"/>
        <v>First Class</v>
      </c>
      <c r="AP845" t="str">
        <f t="shared" si="172"/>
        <v>Paid</v>
      </c>
      <c r="AQ845" t="str">
        <f t="shared" si="172"/>
        <v>Completed</v>
      </c>
    </row>
    <row r="846" spans="1:43">
      <c r="A846" t="s">
        <v>2925</v>
      </c>
      <c r="B846" s="3" t="s">
        <v>2926</v>
      </c>
      <c r="C846" s="3" t="s">
        <v>2927</v>
      </c>
      <c r="D846" t="s">
        <v>2928</v>
      </c>
      <c r="E846" t="s">
        <v>176</v>
      </c>
      <c r="F846" t="s">
        <v>182</v>
      </c>
      <c r="G846" t="s">
        <v>149</v>
      </c>
      <c r="H846" t="s">
        <v>287</v>
      </c>
      <c r="I846" t="s">
        <v>288</v>
      </c>
      <c r="J846" t="s">
        <v>113</v>
      </c>
      <c r="K846" t="s">
        <v>133</v>
      </c>
      <c r="L846" t="s">
        <v>2929</v>
      </c>
      <c r="M846" t="s">
        <v>135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117</v>
      </c>
      <c r="U846" t="s">
        <v>118</v>
      </c>
      <c r="V846" s="2">
        <f t="shared" si="173"/>
        <v>0</v>
      </c>
      <c r="W846" s="2">
        <f t="shared" si="174"/>
        <v>3515.15</v>
      </c>
      <c r="X846" s="2">
        <f>W846-R846</f>
        <v>1298.81</v>
      </c>
      <c r="Y846" s="2">
        <f t="shared" si="175"/>
        <v>0.36948921098672882</v>
      </c>
      <c r="Z846" s="2" t="str">
        <f t="shared" si="176"/>
        <v/>
      </c>
      <c r="AA846" s="2" t="e">
        <f t="shared" si="177"/>
        <v>#VALUE!</v>
      </c>
      <c r="AB846" s="2" t="e">
        <f t="shared" si="178"/>
        <v>#VALUE!</v>
      </c>
      <c r="AC846" s="2" t="str">
        <f t="shared" si="179"/>
        <v>Text Value Not Recognized as Date</v>
      </c>
      <c r="AD846" s="2">
        <f t="shared" si="180"/>
        <v>0</v>
      </c>
      <c r="AE846" s="2">
        <f t="shared" si="181"/>
        <v>0</v>
      </c>
      <c r="AH846" t="str">
        <f t="shared" si="171"/>
        <v>Aditi Sen</v>
      </c>
      <c r="AI846" t="str">
        <f t="shared" si="171"/>
        <v>Home Office</v>
      </c>
      <c r="AJ846" t="str">
        <f t="shared" si="171"/>
        <v>West</v>
      </c>
      <c r="AK846" t="str">
        <f t="shared" si="171"/>
        <v>Goa</v>
      </c>
      <c r="AL846" t="str">
        <f t="shared" si="170"/>
        <v>Panaji</v>
      </c>
      <c r="AM846" t="str">
        <f t="shared" si="170"/>
        <v>Office Supplies</v>
      </c>
      <c r="AN846" t="str">
        <f t="shared" si="170"/>
        <v>Art</v>
      </c>
      <c r="AO846" t="str">
        <f t="shared" si="182"/>
        <v>First Class</v>
      </c>
      <c r="AP846" t="str">
        <f t="shared" si="172"/>
        <v>Paid</v>
      </c>
      <c r="AQ846" t="str">
        <f t="shared" si="172"/>
        <v>Completed</v>
      </c>
    </row>
    <row r="847" spans="1:43">
      <c r="A847" t="s">
        <v>2930</v>
      </c>
      <c r="B847" s="3" t="s">
        <v>2084</v>
      </c>
      <c r="C847" s="3">
        <v>45349</v>
      </c>
      <c r="D847" t="s">
        <v>734</v>
      </c>
      <c r="E847" t="s">
        <v>108</v>
      </c>
      <c r="F847" t="s">
        <v>109</v>
      </c>
      <c r="G847" t="s">
        <v>123</v>
      </c>
      <c r="H847" t="s">
        <v>124</v>
      </c>
      <c r="I847" t="s">
        <v>125</v>
      </c>
      <c r="J847" t="s">
        <v>126</v>
      </c>
      <c r="K847" t="s">
        <v>127</v>
      </c>
      <c r="L847" t="s">
        <v>2931</v>
      </c>
      <c r="M847" t="s">
        <v>135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199</v>
      </c>
      <c r="U847" t="s">
        <v>190</v>
      </c>
      <c r="V847" s="2">
        <f t="shared" si="173"/>
        <v>0.25</v>
      </c>
      <c r="W847" s="2">
        <f t="shared" si="174"/>
        <v>24409.552499999998</v>
      </c>
      <c r="X847" s="2">
        <f>W847-R847</f>
        <v>7251.9724999999962</v>
      </c>
      <c r="Y847" s="2">
        <f t="shared" si="175"/>
        <v>0.29709567596538267</v>
      </c>
      <c r="Z847" s="2" t="str">
        <f t="shared" si="176"/>
        <v/>
      </c>
      <c r="AA847" s="2" t="e">
        <f t="shared" si="177"/>
        <v>#VALUE!</v>
      </c>
      <c r="AB847" s="2" t="e">
        <f t="shared" si="178"/>
        <v>#VALUE!</v>
      </c>
      <c r="AC847" s="2" t="str">
        <f t="shared" si="179"/>
        <v>Text Value Not Recognized as Date</v>
      </c>
      <c r="AD847" s="2">
        <f t="shared" si="180"/>
        <v>0</v>
      </c>
      <c r="AE847" s="2">
        <f t="shared" si="181"/>
        <v>0</v>
      </c>
      <c r="AH847" t="str">
        <f t="shared" si="171"/>
        <v>Karan Malhotra</v>
      </c>
      <c r="AI847" t="str">
        <f t="shared" si="171"/>
        <v>Consumer</v>
      </c>
      <c r="AJ847" t="str">
        <f t="shared" si="171"/>
        <v>East</v>
      </c>
      <c r="AK847" t="str">
        <f t="shared" si="171"/>
        <v>Odisha</v>
      </c>
      <c r="AL847" t="str">
        <f t="shared" si="170"/>
        <v>Bhubaneswar</v>
      </c>
      <c r="AM847" t="str">
        <f t="shared" si="170"/>
        <v>Furniture</v>
      </c>
      <c r="AN847" t="str">
        <f t="shared" si="170"/>
        <v>Tables</v>
      </c>
      <c r="AO847" t="str">
        <f t="shared" si="182"/>
        <v>First Class</v>
      </c>
      <c r="AP847" t="str">
        <f t="shared" si="172"/>
        <v>Pending</v>
      </c>
      <c r="AQ847" t="str">
        <f t="shared" si="172"/>
        <v>Returned</v>
      </c>
    </row>
    <row r="848" spans="1:43">
      <c r="A848" t="s">
        <v>2932</v>
      </c>
      <c r="B848" s="3">
        <v>45396</v>
      </c>
      <c r="C848" s="3">
        <v>45404</v>
      </c>
      <c r="D848" t="s">
        <v>2933</v>
      </c>
      <c r="E848" t="s">
        <v>203</v>
      </c>
      <c r="F848" t="s">
        <v>122</v>
      </c>
      <c r="G848" t="s">
        <v>149</v>
      </c>
      <c r="H848" t="s">
        <v>276</v>
      </c>
      <c r="I848" t="s">
        <v>277</v>
      </c>
      <c r="J848" t="s">
        <v>126</v>
      </c>
      <c r="K848" t="s">
        <v>252</v>
      </c>
      <c r="L848" t="s">
        <v>2934</v>
      </c>
      <c r="M848" t="s">
        <v>145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199</v>
      </c>
      <c r="U848" t="s">
        <v>190</v>
      </c>
      <c r="V848" s="2">
        <f t="shared" si="173"/>
        <v>0</v>
      </c>
      <c r="W848" s="2">
        <f t="shared" si="174"/>
        <v>7955.04</v>
      </c>
      <c r="X848" s="2">
        <f>W848-R848</f>
        <v>2374.3599999999997</v>
      </c>
      <c r="Y848" s="2">
        <f t="shared" si="175"/>
        <v>0.29847241497214339</v>
      </c>
      <c r="Z848" s="2">
        <f t="shared" si="176"/>
        <v>8</v>
      </c>
      <c r="AA848" s="2">
        <f t="shared" si="177"/>
        <v>4</v>
      </c>
      <c r="AB848" s="2">
        <f t="shared" si="178"/>
        <v>2024</v>
      </c>
      <c r="AC848" s="2" t="str">
        <f t="shared" si="179"/>
        <v>Valid</v>
      </c>
      <c r="AD848" s="2">
        <f t="shared" si="180"/>
        <v>0</v>
      </c>
      <c r="AE848" s="2">
        <f t="shared" si="181"/>
        <v>0</v>
      </c>
      <c r="AH848" t="str">
        <f t="shared" si="171"/>
        <v>Priya Menon</v>
      </c>
      <c r="AI848" t="str">
        <f t="shared" si="171"/>
        <v>Small Business</v>
      </c>
      <c r="AJ848" t="str">
        <f t="shared" si="171"/>
        <v>West</v>
      </c>
      <c r="AK848" t="str">
        <f t="shared" si="171"/>
        <v>Gujarat</v>
      </c>
      <c r="AL848" t="str">
        <f t="shared" si="170"/>
        <v>Ahmedabad</v>
      </c>
      <c r="AM848" t="str">
        <f t="shared" si="170"/>
        <v>Furniture</v>
      </c>
      <c r="AN848" t="str">
        <f t="shared" si="170"/>
        <v>Bookcases</v>
      </c>
      <c r="AO848" t="str">
        <f t="shared" si="182"/>
        <v>Standard Class</v>
      </c>
      <c r="AP848" t="str">
        <f t="shared" si="172"/>
        <v>Pending</v>
      </c>
      <c r="AQ848" t="str">
        <f t="shared" si="172"/>
        <v>Returned</v>
      </c>
    </row>
    <row r="849" spans="1:43">
      <c r="A849" t="s">
        <v>2935</v>
      </c>
      <c r="B849" s="3">
        <v>45797</v>
      </c>
      <c r="C849" s="3">
        <v>45799</v>
      </c>
      <c r="D849" t="s">
        <v>2936</v>
      </c>
      <c r="E849" t="s">
        <v>256</v>
      </c>
      <c r="F849" t="s">
        <v>182</v>
      </c>
      <c r="G849" t="s">
        <v>123</v>
      </c>
      <c r="H849" t="s">
        <v>124</v>
      </c>
      <c r="I849" t="s">
        <v>125</v>
      </c>
      <c r="J849" t="s">
        <v>126</v>
      </c>
      <c r="K849" t="s">
        <v>127</v>
      </c>
      <c r="L849" t="s">
        <v>2937</v>
      </c>
      <c r="M849" t="s">
        <v>116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117</v>
      </c>
      <c r="U849" t="s">
        <v>118</v>
      </c>
      <c r="V849" s="2">
        <f t="shared" si="173"/>
        <v>0.2</v>
      </c>
      <c r="W849" s="2">
        <f t="shared" si="174"/>
        <v>336.12800000000004</v>
      </c>
      <c r="X849" s="2">
        <f>W849-R849</f>
        <v>93.938000000000045</v>
      </c>
      <c r="Y849" s="2">
        <f t="shared" si="175"/>
        <v>0.27947091584158423</v>
      </c>
      <c r="Z849" s="2">
        <f t="shared" si="176"/>
        <v>2</v>
      </c>
      <c r="AA849" s="2">
        <f t="shared" si="177"/>
        <v>5</v>
      </c>
      <c r="AB849" s="2">
        <f t="shared" si="178"/>
        <v>2025</v>
      </c>
      <c r="AC849" s="2" t="str">
        <f t="shared" si="179"/>
        <v>Valid</v>
      </c>
      <c r="AD849" s="2">
        <f t="shared" si="180"/>
        <v>0</v>
      </c>
      <c r="AE849" s="2">
        <f t="shared" si="181"/>
        <v>0</v>
      </c>
      <c r="AH849" t="str">
        <f t="shared" si="171"/>
        <v>Diya Patel</v>
      </c>
      <c r="AI849" t="str">
        <f t="shared" si="171"/>
        <v>Home Office</v>
      </c>
      <c r="AJ849" t="str">
        <f t="shared" si="171"/>
        <v>East</v>
      </c>
      <c r="AK849" t="str">
        <f t="shared" si="171"/>
        <v>Odisha</v>
      </c>
      <c r="AL849" t="str">
        <f t="shared" si="170"/>
        <v>Bhubaneswar</v>
      </c>
      <c r="AM849" t="str">
        <f t="shared" si="170"/>
        <v>Furniture</v>
      </c>
      <c r="AN849" t="str">
        <f t="shared" si="170"/>
        <v>Tables</v>
      </c>
      <c r="AO849" t="str">
        <f t="shared" si="182"/>
        <v>Second Class</v>
      </c>
      <c r="AP849" t="str">
        <f t="shared" si="172"/>
        <v>Paid</v>
      </c>
      <c r="AQ849" t="str">
        <f t="shared" si="172"/>
        <v>Completed</v>
      </c>
    </row>
    <row r="850" spans="1:43">
      <c r="A850" t="s">
        <v>2938</v>
      </c>
      <c r="B850" s="3" t="s">
        <v>2367</v>
      </c>
      <c r="C850" s="3">
        <v>45806</v>
      </c>
      <c r="D850" t="s">
        <v>2939</v>
      </c>
      <c r="E850" t="s">
        <v>207</v>
      </c>
      <c r="F850" t="s">
        <v>182</v>
      </c>
      <c r="G850" t="s">
        <v>140</v>
      </c>
      <c r="H850" t="s">
        <v>357</v>
      </c>
      <c r="I850" t="s">
        <v>358</v>
      </c>
      <c r="J850" t="s">
        <v>126</v>
      </c>
      <c r="K850" t="s">
        <v>143</v>
      </c>
      <c r="L850" t="s">
        <v>2940</v>
      </c>
      <c r="M850" t="s">
        <v>116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117</v>
      </c>
      <c r="U850" t="s">
        <v>118</v>
      </c>
      <c r="V850" s="2">
        <f t="shared" si="173"/>
        <v>0.25</v>
      </c>
      <c r="W850" s="2">
        <f t="shared" si="174"/>
        <v>1308.2624999999998</v>
      </c>
      <c r="X850" s="2">
        <f>W850-R850</f>
        <v>224.70249999999987</v>
      </c>
      <c r="Y850" s="2">
        <f t="shared" si="175"/>
        <v>0.17175643267310645</v>
      </c>
      <c r="Z850" s="2" t="str">
        <f t="shared" si="176"/>
        <v/>
      </c>
      <c r="AA850" s="2" t="e">
        <f t="shared" si="177"/>
        <v>#VALUE!</v>
      </c>
      <c r="AB850" s="2" t="e">
        <f t="shared" si="178"/>
        <v>#VALUE!</v>
      </c>
      <c r="AC850" s="2" t="str">
        <f t="shared" si="179"/>
        <v>Text Value Not Recognized as Date</v>
      </c>
      <c r="AD850" s="2">
        <f t="shared" si="180"/>
        <v>0</v>
      </c>
      <c r="AE850" s="2">
        <f t="shared" si="181"/>
        <v>0</v>
      </c>
      <c r="AH850" t="str">
        <f t="shared" si="171"/>
        <v>Rahul Verma</v>
      </c>
      <c r="AI850" t="str">
        <f t="shared" si="171"/>
        <v>Home Office</v>
      </c>
      <c r="AJ850" t="str">
        <f t="shared" si="171"/>
        <v>South</v>
      </c>
      <c r="AK850" t="str">
        <f t="shared" si="171"/>
        <v>Tamil Nadu</v>
      </c>
      <c r="AL850" t="str">
        <f t="shared" si="170"/>
        <v>Chennai</v>
      </c>
      <c r="AM850" t="str">
        <f t="shared" si="170"/>
        <v>Furniture</v>
      </c>
      <c r="AN850" t="str">
        <f t="shared" si="170"/>
        <v>Furnishings</v>
      </c>
      <c r="AO850" t="str">
        <f t="shared" si="182"/>
        <v>Second Class</v>
      </c>
      <c r="AP850" t="str">
        <f t="shared" si="172"/>
        <v>Paid</v>
      </c>
      <c r="AQ850" t="str">
        <f t="shared" si="172"/>
        <v>Completed</v>
      </c>
    </row>
    <row r="851" spans="1:43">
      <c r="A851" t="s">
        <v>2941</v>
      </c>
      <c r="B851" s="3">
        <v>45357</v>
      </c>
      <c r="C851" s="3">
        <v>45629</v>
      </c>
      <c r="D851" t="s">
        <v>2942</v>
      </c>
      <c r="E851" t="s">
        <v>132</v>
      </c>
      <c r="F851" t="s">
        <v>182</v>
      </c>
      <c r="G851" t="s">
        <v>149</v>
      </c>
      <c r="H851" t="s">
        <v>276</v>
      </c>
      <c r="I851" t="s">
        <v>277</v>
      </c>
      <c r="J851" t="s">
        <v>126</v>
      </c>
      <c r="K851" t="s">
        <v>252</v>
      </c>
      <c r="L851" t="s">
        <v>2943</v>
      </c>
      <c r="M851" t="s">
        <v>145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117</v>
      </c>
      <c r="U851" t="s">
        <v>118</v>
      </c>
      <c r="V851" s="2">
        <f t="shared" si="173"/>
        <v>0.2</v>
      </c>
      <c r="W851" s="2">
        <f t="shared" si="174"/>
        <v>1631.1120000000001</v>
      </c>
      <c r="X851" s="2">
        <f>W851-R851</f>
        <v>732.38200000000006</v>
      </c>
      <c r="Y851" s="2">
        <f t="shared" si="175"/>
        <v>0.44900779345624336</v>
      </c>
      <c r="Z851" s="2">
        <f t="shared" si="176"/>
        <v>272</v>
      </c>
      <c r="AA851" s="2">
        <f t="shared" si="177"/>
        <v>3</v>
      </c>
      <c r="AB851" s="2">
        <f t="shared" si="178"/>
        <v>2024</v>
      </c>
      <c r="AC851" s="2" t="str">
        <f t="shared" si="179"/>
        <v>Conflicting Duplicate Order ID</v>
      </c>
      <c r="AD851" s="2">
        <f t="shared" si="180"/>
        <v>0</v>
      </c>
      <c r="AE851" s="2">
        <f t="shared" si="181"/>
        <v>1</v>
      </c>
      <c r="AH851" t="str">
        <f t="shared" si="171"/>
        <v>Isha Nair</v>
      </c>
      <c r="AI851" t="str">
        <f t="shared" si="171"/>
        <v>Home Office</v>
      </c>
      <c r="AJ851" t="str">
        <f t="shared" si="171"/>
        <v>West</v>
      </c>
      <c r="AK851" t="str">
        <f t="shared" si="171"/>
        <v>Gujarat</v>
      </c>
      <c r="AL851" t="str">
        <f t="shared" si="170"/>
        <v>Ahmedabad</v>
      </c>
      <c r="AM851" t="str">
        <f t="shared" si="170"/>
        <v>Furniture</v>
      </c>
      <c r="AN851" t="str">
        <f t="shared" si="170"/>
        <v>Bookcases</v>
      </c>
      <c r="AO851" t="str">
        <f t="shared" si="182"/>
        <v>Standard Class</v>
      </c>
      <c r="AP851" t="str">
        <f t="shared" si="172"/>
        <v>Paid</v>
      </c>
      <c r="AQ851" t="str">
        <f t="shared" si="172"/>
        <v>Completed</v>
      </c>
    </row>
    <row r="852" spans="1:43">
      <c r="A852" t="s">
        <v>2944</v>
      </c>
      <c r="B852" s="3" t="s">
        <v>1601</v>
      </c>
      <c r="C852" s="3">
        <v>45476</v>
      </c>
      <c r="D852" t="s">
        <v>2945</v>
      </c>
      <c r="E852" t="s">
        <v>203</v>
      </c>
      <c r="F852" t="s">
        <v>182</v>
      </c>
      <c r="G852" t="s">
        <v>123</v>
      </c>
      <c r="H852" t="s">
        <v>186</v>
      </c>
      <c r="I852" t="s">
        <v>187</v>
      </c>
      <c r="J852" t="s">
        <v>113</v>
      </c>
      <c r="K852" t="s">
        <v>114</v>
      </c>
      <c r="L852" t="s">
        <v>2946</v>
      </c>
      <c r="M852" t="s">
        <v>135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117</v>
      </c>
      <c r="U852" t="s">
        <v>118</v>
      </c>
      <c r="V852" s="2">
        <f t="shared" si="173"/>
        <v>0</v>
      </c>
      <c r="W852" s="2">
        <f t="shared" si="174"/>
        <v>7266.0599999999995</v>
      </c>
      <c r="X852" s="2">
        <f>W852-R852</f>
        <v>1049.1699999999992</v>
      </c>
      <c r="Y852" s="2">
        <f t="shared" si="175"/>
        <v>0.14439324750965438</v>
      </c>
      <c r="Z852" s="2" t="str">
        <f t="shared" si="176"/>
        <v/>
      </c>
      <c r="AA852" s="2" t="e">
        <f t="shared" si="177"/>
        <v>#VALUE!</v>
      </c>
      <c r="AB852" s="2" t="e">
        <f t="shared" si="178"/>
        <v>#VALUE!</v>
      </c>
      <c r="AC852" s="2" t="str">
        <f t="shared" si="179"/>
        <v>Text Value Not Recognized as Date</v>
      </c>
      <c r="AD852" s="2">
        <f t="shared" si="180"/>
        <v>0</v>
      </c>
      <c r="AE852" s="2">
        <f t="shared" si="181"/>
        <v>0</v>
      </c>
      <c r="AH852" t="str">
        <f t="shared" si="171"/>
        <v>Priya Menon</v>
      </c>
      <c r="AI852" t="str">
        <f t="shared" si="171"/>
        <v>Home Office</v>
      </c>
      <c r="AJ852" t="str">
        <f t="shared" si="171"/>
        <v>East</v>
      </c>
      <c r="AK852" t="str">
        <f t="shared" si="171"/>
        <v>West Bengal</v>
      </c>
      <c r="AL852" t="str">
        <f t="shared" si="170"/>
        <v>Kolkata</v>
      </c>
      <c r="AM852" t="str">
        <f t="shared" si="170"/>
        <v>Office Supplies</v>
      </c>
      <c r="AN852" t="str">
        <f t="shared" si="170"/>
        <v>Paper</v>
      </c>
      <c r="AO852" t="str">
        <f t="shared" si="182"/>
        <v>First Class</v>
      </c>
      <c r="AP852" t="str">
        <f t="shared" si="172"/>
        <v>Paid</v>
      </c>
      <c r="AQ852" t="str">
        <f t="shared" si="172"/>
        <v>Completed</v>
      </c>
    </row>
    <row r="853" spans="1:43">
      <c r="A853" t="s">
        <v>2947</v>
      </c>
      <c r="B853" s="3">
        <v>45377</v>
      </c>
      <c r="C853" s="3">
        <v>45383</v>
      </c>
      <c r="D853" t="s">
        <v>2948</v>
      </c>
      <c r="E853" t="s">
        <v>108</v>
      </c>
      <c r="F853" t="s">
        <v>122</v>
      </c>
      <c r="G853" t="s">
        <v>149</v>
      </c>
      <c r="H853" t="s">
        <v>276</v>
      </c>
      <c r="I853" t="s">
        <v>277</v>
      </c>
      <c r="J853" t="s">
        <v>160</v>
      </c>
      <c r="K853" t="s">
        <v>161</v>
      </c>
      <c r="L853" t="s">
        <v>2949</v>
      </c>
      <c r="M853" t="s">
        <v>135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117</v>
      </c>
      <c r="U853" t="s">
        <v>118</v>
      </c>
      <c r="V853" s="2">
        <f t="shared" si="173"/>
        <v>0.2</v>
      </c>
      <c r="W853" s="2">
        <f t="shared" si="174"/>
        <v>1858.08</v>
      </c>
      <c r="X853" s="2">
        <f>W853-R853</f>
        <v>267.32999999999993</v>
      </c>
      <c r="Y853" s="2">
        <f t="shared" si="175"/>
        <v>0.14387432188065097</v>
      </c>
      <c r="Z853" s="2">
        <f t="shared" si="176"/>
        <v>6</v>
      </c>
      <c r="AA853" s="2">
        <f t="shared" si="177"/>
        <v>3</v>
      </c>
      <c r="AB853" s="2">
        <f t="shared" si="178"/>
        <v>2024</v>
      </c>
      <c r="AC853" s="2" t="str">
        <f t="shared" si="179"/>
        <v>Valid</v>
      </c>
      <c r="AD853" s="2">
        <f t="shared" si="180"/>
        <v>0</v>
      </c>
      <c r="AE853" s="2">
        <f t="shared" si="181"/>
        <v>0</v>
      </c>
      <c r="AH853" t="str">
        <f t="shared" si="171"/>
        <v>Karan Malhotra</v>
      </c>
      <c r="AI853" t="str">
        <f t="shared" si="171"/>
        <v>Small Business</v>
      </c>
      <c r="AJ853" t="str">
        <f t="shared" si="171"/>
        <v>West</v>
      </c>
      <c r="AK853" t="str">
        <f t="shared" si="171"/>
        <v>Gujarat</v>
      </c>
      <c r="AL853" t="str">
        <f t="shared" si="170"/>
        <v>Ahmedabad</v>
      </c>
      <c r="AM853" t="str">
        <f t="shared" si="170"/>
        <v>Technology</v>
      </c>
      <c r="AN853" t="str">
        <f t="shared" si="170"/>
        <v>Accessories</v>
      </c>
      <c r="AO853" t="str">
        <f t="shared" si="182"/>
        <v>First Class</v>
      </c>
      <c r="AP853" t="str">
        <f t="shared" si="172"/>
        <v>Paid</v>
      </c>
      <c r="AQ853" t="str">
        <f t="shared" si="172"/>
        <v>Completed</v>
      </c>
    </row>
    <row r="854" spans="1:43">
      <c r="A854" t="s">
        <v>2950</v>
      </c>
      <c r="B854" s="3">
        <v>45295</v>
      </c>
      <c r="C854" s="3">
        <v>45508</v>
      </c>
      <c r="D854" t="s">
        <v>2951</v>
      </c>
      <c r="E854" t="s">
        <v>148</v>
      </c>
      <c r="F854" t="s">
        <v>109</v>
      </c>
      <c r="G854" t="s">
        <v>123</v>
      </c>
      <c r="H854" t="s">
        <v>260</v>
      </c>
      <c r="I854" t="s">
        <v>261</v>
      </c>
      <c r="J854" t="s">
        <v>126</v>
      </c>
      <c r="K854" t="s">
        <v>127</v>
      </c>
      <c r="L854" t="s">
        <v>2952</v>
      </c>
      <c r="M854" t="s">
        <v>116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199</v>
      </c>
      <c r="U854" t="s">
        <v>44</v>
      </c>
      <c r="V854" s="2">
        <f t="shared" si="173"/>
        <v>0.15</v>
      </c>
      <c r="W854" s="2">
        <f t="shared" si="174"/>
        <v>25021.832500000004</v>
      </c>
      <c r="X854" s="2">
        <f>W854-R854</f>
        <v>9477.3925000000036</v>
      </c>
      <c r="Y854" s="2">
        <f t="shared" si="175"/>
        <v>0.37876492459135447</v>
      </c>
      <c r="Z854" s="2">
        <f t="shared" si="176"/>
        <v>213</v>
      </c>
      <c r="AA854" s="2">
        <f t="shared" si="177"/>
        <v>1</v>
      </c>
      <c r="AB854" s="2">
        <f t="shared" si="178"/>
        <v>2024</v>
      </c>
      <c r="AC854" s="2" t="str">
        <f t="shared" si="179"/>
        <v>Valid</v>
      </c>
      <c r="AD854" s="2">
        <f t="shared" si="180"/>
        <v>0</v>
      </c>
      <c r="AE854" s="2">
        <f t="shared" si="181"/>
        <v>0</v>
      </c>
      <c r="AH854" t="str">
        <f t="shared" si="171"/>
        <v>Ananya Rao</v>
      </c>
      <c r="AI854" t="str">
        <f t="shared" si="171"/>
        <v>Consumer</v>
      </c>
      <c r="AJ854" t="str">
        <f t="shared" si="171"/>
        <v>East</v>
      </c>
      <c r="AK854" t="str">
        <f t="shared" si="171"/>
        <v>Assam</v>
      </c>
      <c r="AL854" t="str">
        <f t="shared" si="170"/>
        <v>Guwahati</v>
      </c>
      <c r="AM854" t="str">
        <f t="shared" si="170"/>
        <v>Furniture</v>
      </c>
      <c r="AN854" t="str">
        <f t="shared" si="170"/>
        <v>Tables</v>
      </c>
      <c r="AO854" t="str">
        <f t="shared" si="182"/>
        <v>Second Class</v>
      </c>
      <c r="AP854" t="str">
        <f t="shared" si="172"/>
        <v>Pending</v>
      </c>
      <c r="AQ854" t="str">
        <f t="shared" si="172"/>
        <v>Cancelled</v>
      </c>
    </row>
    <row r="855" spans="1:43">
      <c r="A855" t="s">
        <v>2953</v>
      </c>
      <c r="B855" s="3">
        <v>45793</v>
      </c>
      <c r="C855" s="3">
        <v>45799</v>
      </c>
      <c r="D855" t="s">
        <v>2954</v>
      </c>
      <c r="E855" t="s">
        <v>139</v>
      </c>
      <c r="F855" t="s">
        <v>177</v>
      </c>
      <c r="G855" t="s">
        <v>140</v>
      </c>
      <c r="H855" t="s">
        <v>357</v>
      </c>
      <c r="I855" t="s">
        <v>358</v>
      </c>
      <c r="J855" t="s">
        <v>160</v>
      </c>
      <c r="K855" t="s">
        <v>161</v>
      </c>
      <c r="L855" t="s">
        <v>2955</v>
      </c>
      <c r="M855" t="s">
        <v>129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117</v>
      </c>
      <c r="U855" t="s">
        <v>118</v>
      </c>
      <c r="V855" s="2">
        <f t="shared" si="173"/>
        <v>0.2</v>
      </c>
      <c r="W855" s="2">
        <f t="shared" si="174"/>
        <v>3710.72</v>
      </c>
      <c r="X855" s="2">
        <f>W855-R855</f>
        <v>595.42999999999984</v>
      </c>
      <c r="Y855" s="2">
        <f t="shared" si="175"/>
        <v>0.16046212055881334</v>
      </c>
      <c r="Z855" s="2">
        <f t="shared" si="176"/>
        <v>6</v>
      </c>
      <c r="AA855" s="2">
        <f t="shared" si="177"/>
        <v>5</v>
      </c>
      <c r="AB855" s="2">
        <f t="shared" si="178"/>
        <v>2025</v>
      </c>
      <c r="AC855" s="2" t="str">
        <f t="shared" si="179"/>
        <v>Valid</v>
      </c>
      <c r="AD855" s="2">
        <f t="shared" si="180"/>
        <v>0</v>
      </c>
      <c r="AE855" s="2">
        <f t="shared" si="181"/>
        <v>0</v>
      </c>
      <c r="AH855" t="str">
        <f t="shared" si="171"/>
        <v>Arjun Bose</v>
      </c>
      <c r="AI855" t="str">
        <f t="shared" si="171"/>
        <v>Corporate</v>
      </c>
      <c r="AJ855" t="str">
        <f t="shared" si="171"/>
        <v>South</v>
      </c>
      <c r="AK855" t="str">
        <f t="shared" si="171"/>
        <v>Tamil Nadu</v>
      </c>
      <c r="AL855" t="str">
        <f t="shared" si="170"/>
        <v>Chennai</v>
      </c>
      <c r="AM855" t="str">
        <f t="shared" si="170"/>
        <v>Technology</v>
      </c>
      <c r="AN855" t="str">
        <f t="shared" si="170"/>
        <v>Accessories</v>
      </c>
      <c r="AO855" t="str">
        <f t="shared" si="182"/>
        <v>Same Day</v>
      </c>
      <c r="AP855" t="str">
        <f t="shared" si="172"/>
        <v>Paid</v>
      </c>
      <c r="AQ855" t="str">
        <f t="shared" si="172"/>
        <v>Completed</v>
      </c>
    </row>
    <row r="856" spans="1:43">
      <c r="A856" t="s">
        <v>2956</v>
      </c>
      <c r="B856" s="3">
        <v>45741</v>
      </c>
      <c r="C856" s="3">
        <v>45749</v>
      </c>
      <c r="D856" t="s">
        <v>2957</v>
      </c>
      <c r="E856" t="s">
        <v>203</v>
      </c>
      <c r="F856" t="s">
        <v>109</v>
      </c>
      <c r="G856" t="s">
        <v>140</v>
      </c>
      <c r="H856" t="s">
        <v>270</v>
      </c>
      <c r="I856" t="s">
        <v>271</v>
      </c>
      <c r="J856" t="s">
        <v>126</v>
      </c>
      <c r="K856" t="s">
        <v>252</v>
      </c>
      <c r="L856" t="s">
        <v>2958</v>
      </c>
      <c r="M856" t="s">
        <v>116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117</v>
      </c>
      <c r="U856" t="s">
        <v>118</v>
      </c>
      <c r="V856" s="2">
        <f t="shared" si="173"/>
        <v>0.05</v>
      </c>
      <c r="W856" s="2">
        <f t="shared" si="174"/>
        <v>8487.8319999999985</v>
      </c>
      <c r="X856" s="2">
        <f>W856-R856</f>
        <v>3242.1119999999983</v>
      </c>
      <c r="Y856" s="2">
        <f t="shared" si="175"/>
        <v>0.38197174496384928</v>
      </c>
      <c r="Z856" s="2">
        <f t="shared" si="176"/>
        <v>8</v>
      </c>
      <c r="AA856" s="2">
        <f t="shared" si="177"/>
        <v>3</v>
      </c>
      <c r="AB856" s="2">
        <f t="shared" si="178"/>
        <v>2025</v>
      </c>
      <c r="AC856" s="2" t="str">
        <f t="shared" si="179"/>
        <v>Valid</v>
      </c>
      <c r="AD856" s="2">
        <f t="shared" si="180"/>
        <v>0</v>
      </c>
      <c r="AE856" s="2">
        <f t="shared" si="181"/>
        <v>0</v>
      </c>
      <c r="AH856" t="str">
        <f t="shared" si="171"/>
        <v>Priya Menon</v>
      </c>
      <c r="AI856" t="str">
        <f t="shared" si="171"/>
        <v>Consumer</v>
      </c>
      <c r="AJ856" t="str">
        <f t="shared" si="171"/>
        <v>South</v>
      </c>
      <c r="AK856" t="str">
        <f t="shared" si="171"/>
        <v>Karnataka</v>
      </c>
      <c r="AL856" t="str">
        <f t="shared" si="170"/>
        <v>Bengaluru</v>
      </c>
      <c r="AM856" t="str">
        <f t="shared" si="170"/>
        <v>Furniture</v>
      </c>
      <c r="AN856" t="str">
        <f t="shared" si="170"/>
        <v>Bookcases</v>
      </c>
      <c r="AO856" t="str">
        <f t="shared" si="182"/>
        <v>Second Class</v>
      </c>
      <c r="AP856" t="str">
        <f t="shared" si="172"/>
        <v>Paid</v>
      </c>
      <c r="AQ856" t="str">
        <f t="shared" si="172"/>
        <v>Completed</v>
      </c>
    </row>
    <row r="857" spans="1:43">
      <c r="A857" t="s">
        <v>2959</v>
      </c>
      <c r="B857" s="3" t="s">
        <v>627</v>
      </c>
      <c r="C857" s="3">
        <v>45506</v>
      </c>
      <c r="D857" t="s">
        <v>1313</v>
      </c>
      <c r="E857" t="s">
        <v>207</v>
      </c>
      <c r="F857" t="s">
        <v>109</v>
      </c>
      <c r="G857" t="s">
        <v>110</v>
      </c>
      <c r="H857" t="s">
        <v>111</v>
      </c>
      <c r="I857" t="s">
        <v>112</v>
      </c>
      <c r="J857" t="s">
        <v>113</v>
      </c>
      <c r="K857" t="s">
        <v>2960</v>
      </c>
      <c r="L857" t="s">
        <v>2961</v>
      </c>
      <c r="M857" t="s">
        <v>116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117</v>
      </c>
      <c r="U857" t="s">
        <v>118</v>
      </c>
      <c r="V857" s="2">
        <f t="shared" si="173"/>
        <v>0.25</v>
      </c>
      <c r="W857" s="2">
        <f t="shared" si="174"/>
        <v>3110.2950000000001</v>
      </c>
      <c r="X857" s="2">
        <f>W857-R857</f>
        <v>1009.2649999999999</v>
      </c>
      <c r="Y857" s="2">
        <f t="shared" si="175"/>
        <v>0.32449172827657824</v>
      </c>
      <c r="Z857" s="2" t="str">
        <f t="shared" si="176"/>
        <v/>
      </c>
      <c r="AA857" s="2" t="e">
        <f t="shared" si="177"/>
        <v>#VALUE!</v>
      </c>
      <c r="AB857" s="2" t="e">
        <f t="shared" si="178"/>
        <v>#VALUE!</v>
      </c>
      <c r="AC857" s="2" t="str">
        <f t="shared" si="179"/>
        <v>Text Value Not Recognized as Date</v>
      </c>
      <c r="AD857" s="2">
        <f t="shared" si="180"/>
        <v>0</v>
      </c>
      <c r="AE857" s="2">
        <f t="shared" si="181"/>
        <v>0</v>
      </c>
      <c r="AH857" t="str">
        <f t="shared" si="171"/>
        <v>Rahul Verma</v>
      </c>
      <c r="AI857" t="str">
        <f t="shared" si="171"/>
        <v>Consumer</v>
      </c>
      <c r="AJ857" t="str">
        <f t="shared" si="171"/>
        <v>North</v>
      </c>
      <c r="AK857" t="str">
        <f t="shared" si="171"/>
        <v>Rajasthan</v>
      </c>
      <c r="AL857" t="str">
        <f t="shared" si="170"/>
        <v>Jaipur</v>
      </c>
      <c r="AM857" t="str">
        <f t="shared" si="170"/>
        <v>Office Supplies</v>
      </c>
      <c r="AN857" t="str">
        <f t="shared" si="170"/>
        <v>Labels</v>
      </c>
      <c r="AO857" t="str">
        <f t="shared" si="182"/>
        <v>Second Class</v>
      </c>
      <c r="AP857" t="str">
        <f t="shared" si="172"/>
        <v>Paid</v>
      </c>
      <c r="AQ857" t="str">
        <f t="shared" si="172"/>
        <v>Completed</v>
      </c>
    </row>
    <row r="858" spans="1:43">
      <c r="A858" t="s">
        <v>2962</v>
      </c>
      <c r="B858" s="3">
        <v>45455</v>
      </c>
      <c r="C858" s="3">
        <v>45462</v>
      </c>
      <c r="D858" t="s">
        <v>1512</v>
      </c>
      <c r="E858" t="s">
        <v>232</v>
      </c>
      <c r="F858" t="s">
        <v>182</v>
      </c>
      <c r="G858" t="s">
        <v>140</v>
      </c>
      <c r="H858" t="s">
        <v>357</v>
      </c>
      <c r="I858" t="s">
        <v>358</v>
      </c>
      <c r="J858" t="s">
        <v>113</v>
      </c>
      <c r="K858" t="s">
        <v>213</v>
      </c>
      <c r="L858" t="s">
        <v>2963</v>
      </c>
      <c r="M858" t="s">
        <v>145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248</v>
      </c>
      <c r="U858" t="s">
        <v>44</v>
      </c>
      <c r="V858" s="2">
        <f t="shared" si="173"/>
        <v>-0.16</v>
      </c>
      <c r="W858" s="2">
        <f t="shared" si="174"/>
        <v>1833.2639999999999</v>
      </c>
      <c r="X858" s="2">
        <f>W858-R858</f>
        <v>866.71399999999994</v>
      </c>
      <c r="Y858" s="2">
        <f t="shared" si="175"/>
        <v>0.47277097024760206</v>
      </c>
      <c r="Z858" s="2">
        <f t="shared" si="176"/>
        <v>7</v>
      </c>
      <c r="AA858" s="2">
        <f t="shared" si="177"/>
        <v>6</v>
      </c>
      <c r="AB858" s="2">
        <f t="shared" si="178"/>
        <v>2024</v>
      </c>
      <c r="AC858" s="2" t="str">
        <f t="shared" si="179"/>
        <v>Invalid</v>
      </c>
      <c r="AD858" s="2">
        <f t="shared" si="180"/>
        <v>1</v>
      </c>
      <c r="AE858" s="2">
        <f t="shared" si="181"/>
        <v>1</v>
      </c>
      <c r="AH858" t="str">
        <f t="shared" si="171"/>
        <v>Rohan Mehta</v>
      </c>
      <c r="AI858" t="str">
        <f t="shared" si="171"/>
        <v>Home Office</v>
      </c>
      <c r="AJ858" t="str">
        <f t="shared" si="171"/>
        <v>South</v>
      </c>
      <c r="AK858" t="str">
        <f t="shared" si="171"/>
        <v>Tamil Nadu</v>
      </c>
      <c r="AL858" t="str">
        <f t="shared" si="170"/>
        <v>Chennai</v>
      </c>
      <c r="AM858" t="str">
        <f t="shared" si="170"/>
        <v>Office Supplies</v>
      </c>
      <c r="AN858" t="str">
        <f t="shared" si="170"/>
        <v>Storage</v>
      </c>
      <c r="AO858" t="str">
        <f t="shared" si="182"/>
        <v>Standard Class</v>
      </c>
      <c r="AP858" t="str">
        <f t="shared" si="172"/>
        <v>Failed</v>
      </c>
      <c r="AQ858" t="str">
        <f t="shared" si="172"/>
        <v>Cancelled</v>
      </c>
    </row>
    <row r="859" spans="1:43">
      <c r="A859" t="s">
        <v>2964</v>
      </c>
      <c r="B859" s="3">
        <v>45447</v>
      </c>
      <c r="C859" s="3">
        <v>45388</v>
      </c>
      <c r="D859" t="s">
        <v>2435</v>
      </c>
      <c r="E859" t="s">
        <v>222</v>
      </c>
      <c r="F859" t="s">
        <v>182</v>
      </c>
      <c r="G859" t="s">
        <v>140</v>
      </c>
      <c r="H859" t="s">
        <v>282</v>
      </c>
      <c r="I859" t="s">
        <v>283</v>
      </c>
      <c r="J859" t="s">
        <v>113</v>
      </c>
      <c r="K859" t="s">
        <v>213</v>
      </c>
      <c r="L859" t="s">
        <v>2965</v>
      </c>
      <c r="M859" t="s">
        <v>135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117</v>
      </c>
      <c r="U859" t="s">
        <v>118</v>
      </c>
      <c r="V859" s="2">
        <f t="shared" si="173"/>
        <v>0.25</v>
      </c>
      <c r="W859" s="2">
        <f t="shared" si="174"/>
        <v>12190.365</v>
      </c>
      <c r="X859" s="2">
        <f>W859-R859</f>
        <v>2013.375</v>
      </c>
      <c r="Y859" s="2">
        <f t="shared" si="175"/>
        <v>0.16516117441930575</v>
      </c>
      <c r="Z859" s="2">
        <f t="shared" si="176"/>
        <v>-59</v>
      </c>
      <c r="AA859" s="2">
        <f t="shared" si="177"/>
        <v>6</v>
      </c>
      <c r="AB859" s="2">
        <f t="shared" si="178"/>
        <v>2024</v>
      </c>
      <c r="AC859" s="2" t="str">
        <f t="shared" si="179"/>
        <v>Invalid shipping record</v>
      </c>
      <c r="AD859" s="2">
        <f t="shared" si="180"/>
        <v>0</v>
      </c>
      <c r="AE859" s="2">
        <f t="shared" si="181"/>
        <v>0</v>
      </c>
      <c r="AH859" t="str">
        <f t="shared" si="171"/>
        <v>Sneha Kapoor</v>
      </c>
      <c r="AI859" t="str">
        <f t="shared" si="171"/>
        <v>Home Office</v>
      </c>
      <c r="AJ859" t="str">
        <f t="shared" si="171"/>
        <v>South</v>
      </c>
      <c r="AK859" t="str">
        <f t="shared" si="171"/>
        <v>Kerala</v>
      </c>
      <c r="AL859" t="str">
        <f t="shared" si="170"/>
        <v>Kochi</v>
      </c>
      <c r="AM859" t="str">
        <f t="shared" si="170"/>
        <v>Office Supplies</v>
      </c>
      <c r="AN859" t="str">
        <f t="shared" si="170"/>
        <v>Storage</v>
      </c>
      <c r="AO859" t="str">
        <f t="shared" si="182"/>
        <v>First Class</v>
      </c>
      <c r="AP859" t="str">
        <f t="shared" si="172"/>
        <v>Paid</v>
      </c>
      <c r="AQ859" t="str">
        <f t="shared" si="172"/>
        <v>Completed</v>
      </c>
    </row>
    <row r="860" spans="1:43">
      <c r="A860" t="s">
        <v>2966</v>
      </c>
      <c r="B860" s="3">
        <v>45414</v>
      </c>
      <c r="C860" s="3">
        <v>45421</v>
      </c>
      <c r="D860" t="s">
        <v>2967</v>
      </c>
      <c r="E860" t="s">
        <v>139</v>
      </c>
      <c r="F860" t="s">
        <v>109</v>
      </c>
      <c r="G860" t="s">
        <v>123</v>
      </c>
      <c r="H860" t="s">
        <v>124</v>
      </c>
      <c r="I860" t="s">
        <v>125</v>
      </c>
      <c r="J860" t="s">
        <v>160</v>
      </c>
      <c r="K860" t="s">
        <v>161</v>
      </c>
      <c r="L860" t="s">
        <v>2968</v>
      </c>
      <c r="M860" t="s">
        <v>116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117</v>
      </c>
      <c r="U860" t="s">
        <v>118</v>
      </c>
      <c r="V860" s="2">
        <f t="shared" si="173"/>
        <v>0</v>
      </c>
      <c r="W860" s="2">
        <f t="shared" si="174"/>
        <v>11619.44</v>
      </c>
      <c r="X860" s="2">
        <f>W860-R860</f>
        <v>4435.1200000000008</v>
      </c>
      <c r="Y860" s="2">
        <f t="shared" si="175"/>
        <v>0.3816982574031107</v>
      </c>
      <c r="Z860" s="2">
        <f t="shared" si="176"/>
        <v>7</v>
      </c>
      <c r="AA860" s="2">
        <f t="shared" si="177"/>
        <v>5</v>
      </c>
      <c r="AB860" s="2">
        <f t="shared" si="178"/>
        <v>2024</v>
      </c>
      <c r="AC860" s="2" t="str">
        <f t="shared" si="179"/>
        <v>Valid</v>
      </c>
      <c r="AD860" s="2">
        <f t="shared" si="180"/>
        <v>0</v>
      </c>
      <c r="AE860" s="2">
        <f t="shared" si="181"/>
        <v>1</v>
      </c>
      <c r="AH860" t="str">
        <f t="shared" si="171"/>
        <v>Arjun Bose</v>
      </c>
      <c r="AI860" t="str">
        <f t="shared" si="171"/>
        <v>Consumer</v>
      </c>
      <c r="AJ860" t="str">
        <f t="shared" si="171"/>
        <v>East</v>
      </c>
      <c r="AK860" t="str">
        <f t="shared" si="171"/>
        <v>Odisha</v>
      </c>
      <c r="AL860" t="str">
        <f t="shared" si="170"/>
        <v>Bhubaneswar</v>
      </c>
      <c r="AM860" t="str">
        <f t="shared" si="170"/>
        <v>Technology</v>
      </c>
      <c r="AN860" t="str">
        <f t="shared" si="170"/>
        <v>Accessories</v>
      </c>
      <c r="AO860" t="str">
        <f t="shared" si="182"/>
        <v>Second Class</v>
      </c>
      <c r="AP860" t="str">
        <f t="shared" si="172"/>
        <v>Paid</v>
      </c>
      <c r="AQ860" t="str">
        <f t="shared" si="172"/>
        <v>Completed</v>
      </c>
    </row>
    <row r="861" spans="1:43">
      <c r="A861" t="s">
        <v>2969</v>
      </c>
      <c r="B861" s="3">
        <v>45592</v>
      </c>
      <c r="C861" s="3">
        <v>45597</v>
      </c>
      <c r="D861" t="s">
        <v>2970</v>
      </c>
      <c r="E861" t="s">
        <v>176</v>
      </c>
      <c r="F861" t="s">
        <v>177</v>
      </c>
      <c r="G861" t="s">
        <v>140</v>
      </c>
      <c r="H861" t="s">
        <v>357</v>
      </c>
      <c r="I861" t="s">
        <v>358</v>
      </c>
      <c r="J861" t="s">
        <v>160</v>
      </c>
      <c r="K861" t="s">
        <v>266</v>
      </c>
      <c r="L861" t="s">
        <v>2971</v>
      </c>
      <c r="M861" t="s">
        <v>145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117</v>
      </c>
      <c r="U861" t="s">
        <v>118</v>
      </c>
      <c r="V861" s="2">
        <f t="shared" si="173"/>
        <v>0.05</v>
      </c>
      <c r="W861" s="2">
        <f t="shared" si="174"/>
        <v>25075.439999999995</v>
      </c>
      <c r="X861" s="2">
        <f>W861-R861</f>
        <v>8792.6999999999953</v>
      </c>
      <c r="Y861" s="2">
        <f t="shared" si="175"/>
        <v>0.35064987892535471</v>
      </c>
      <c r="Z861" s="2">
        <f t="shared" si="176"/>
        <v>5</v>
      </c>
      <c r="AA861" s="2">
        <f t="shared" si="177"/>
        <v>10</v>
      </c>
      <c r="AB861" s="2">
        <f t="shared" si="178"/>
        <v>2024</v>
      </c>
      <c r="AC861" s="2" t="str">
        <f t="shared" si="179"/>
        <v>Valid</v>
      </c>
      <c r="AD861" s="2">
        <f t="shared" si="180"/>
        <v>0</v>
      </c>
      <c r="AE861" s="2">
        <f t="shared" si="181"/>
        <v>0</v>
      </c>
      <c r="AH861" t="str">
        <f t="shared" si="171"/>
        <v>Aditi Sen</v>
      </c>
      <c r="AI861" t="str">
        <f t="shared" si="171"/>
        <v>Corporate</v>
      </c>
      <c r="AJ861" t="str">
        <f t="shared" si="171"/>
        <v>South</v>
      </c>
      <c r="AK861" t="str">
        <f t="shared" si="171"/>
        <v>Tamil Nadu</v>
      </c>
      <c r="AL861" t="str">
        <f t="shared" si="170"/>
        <v>Chennai</v>
      </c>
      <c r="AM861" t="str">
        <f t="shared" si="170"/>
        <v>Technology</v>
      </c>
      <c r="AN861" t="str">
        <f t="shared" si="170"/>
        <v>Phones</v>
      </c>
      <c r="AO861" t="str">
        <f t="shared" si="182"/>
        <v>Standard Class</v>
      </c>
      <c r="AP861" t="str">
        <f t="shared" si="172"/>
        <v>Paid</v>
      </c>
      <c r="AQ861" t="str">
        <f t="shared" si="172"/>
        <v>Completed</v>
      </c>
    </row>
    <row r="862" spans="1:43">
      <c r="A862" t="s">
        <v>2972</v>
      </c>
      <c r="B862" s="3">
        <v>45324</v>
      </c>
      <c r="C862" s="3">
        <v>45326</v>
      </c>
      <c r="D862" t="s">
        <v>2973</v>
      </c>
      <c r="E862" t="s">
        <v>157</v>
      </c>
      <c r="F862" t="s">
        <v>182</v>
      </c>
      <c r="G862" t="s">
        <v>110</v>
      </c>
      <c r="H862" t="s">
        <v>227</v>
      </c>
      <c r="I862" t="s">
        <v>228</v>
      </c>
      <c r="J862" t="s">
        <v>113</v>
      </c>
      <c r="K862" t="s">
        <v>213</v>
      </c>
      <c r="L862" t="s">
        <v>2974</v>
      </c>
      <c r="M862" t="s">
        <v>116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117</v>
      </c>
      <c r="U862" t="s">
        <v>118</v>
      </c>
      <c r="V862" s="2">
        <f t="shared" si="173"/>
        <v>0.05</v>
      </c>
      <c r="W862" s="2">
        <f t="shared" si="174"/>
        <v>4177.4539999999997</v>
      </c>
      <c r="X862" s="2">
        <f>W862-R862</f>
        <v>1877.9539999999997</v>
      </c>
      <c r="Y862" s="2">
        <f t="shared" si="175"/>
        <v>0.44954510570313877</v>
      </c>
      <c r="Z862" s="2">
        <f t="shared" si="176"/>
        <v>2</v>
      </c>
      <c r="AA862" s="2">
        <f t="shared" si="177"/>
        <v>2</v>
      </c>
      <c r="AB862" s="2">
        <f t="shared" si="178"/>
        <v>2024</v>
      </c>
      <c r="AC862" s="2" t="str">
        <f t="shared" si="179"/>
        <v>Valid</v>
      </c>
      <c r="AD862" s="2">
        <f t="shared" si="180"/>
        <v>0</v>
      </c>
      <c r="AE862" s="2">
        <f t="shared" si="181"/>
        <v>0</v>
      </c>
      <c r="AH862" t="str">
        <f t="shared" si="171"/>
        <v>Vikram Iyer</v>
      </c>
      <c r="AI862" t="str">
        <f t="shared" si="171"/>
        <v>Home Office</v>
      </c>
      <c r="AJ862" t="str">
        <f t="shared" si="171"/>
        <v>North</v>
      </c>
      <c r="AK862" t="str">
        <f t="shared" si="171"/>
        <v>Uttar Pradesh</v>
      </c>
      <c r="AL862" t="str">
        <f t="shared" si="170"/>
        <v>Noida</v>
      </c>
      <c r="AM862" t="str">
        <f t="shared" si="170"/>
        <v>Office Supplies</v>
      </c>
      <c r="AN862" t="str">
        <f t="shared" si="170"/>
        <v>Storage</v>
      </c>
      <c r="AO862" t="str">
        <f t="shared" si="182"/>
        <v>Second Class</v>
      </c>
      <c r="AP862" t="str">
        <f t="shared" si="172"/>
        <v>Paid</v>
      </c>
      <c r="AQ862" t="str">
        <f t="shared" si="172"/>
        <v>Completed</v>
      </c>
    </row>
    <row r="863" spans="1:43">
      <c r="A863" t="s">
        <v>2975</v>
      </c>
      <c r="B863" s="3">
        <v>45724</v>
      </c>
      <c r="C863" s="3">
        <v>45725</v>
      </c>
      <c r="D863" t="s">
        <v>2976</v>
      </c>
      <c r="E863" t="s">
        <v>203</v>
      </c>
      <c r="F863" t="s">
        <v>182</v>
      </c>
      <c r="G863" t="s">
        <v>110</v>
      </c>
      <c r="H863" t="s">
        <v>465</v>
      </c>
      <c r="I863" t="s">
        <v>466</v>
      </c>
      <c r="J863" t="s">
        <v>126</v>
      </c>
      <c r="K863" t="s">
        <v>143</v>
      </c>
      <c r="L863" t="s">
        <v>2977</v>
      </c>
      <c r="M863" t="s">
        <v>129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117</v>
      </c>
      <c r="U863" t="s">
        <v>118</v>
      </c>
      <c r="V863" s="2">
        <f t="shared" si="173"/>
        <v>0.2</v>
      </c>
      <c r="W863" s="2">
        <f t="shared" si="174"/>
        <v>10898.175999999999</v>
      </c>
      <c r="X863" s="2">
        <f>W863-R863</f>
        <v>4666.7659999999996</v>
      </c>
      <c r="Y863" s="2">
        <f t="shared" si="175"/>
        <v>0.42821532704188298</v>
      </c>
      <c r="Z863" s="2">
        <f t="shared" si="176"/>
        <v>1</v>
      </c>
      <c r="AA863" s="2">
        <f t="shared" si="177"/>
        <v>3</v>
      </c>
      <c r="AB863" s="2">
        <f t="shared" si="178"/>
        <v>2025</v>
      </c>
      <c r="AC863" s="2" t="str">
        <f t="shared" si="179"/>
        <v>Valid</v>
      </c>
      <c r="AD863" s="2">
        <f t="shared" si="180"/>
        <v>0</v>
      </c>
      <c r="AE863" s="2">
        <f t="shared" si="181"/>
        <v>0</v>
      </c>
      <c r="AH863" t="str">
        <f t="shared" si="171"/>
        <v>Priya Menon</v>
      </c>
      <c r="AI863" t="str">
        <f t="shared" si="171"/>
        <v>Home Office</v>
      </c>
      <c r="AJ863" t="str">
        <f t="shared" si="171"/>
        <v>North</v>
      </c>
      <c r="AK863" t="str">
        <f t="shared" si="171"/>
        <v>Delhi</v>
      </c>
      <c r="AL863" t="str">
        <f t="shared" si="170"/>
        <v>New Delhi</v>
      </c>
      <c r="AM863" t="str">
        <f t="shared" si="170"/>
        <v>Furniture</v>
      </c>
      <c r="AN863" t="str">
        <f t="shared" si="170"/>
        <v>Furnishings</v>
      </c>
      <c r="AO863" t="str">
        <f t="shared" si="182"/>
        <v>Same Day</v>
      </c>
      <c r="AP863" t="str">
        <f t="shared" si="172"/>
        <v>Paid</v>
      </c>
      <c r="AQ863" t="str">
        <f t="shared" si="172"/>
        <v>Completed</v>
      </c>
    </row>
    <row r="864" spans="1:43">
      <c r="A864" t="s">
        <v>2978</v>
      </c>
      <c r="B864" s="3">
        <v>45742</v>
      </c>
      <c r="C864" s="3" t="s">
        <v>2979</v>
      </c>
      <c r="D864" t="s">
        <v>2980</v>
      </c>
      <c r="E864" t="s">
        <v>203</v>
      </c>
      <c r="F864" t="s">
        <v>122</v>
      </c>
      <c r="G864" t="s">
        <v>123</v>
      </c>
      <c r="H864" t="s">
        <v>335</v>
      </c>
      <c r="I864" t="s">
        <v>336</v>
      </c>
      <c r="J864" t="s">
        <v>113</v>
      </c>
      <c r="K864" t="s">
        <v>246</v>
      </c>
      <c r="L864" t="s">
        <v>2981</v>
      </c>
      <c r="M864" t="s">
        <v>135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117</v>
      </c>
      <c r="U864" t="s">
        <v>44</v>
      </c>
      <c r="V864" s="2">
        <f t="shared" si="173"/>
        <v>0</v>
      </c>
      <c r="W864" s="2">
        <f t="shared" si="174"/>
        <v>6975.7000000000007</v>
      </c>
      <c r="X864" s="2">
        <f>W864-R864</f>
        <v>2177.8200000000006</v>
      </c>
      <c r="Y864" s="2">
        <f t="shared" si="175"/>
        <v>0.3122009260719355</v>
      </c>
      <c r="Z864" s="2" t="str">
        <f t="shared" si="176"/>
        <v/>
      </c>
      <c r="AA864" s="2">
        <f t="shared" si="177"/>
        <v>3</v>
      </c>
      <c r="AB864" s="2">
        <f t="shared" si="178"/>
        <v>2025</v>
      </c>
      <c r="AC864" s="2" t="str">
        <f t="shared" si="179"/>
        <v>Text Value Not Recognized as Date</v>
      </c>
      <c r="AD864" s="2">
        <f t="shared" si="180"/>
        <v>0</v>
      </c>
      <c r="AE864" s="2">
        <f t="shared" si="181"/>
        <v>0</v>
      </c>
      <c r="AH864" t="str">
        <f t="shared" si="171"/>
        <v>Priya Menon</v>
      </c>
      <c r="AI864" t="str">
        <f t="shared" si="171"/>
        <v>Small Business</v>
      </c>
      <c r="AJ864" t="str">
        <f t="shared" si="171"/>
        <v>East</v>
      </c>
      <c r="AK864" t="str">
        <f t="shared" si="171"/>
        <v>Jharkhand</v>
      </c>
      <c r="AL864" t="str">
        <f t="shared" si="170"/>
        <v>Ranchi</v>
      </c>
      <c r="AM864" t="str">
        <f t="shared" si="170"/>
        <v>Office Supplies</v>
      </c>
      <c r="AN864" t="str">
        <f t="shared" si="170"/>
        <v>Binders</v>
      </c>
      <c r="AO864" t="str">
        <f t="shared" si="182"/>
        <v>First Class</v>
      </c>
      <c r="AP864" t="str">
        <f t="shared" si="172"/>
        <v>Paid</v>
      </c>
      <c r="AQ864" t="str">
        <f t="shared" si="172"/>
        <v>Cancelled</v>
      </c>
    </row>
    <row r="865" spans="1:43">
      <c r="A865" t="s">
        <v>2982</v>
      </c>
      <c r="B865" s="3">
        <v>45906</v>
      </c>
      <c r="C865" s="3">
        <v>45908</v>
      </c>
      <c r="D865" t="s">
        <v>2983</v>
      </c>
      <c r="E865" t="s">
        <v>218</v>
      </c>
      <c r="F865" t="s">
        <v>182</v>
      </c>
      <c r="G865" t="s">
        <v>149</v>
      </c>
      <c r="H865" t="s">
        <v>158</v>
      </c>
      <c r="I865" t="s">
        <v>159</v>
      </c>
      <c r="J865" t="s">
        <v>126</v>
      </c>
      <c r="K865" t="s">
        <v>143</v>
      </c>
      <c r="L865" t="s">
        <v>2984</v>
      </c>
      <c r="M865" t="s">
        <v>129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117</v>
      </c>
      <c r="U865" t="s">
        <v>118</v>
      </c>
      <c r="V865" s="2">
        <f t="shared" si="173"/>
        <v>0</v>
      </c>
      <c r="W865" s="2">
        <f t="shared" si="174"/>
        <v>8811.69</v>
      </c>
      <c r="X865" s="2">
        <f>W865-R865</f>
        <v>2045.7800000000007</v>
      </c>
      <c r="Y865" s="2">
        <f t="shared" si="175"/>
        <v>0.23216658779416893</v>
      </c>
      <c r="Z865" s="2">
        <f t="shared" si="176"/>
        <v>2</v>
      </c>
      <c r="AA865" s="2">
        <f t="shared" si="177"/>
        <v>9</v>
      </c>
      <c r="AB865" s="2">
        <f t="shared" si="178"/>
        <v>2025</v>
      </c>
      <c r="AC865" s="2" t="str">
        <f t="shared" si="179"/>
        <v>Valid</v>
      </c>
      <c r="AD865" s="2">
        <f t="shared" si="180"/>
        <v>0</v>
      </c>
      <c r="AE865" s="2">
        <f t="shared" si="181"/>
        <v>0</v>
      </c>
      <c r="AH865" t="str">
        <f t="shared" si="171"/>
        <v>Aarav Sharma</v>
      </c>
      <c r="AI865" t="str">
        <f t="shared" si="171"/>
        <v>Home Office</v>
      </c>
      <c r="AJ865" t="str">
        <f t="shared" si="171"/>
        <v>West</v>
      </c>
      <c r="AK865" t="str">
        <f t="shared" si="171"/>
        <v>Madhya Pradesh</v>
      </c>
      <c r="AL865" t="str">
        <f t="shared" si="170"/>
        <v>Indore</v>
      </c>
      <c r="AM865" t="str">
        <f t="shared" si="170"/>
        <v>Furniture</v>
      </c>
      <c r="AN865" t="str">
        <f t="shared" si="170"/>
        <v>Furnishings</v>
      </c>
      <c r="AO865" t="str">
        <f t="shared" si="182"/>
        <v>Same Day</v>
      </c>
      <c r="AP865" t="str">
        <f t="shared" si="172"/>
        <v>Paid</v>
      </c>
      <c r="AQ865" t="str">
        <f t="shared" si="172"/>
        <v>Completed</v>
      </c>
    </row>
    <row r="866" spans="1:43">
      <c r="A866" t="s">
        <v>2985</v>
      </c>
      <c r="B866" s="3">
        <v>45902</v>
      </c>
      <c r="C866" s="3">
        <v>45786</v>
      </c>
      <c r="D866" t="s">
        <v>2986</v>
      </c>
      <c r="E866" t="s">
        <v>157</v>
      </c>
      <c r="F866" t="s">
        <v>109</v>
      </c>
      <c r="G866" t="s">
        <v>140</v>
      </c>
      <c r="H866" t="s">
        <v>357</v>
      </c>
      <c r="I866" t="s">
        <v>358</v>
      </c>
      <c r="J866" t="s">
        <v>160</v>
      </c>
      <c r="K866" t="s">
        <v>266</v>
      </c>
      <c r="L866" t="s">
        <v>2987</v>
      </c>
      <c r="M866" t="s">
        <v>135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117</v>
      </c>
      <c r="U866" t="s">
        <v>118</v>
      </c>
      <c r="V866" s="2">
        <f t="shared" si="173"/>
        <v>0</v>
      </c>
      <c r="W866" s="2">
        <f t="shared" si="174"/>
        <v>17034.349999999999</v>
      </c>
      <c r="X866" s="2">
        <f>W866-R866</f>
        <v>2402.989999999998</v>
      </c>
      <c r="Y866" s="2">
        <f t="shared" si="175"/>
        <v>0.14106731398615141</v>
      </c>
      <c r="Z866" s="2">
        <f t="shared" si="176"/>
        <v>-116</v>
      </c>
      <c r="AA866" s="2">
        <f t="shared" si="177"/>
        <v>9</v>
      </c>
      <c r="AB866" s="2">
        <f t="shared" si="178"/>
        <v>2025</v>
      </c>
      <c r="AC866" s="2" t="str">
        <f t="shared" si="179"/>
        <v>Invalid shipping record</v>
      </c>
      <c r="AD866" s="2">
        <f t="shared" si="180"/>
        <v>0</v>
      </c>
      <c r="AE866" s="2">
        <f t="shared" si="181"/>
        <v>0</v>
      </c>
      <c r="AH866" t="str">
        <f t="shared" si="171"/>
        <v>Vikram Iyer</v>
      </c>
      <c r="AI866" t="str">
        <f t="shared" si="171"/>
        <v>Consumer</v>
      </c>
      <c r="AJ866" t="str">
        <f t="shared" si="171"/>
        <v>South</v>
      </c>
      <c r="AK866" t="str">
        <f t="shared" si="171"/>
        <v>Tamil Nadu</v>
      </c>
      <c r="AL866" t="str">
        <f t="shared" si="170"/>
        <v>Chennai</v>
      </c>
      <c r="AM866" t="str">
        <f t="shared" si="170"/>
        <v>Technology</v>
      </c>
      <c r="AN866" t="str">
        <f t="shared" si="170"/>
        <v>Phones</v>
      </c>
      <c r="AO866" t="str">
        <f t="shared" si="182"/>
        <v>First Class</v>
      </c>
      <c r="AP866" t="str">
        <f t="shared" si="172"/>
        <v>Paid</v>
      </c>
      <c r="AQ866" t="str">
        <f t="shared" si="172"/>
        <v>Completed</v>
      </c>
    </row>
    <row r="867" spans="1:43">
      <c r="A867" t="s">
        <v>2988</v>
      </c>
      <c r="B867" s="3">
        <v>45810</v>
      </c>
      <c r="C867" s="3" t="s">
        <v>1472</v>
      </c>
      <c r="D867" t="s">
        <v>2989</v>
      </c>
      <c r="E867" t="s">
        <v>375</v>
      </c>
      <c r="F867" t="s">
        <v>109</v>
      </c>
      <c r="G867" t="s">
        <v>149</v>
      </c>
      <c r="H867" t="s">
        <v>150</v>
      </c>
      <c r="I867" t="s">
        <v>151</v>
      </c>
      <c r="J867" t="s">
        <v>113</v>
      </c>
      <c r="K867" t="s">
        <v>178</v>
      </c>
      <c r="L867" t="s">
        <v>2990</v>
      </c>
      <c r="M867" t="s">
        <v>116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117</v>
      </c>
      <c r="U867" t="s">
        <v>118</v>
      </c>
      <c r="V867" s="2">
        <f t="shared" si="173"/>
        <v>0</v>
      </c>
      <c r="W867" s="2">
        <f t="shared" si="174"/>
        <v>7984.08</v>
      </c>
      <c r="X867" s="2">
        <f>W867-R867</f>
        <v>2326.0299999999997</v>
      </c>
      <c r="Y867" s="2">
        <f t="shared" si="175"/>
        <v>0.29133350367230787</v>
      </c>
      <c r="Z867" s="2" t="str">
        <f t="shared" si="176"/>
        <v/>
      </c>
      <c r="AA867" s="2">
        <f t="shared" si="177"/>
        <v>6</v>
      </c>
      <c r="AB867" s="2">
        <f t="shared" si="178"/>
        <v>2025</v>
      </c>
      <c r="AC867" s="2" t="str">
        <f t="shared" si="179"/>
        <v>Text Value Not Recognized as Date</v>
      </c>
      <c r="AD867" s="2">
        <f t="shared" si="180"/>
        <v>0</v>
      </c>
      <c r="AE867" s="2">
        <f t="shared" si="181"/>
        <v>0</v>
      </c>
      <c r="AH867" t="str">
        <f t="shared" si="171"/>
        <v>Kabir Singh</v>
      </c>
      <c r="AI867" t="str">
        <f t="shared" si="171"/>
        <v>Consumer</v>
      </c>
      <c r="AJ867" t="str">
        <f t="shared" si="171"/>
        <v>West</v>
      </c>
      <c r="AK867" t="str">
        <f t="shared" si="171"/>
        <v>Maharashtra</v>
      </c>
      <c r="AL867" t="str">
        <f t="shared" si="170"/>
        <v>Mumbai</v>
      </c>
      <c r="AM867" t="str">
        <f t="shared" si="170"/>
        <v>Office Supplies</v>
      </c>
      <c r="AN867" t="str">
        <f t="shared" si="170"/>
        <v>Labels</v>
      </c>
      <c r="AO867" t="str">
        <f t="shared" si="182"/>
        <v>Second Class</v>
      </c>
      <c r="AP867" t="str">
        <f t="shared" si="172"/>
        <v>Paid</v>
      </c>
      <c r="AQ867" t="str">
        <f t="shared" si="172"/>
        <v>Completed</v>
      </c>
    </row>
    <row r="868" spans="1:43">
      <c r="A868" t="s">
        <v>2991</v>
      </c>
      <c r="B868" s="3">
        <v>45714</v>
      </c>
      <c r="C868" s="3">
        <v>45722</v>
      </c>
      <c r="D868" t="s">
        <v>2992</v>
      </c>
      <c r="E868" t="s">
        <v>203</v>
      </c>
      <c r="F868" t="s">
        <v>109</v>
      </c>
      <c r="G868" t="s">
        <v>123</v>
      </c>
      <c r="H868" t="s">
        <v>237</v>
      </c>
      <c r="I868" t="s">
        <v>238</v>
      </c>
      <c r="J868" t="s">
        <v>126</v>
      </c>
      <c r="K868" t="s">
        <v>252</v>
      </c>
      <c r="L868" t="s">
        <v>2993</v>
      </c>
      <c r="M868" t="s">
        <v>135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199</v>
      </c>
      <c r="U868" t="s">
        <v>44</v>
      </c>
      <c r="V868" s="2">
        <f t="shared" si="173"/>
        <v>0.2</v>
      </c>
      <c r="W868" s="2">
        <f t="shared" si="174"/>
        <v>21912.263999999999</v>
      </c>
      <c r="X868" s="2">
        <f>W868-R868</f>
        <v>5544.4839999999986</v>
      </c>
      <c r="Y868" s="2">
        <f t="shared" si="175"/>
        <v>0.25303108797885965</v>
      </c>
      <c r="Z868" s="2">
        <f t="shared" si="176"/>
        <v>8</v>
      </c>
      <c r="AA868" s="2">
        <f t="shared" si="177"/>
        <v>2</v>
      </c>
      <c r="AB868" s="2">
        <f t="shared" si="178"/>
        <v>2025</v>
      </c>
      <c r="AC868" s="2" t="str">
        <f t="shared" si="179"/>
        <v>Valid</v>
      </c>
      <c r="AD868" s="2">
        <f t="shared" si="180"/>
        <v>0</v>
      </c>
      <c r="AE868" s="2">
        <f t="shared" si="181"/>
        <v>0</v>
      </c>
      <c r="AH868" t="str">
        <f t="shared" si="171"/>
        <v>Priya Menon</v>
      </c>
      <c r="AI868" t="str">
        <f t="shared" si="171"/>
        <v>Consumer</v>
      </c>
      <c r="AJ868" t="str">
        <f t="shared" si="171"/>
        <v>East</v>
      </c>
      <c r="AK868" t="str">
        <f t="shared" si="171"/>
        <v>Bihar</v>
      </c>
      <c r="AL868" t="str">
        <f t="shared" si="170"/>
        <v>Patna</v>
      </c>
      <c r="AM868" t="str">
        <f t="shared" si="170"/>
        <v>Furniture</v>
      </c>
      <c r="AN868" t="str">
        <f t="shared" si="170"/>
        <v>Bookcases</v>
      </c>
      <c r="AO868" t="str">
        <f t="shared" si="182"/>
        <v>First Class</v>
      </c>
      <c r="AP868" t="str">
        <f t="shared" si="172"/>
        <v>Pending</v>
      </c>
      <c r="AQ868" t="str">
        <f t="shared" si="172"/>
        <v>Cancelled</v>
      </c>
    </row>
    <row r="869" spans="1:43">
      <c r="A869" t="s">
        <v>2994</v>
      </c>
      <c r="B869" s="3">
        <v>45617</v>
      </c>
      <c r="C869" s="3">
        <v>45618</v>
      </c>
      <c r="D869" t="s">
        <v>2995</v>
      </c>
      <c r="E869" t="s">
        <v>207</v>
      </c>
      <c r="F869" t="s">
        <v>182</v>
      </c>
      <c r="G869" t="s">
        <v>140</v>
      </c>
      <c r="H869" t="s">
        <v>171</v>
      </c>
      <c r="I869" t="s">
        <v>172</v>
      </c>
      <c r="J869" t="s">
        <v>160</v>
      </c>
      <c r="K869" t="s">
        <v>161</v>
      </c>
      <c r="L869" t="s">
        <v>2996</v>
      </c>
      <c r="M869" t="s">
        <v>129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248</v>
      </c>
      <c r="U869" t="s">
        <v>44</v>
      </c>
      <c r="V869" s="2">
        <f t="shared" si="173"/>
        <v>0.25</v>
      </c>
      <c r="W869" s="2">
        <f t="shared" si="174"/>
        <v>4695.7049999999999</v>
      </c>
      <c r="X869" s="2">
        <f>W869-R869</f>
        <v>824.01499999999987</v>
      </c>
      <c r="Y869" s="2">
        <f t="shared" si="175"/>
        <v>0.17548270174553127</v>
      </c>
      <c r="Z869" s="2">
        <f t="shared" si="176"/>
        <v>1</v>
      </c>
      <c r="AA869" s="2">
        <f t="shared" si="177"/>
        <v>11</v>
      </c>
      <c r="AB869" s="2">
        <f t="shared" si="178"/>
        <v>2024</v>
      </c>
      <c r="AC869" s="2" t="str">
        <f t="shared" si="179"/>
        <v>Valid</v>
      </c>
      <c r="AD869" s="2">
        <f t="shared" si="180"/>
        <v>0</v>
      </c>
      <c r="AE869" s="2">
        <f t="shared" si="181"/>
        <v>0</v>
      </c>
      <c r="AH869" t="str">
        <f t="shared" si="171"/>
        <v>Rahul Verma</v>
      </c>
      <c r="AI869" t="str">
        <f t="shared" si="171"/>
        <v>Home Office</v>
      </c>
      <c r="AJ869" t="str">
        <f t="shared" si="171"/>
        <v>South</v>
      </c>
      <c r="AK869" t="str">
        <f t="shared" si="171"/>
        <v>Andhra Pradesh</v>
      </c>
      <c r="AL869" t="str">
        <f t="shared" si="170"/>
        <v>Vijayawada</v>
      </c>
      <c r="AM869" t="str">
        <f t="shared" si="170"/>
        <v>Technology</v>
      </c>
      <c r="AN869" t="str">
        <f t="shared" si="170"/>
        <v>Accessories</v>
      </c>
      <c r="AO869" t="str">
        <f t="shared" si="182"/>
        <v>Same Day</v>
      </c>
      <c r="AP869" t="str">
        <f t="shared" si="172"/>
        <v>Failed</v>
      </c>
      <c r="AQ869" t="str">
        <f t="shared" si="172"/>
        <v>Cancelled</v>
      </c>
    </row>
    <row r="870" spans="1:43">
      <c r="A870" t="s">
        <v>2997</v>
      </c>
      <c r="B870" s="3">
        <v>45965</v>
      </c>
      <c r="C870" s="3">
        <v>45762</v>
      </c>
      <c r="D870" t="s">
        <v>2998</v>
      </c>
      <c r="E870" t="s">
        <v>157</v>
      </c>
      <c r="F870" t="s">
        <v>182</v>
      </c>
      <c r="G870" t="s">
        <v>140</v>
      </c>
      <c r="H870" t="s">
        <v>270</v>
      </c>
      <c r="I870" t="s">
        <v>271</v>
      </c>
      <c r="J870" t="s">
        <v>113</v>
      </c>
      <c r="K870" t="s">
        <v>213</v>
      </c>
      <c r="L870" t="s">
        <v>2999</v>
      </c>
      <c r="M870" t="s">
        <v>129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117</v>
      </c>
      <c r="U870" t="s">
        <v>118</v>
      </c>
      <c r="V870" s="2">
        <f t="shared" si="173"/>
        <v>0.05</v>
      </c>
      <c r="W870" s="2">
        <f t="shared" si="174"/>
        <v>1923.2369999999999</v>
      </c>
      <c r="X870" s="2">
        <f>W870-R870</f>
        <v>829.57699999999977</v>
      </c>
      <c r="Y870" s="2">
        <f t="shared" si="175"/>
        <v>0.43134413491420964</v>
      </c>
      <c r="Z870" s="2">
        <f t="shared" si="176"/>
        <v>-203</v>
      </c>
      <c r="AA870" s="2">
        <f t="shared" si="177"/>
        <v>11</v>
      </c>
      <c r="AB870" s="2">
        <f t="shared" si="178"/>
        <v>2025</v>
      </c>
      <c r="AC870" s="2" t="str">
        <f t="shared" si="179"/>
        <v>Invalid shipping record</v>
      </c>
      <c r="AD870" s="2">
        <f t="shared" si="180"/>
        <v>0</v>
      </c>
      <c r="AE870" s="2">
        <f t="shared" si="181"/>
        <v>0</v>
      </c>
      <c r="AH870" t="str">
        <f t="shared" si="171"/>
        <v>Vikram Iyer</v>
      </c>
      <c r="AI870" t="str">
        <f t="shared" si="171"/>
        <v>Home Office</v>
      </c>
      <c r="AJ870" t="str">
        <f t="shared" si="171"/>
        <v>South</v>
      </c>
      <c r="AK870" t="str">
        <f t="shared" si="171"/>
        <v>Karnataka</v>
      </c>
      <c r="AL870" t="str">
        <f t="shared" si="170"/>
        <v>Bengaluru</v>
      </c>
      <c r="AM870" t="str">
        <f t="shared" si="170"/>
        <v>Office Supplies</v>
      </c>
      <c r="AN870" t="str">
        <f t="shared" si="170"/>
        <v>Storage</v>
      </c>
      <c r="AO870" t="str">
        <f t="shared" si="182"/>
        <v>Same Day</v>
      </c>
      <c r="AP870" t="str">
        <f t="shared" si="172"/>
        <v>Paid</v>
      </c>
      <c r="AQ870" t="str">
        <f t="shared" si="172"/>
        <v>Completed</v>
      </c>
    </row>
    <row r="871" spans="1:43">
      <c r="A871" t="s">
        <v>3000</v>
      </c>
      <c r="B871" s="3">
        <v>45722</v>
      </c>
      <c r="C871" s="3">
        <v>45841</v>
      </c>
      <c r="D871" t="s">
        <v>3001</v>
      </c>
      <c r="E871" t="s">
        <v>232</v>
      </c>
      <c r="F871" t="s">
        <v>182</v>
      </c>
      <c r="H871" t="s">
        <v>465</v>
      </c>
      <c r="I871" t="s">
        <v>466</v>
      </c>
      <c r="J871" t="s">
        <v>126</v>
      </c>
      <c r="K871" t="s">
        <v>152</v>
      </c>
      <c r="L871" t="s">
        <v>1340</v>
      </c>
      <c r="M871" t="s">
        <v>129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117</v>
      </c>
      <c r="U871" t="s">
        <v>118</v>
      </c>
      <c r="V871" s="2">
        <f t="shared" si="173"/>
        <v>0.1</v>
      </c>
      <c r="W871" s="2">
        <f t="shared" si="174"/>
        <v>4301.91</v>
      </c>
      <c r="X871" s="2">
        <f>W871-R871</f>
        <v>1927.5099999999998</v>
      </c>
      <c r="Y871" s="2">
        <f t="shared" si="175"/>
        <v>0.44805911792668834</v>
      </c>
      <c r="Z871" s="2">
        <f t="shared" si="176"/>
        <v>119</v>
      </c>
      <c r="AA871" s="2">
        <f t="shared" si="177"/>
        <v>3</v>
      </c>
      <c r="AB871" s="2">
        <f t="shared" si="178"/>
        <v>2025</v>
      </c>
      <c r="AC871" s="2" t="str">
        <f t="shared" si="179"/>
        <v>Missing region</v>
      </c>
      <c r="AD871" s="2">
        <f t="shared" si="180"/>
        <v>0</v>
      </c>
      <c r="AE871" s="2">
        <f t="shared" si="181"/>
        <v>0</v>
      </c>
      <c r="AH871" t="str">
        <f t="shared" si="171"/>
        <v>Rohan Mehta</v>
      </c>
      <c r="AI871" t="str">
        <f t="shared" si="171"/>
        <v>Home Office</v>
      </c>
      <c r="AJ871" t="s">
        <v>306</v>
      </c>
      <c r="AK871" t="str">
        <f t="shared" si="171"/>
        <v>Delhi</v>
      </c>
      <c r="AL871" t="str">
        <f t="shared" si="170"/>
        <v>New Delhi</v>
      </c>
      <c r="AM871" t="str">
        <f t="shared" si="170"/>
        <v>Furniture</v>
      </c>
      <c r="AN871" t="str">
        <f t="shared" si="170"/>
        <v>Chairs</v>
      </c>
      <c r="AO871" t="str">
        <f t="shared" si="182"/>
        <v>Same Day</v>
      </c>
      <c r="AP871" t="str">
        <f t="shared" si="172"/>
        <v>Paid</v>
      </c>
      <c r="AQ871" t="str">
        <f t="shared" si="172"/>
        <v>Completed</v>
      </c>
    </row>
    <row r="872" spans="1:43">
      <c r="A872" t="s">
        <v>3002</v>
      </c>
      <c r="B872" s="3">
        <v>45814</v>
      </c>
      <c r="C872" s="3">
        <v>45815</v>
      </c>
      <c r="D872" t="s">
        <v>3003</v>
      </c>
      <c r="E872" t="s">
        <v>157</v>
      </c>
      <c r="F872" t="s">
        <v>177</v>
      </c>
      <c r="G872" t="s">
        <v>149</v>
      </c>
      <c r="H872" t="s">
        <v>287</v>
      </c>
      <c r="I872" t="s">
        <v>288</v>
      </c>
      <c r="J872" t="s">
        <v>126</v>
      </c>
      <c r="K872" t="s">
        <v>127</v>
      </c>
      <c r="L872" t="s">
        <v>3004</v>
      </c>
      <c r="M872" t="s">
        <v>145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117</v>
      </c>
      <c r="U872" t="s">
        <v>44</v>
      </c>
      <c r="V872" s="2">
        <f t="shared" si="173"/>
        <v>0.15</v>
      </c>
      <c r="W872" s="2">
        <f t="shared" si="174"/>
        <v>22436.838</v>
      </c>
      <c r="X872" s="2">
        <f>W872-R872</f>
        <v>4982.1680000000015</v>
      </c>
      <c r="Y872" s="2">
        <f t="shared" si="175"/>
        <v>0.22205303617203109</v>
      </c>
      <c r="Z872" s="2">
        <f t="shared" si="176"/>
        <v>1</v>
      </c>
      <c r="AA872" s="2">
        <f t="shared" si="177"/>
        <v>6</v>
      </c>
      <c r="AB872" s="2">
        <f t="shared" si="178"/>
        <v>2025</v>
      </c>
      <c r="AC872" s="2" t="str">
        <f t="shared" si="179"/>
        <v>Valid</v>
      </c>
      <c r="AD872" s="2">
        <f t="shared" si="180"/>
        <v>0</v>
      </c>
      <c r="AE872" s="2">
        <f t="shared" si="181"/>
        <v>0</v>
      </c>
      <c r="AH872" t="str">
        <f t="shared" si="171"/>
        <v>Vikram Iyer</v>
      </c>
      <c r="AI872" t="str">
        <f t="shared" si="171"/>
        <v>Corporate</v>
      </c>
      <c r="AJ872" t="str">
        <f t="shared" si="171"/>
        <v>West</v>
      </c>
      <c r="AK872" t="str">
        <f t="shared" si="171"/>
        <v>Goa</v>
      </c>
      <c r="AL872" t="str">
        <f t="shared" si="170"/>
        <v>Panaji</v>
      </c>
      <c r="AM872" t="str">
        <f t="shared" si="170"/>
        <v>Furniture</v>
      </c>
      <c r="AN872" t="str">
        <f t="shared" si="170"/>
        <v>Tables</v>
      </c>
      <c r="AO872" t="str">
        <f t="shared" si="182"/>
        <v>Standard Class</v>
      </c>
      <c r="AP872" t="str">
        <f t="shared" si="172"/>
        <v>Paid</v>
      </c>
      <c r="AQ872" t="str">
        <f t="shared" si="172"/>
        <v>Cancelled</v>
      </c>
    </row>
    <row r="873" spans="1:43">
      <c r="A873" t="s">
        <v>3005</v>
      </c>
      <c r="B873" s="3">
        <v>45342</v>
      </c>
      <c r="C873" s="3">
        <v>45344</v>
      </c>
      <c r="D873" t="s">
        <v>2868</v>
      </c>
      <c r="E873" t="s">
        <v>165</v>
      </c>
      <c r="F873" t="s">
        <v>122</v>
      </c>
      <c r="G873" t="s">
        <v>140</v>
      </c>
      <c r="H873" t="s">
        <v>141</v>
      </c>
      <c r="I873" t="s">
        <v>142</v>
      </c>
      <c r="J873" t="s">
        <v>160</v>
      </c>
      <c r="K873" t="s">
        <v>161</v>
      </c>
      <c r="L873" t="s">
        <v>3006</v>
      </c>
      <c r="M873" t="s">
        <v>135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189</v>
      </c>
      <c r="U873" t="s">
        <v>44</v>
      </c>
      <c r="V873" s="2">
        <f t="shared" si="173"/>
        <v>0</v>
      </c>
      <c r="W873" s="2">
        <f t="shared" si="174"/>
        <v>19676.07</v>
      </c>
      <c r="X873" s="2">
        <f>W873-R873</f>
        <v>7217.4499999999989</v>
      </c>
      <c r="Y873" s="2">
        <f t="shared" si="175"/>
        <v>0.36681359641432454</v>
      </c>
      <c r="Z873" s="2">
        <f t="shared" si="176"/>
        <v>2</v>
      </c>
      <c r="AA873" s="2">
        <f t="shared" si="177"/>
        <v>2</v>
      </c>
      <c r="AB873" s="2">
        <f t="shared" si="178"/>
        <v>2024</v>
      </c>
      <c r="AC873" s="2" t="str">
        <f t="shared" si="179"/>
        <v>Valid</v>
      </c>
      <c r="AD873" s="2">
        <f t="shared" si="180"/>
        <v>0</v>
      </c>
      <c r="AE873" s="2">
        <f t="shared" si="181"/>
        <v>0</v>
      </c>
      <c r="AH873" t="str">
        <f t="shared" si="171"/>
        <v>Neha Gupta</v>
      </c>
      <c r="AI873" t="str">
        <f t="shared" si="171"/>
        <v>Small Business</v>
      </c>
      <c r="AJ873" t="str">
        <f t="shared" si="171"/>
        <v>South</v>
      </c>
      <c r="AK873" t="str">
        <f t="shared" si="171"/>
        <v>Telangana</v>
      </c>
      <c r="AL873" t="str">
        <f t="shared" si="170"/>
        <v>Hyderabad</v>
      </c>
      <c r="AM873" t="str">
        <f t="shared" si="170"/>
        <v>Technology</v>
      </c>
      <c r="AN873" t="str">
        <f t="shared" si="170"/>
        <v>Accessories</v>
      </c>
      <c r="AO873" t="str">
        <f t="shared" si="182"/>
        <v>First Class</v>
      </c>
      <c r="AP873" t="str">
        <f t="shared" si="172"/>
        <v>Refunded</v>
      </c>
      <c r="AQ873" t="str">
        <f t="shared" si="172"/>
        <v>Cancelled</v>
      </c>
    </row>
    <row r="874" spans="1:43">
      <c r="A874" t="s">
        <v>3007</v>
      </c>
      <c r="B874" s="3">
        <v>45597</v>
      </c>
      <c r="C874" s="3">
        <v>45598</v>
      </c>
      <c r="D874" t="s">
        <v>2225</v>
      </c>
      <c r="E874" t="s">
        <v>108</v>
      </c>
      <c r="F874" t="s">
        <v>177</v>
      </c>
      <c r="G874" t="s">
        <v>123</v>
      </c>
      <c r="H874" t="s">
        <v>186</v>
      </c>
      <c r="I874" t="s">
        <v>187</v>
      </c>
      <c r="J874" t="s">
        <v>126</v>
      </c>
      <c r="K874" t="s">
        <v>143</v>
      </c>
      <c r="L874" t="s">
        <v>3008</v>
      </c>
      <c r="M874" t="s">
        <v>145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117</v>
      </c>
      <c r="U874" t="s">
        <v>118</v>
      </c>
      <c r="V874" s="2">
        <f t="shared" si="173"/>
        <v>0.2</v>
      </c>
      <c r="W874" s="2">
        <f t="shared" si="174"/>
        <v>8848.08</v>
      </c>
      <c r="X874" s="2">
        <f>W874-R874</f>
        <v>3156.5199999999995</v>
      </c>
      <c r="Y874" s="2">
        <f t="shared" si="175"/>
        <v>0.35674632236598219</v>
      </c>
      <c r="Z874" s="2">
        <f t="shared" si="176"/>
        <v>1</v>
      </c>
      <c r="AA874" s="2">
        <f t="shared" si="177"/>
        <v>11</v>
      </c>
      <c r="AB874" s="2">
        <f t="shared" si="178"/>
        <v>2024</v>
      </c>
      <c r="AC874" s="2" t="str">
        <f t="shared" si="179"/>
        <v>Valid</v>
      </c>
      <c r="AD874" s="2">
        <f t="shared" si="180"/>
        <v>0</v>
      </c>
      <c r="AE874" s="2">
        <f t="shared" si="181"/>
        <v>0</v>
      </c>
      <c r="AH874" t="str">
        <f t="shared" si="171"/>
        <v>Karan Malhotra</v>
      </c>
      <c r="AI874" t="str">
        <f t="shared" si="171"/>
        <v>Corporate</v>
      </c>
      <c r="AJ874" t="str">
        <f t="shared" si="171"/>
        <v>East</v>
      </c>
      <c r="AK874" t="str">
        <f t="shared" si="171"/>
        <v>West Bengal</v>
      </c>
      <c r="AL874" t="str">
        <f t="shared" si="170"/>
        <v>Kolkata</v>
      </c>
      <c r="AM874" t="str">
        <f t="shared" si="170"/>
        <v>Furniture</v>
      </c>
      <c r="AN874" t="str">
        <f t="shared" si="170"/>
        <v>Furnishings</v>
      </c>
      <c r="AO874" t="str">
        <f t="shared" si="182"/>
        <v>Standard Class</v>
      </c>
      <c r="AP874" t="str">
        <f t="shared" si="172"/>
        <v>Paid</v>
      </c>
      <c r="AQ874" t="str">
        <f t="shared" si="172"/>
        <v>Completed</v>
      </c>
    </row>
    <row r="875" spans="1:43">
      <c r="A875" t="s">
        <v>3009</v>
      </c>
      <c r="B875" s="3">
        <v>45689</v>
      </c>
      <c r="C875" s="3">
        <v>45871</v>
      </c>
      <c r="D875" t="s">
        <v>3010</v>
      </c>
      <c r="E875" t="s">
        <v>176</v>
      </c>
      <c r="F875" t="s">
        <v>182</v>
      </c>
      <c r="G875" t="s">
        <v>149</v>
      </c>
      <c r="H875" t="s">
        <v>276</v>
      </c>
      <c r="I875" t="s">
        <v>277</v>
      </c>
      <c r="J875" t="s">
        <v>113</v>
      </c>
      <c r="K875" t="s">
        <v>213</v>
      </c>
      <c r="L875" t="s">
        <v>3011</v>
      </c>
      <c r="M875" t="s">
        <v>116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117</v>
      </c>
      <c r="U875" t="s">
        <v>118</v>
      </c>
      <c r="V875" s="2">
        <f t="shared" si="173"/>
        <v>0.1</v>
      </c>
      <c r="W875" s="2">
        <f t="shared" si="174"/>
        <v>4487.8319999999994</v>
      </c>
      <c r="X875" s="2">
        <f>W875-R875</f>
        <v>1854.0519999999992</v>
      </c>
      <c r="Y875" s="2">
        <f t="shared" si="175"/>
        <v>0.41312865543986482</v>
      </c>
      <c r="Z875" s="2">
        <f t="shared" si="176"/>
        <v>182</v>
      </c>
      <c r="AA875" s="2">
        <f t="shared" si="177"/>
        <v>2</v>
      </c>
      <c r="AB875" s="2">
        <f t="shared" si="178"/>
        <v>2025</v>
      </c>
      <c r="AC875" s="2" t="str">
        <f t="shared" si="179"/>
        <v>Valid</v>
      </c>
      <c r="AD875" s="2">
        <f t="shared" si="180"/>
        <v>0</v>
      </c>
      <c r="AE875" s="2">
        <f t="shared" si="181"/>
        <v>0</v>
      </c>
      <c r="AH875" t="str">
        <f t="shared" si="171"/>
        <v>Aditi Sen</v>
      </c>
      <c r="AI875" t="str">
        <f t="shared" si="171"/>
        <v>Home Office</v>
      </c>
      <c r="AJ875" t="str">
        <f t="shared" si="171"/>
        <v>West</v>
      </c>
      <c r="AK875" t="str">
        <f t="shared" si="171"/>
        <v>Gujarat</v>
      </c>
      <c r="AL875" t="str">
        <f t="shared" si="170"/>
        <v>Ahmedabad</v>
      </c>
      <c r="AM875" t="str">
        <f t="shared" si="170"/>
        <v>Office Supplies</v>
      </c>
      <c r="AN875" t="str">
        <f t="shared" si="170"/>
        <v>Storage</v>
      </c>
      <c r="AO875" t="str">
        <f t="shared" si="182"/>
        <v>Second Class</v>
      </c>
      <c r="AP875" t="str">
        <f t="shared" si="172"/>
        <v>Paid</v>
      </c>
      <c r="AQ875" t="str">
        <f t="shared" si="172"/>
        <v>Completed</v>
      </c>
    </row>
    <row r="876" spans="1:43">
      <c r="A876" t="s">
        <v>3012</v>
      </c>
      <c r="B876" s="3">
        <v>45853</v>
      </c>
      <c r="C876" s="3">
        <v>45854</v>
      </c>
      <c r="D876" t="s">
        <v>3013</v>
      </c>
      <c r="E876" t="s">
        <v>157</v>
      </c>
      <c r="F876" t="s">
        <v>122</v>
      </c>
      <c r="G876" t="s">
        <v>149</v>
      </c>
      <c r="H876" t="s">
        <v>150</v>
      </c>
      <c r="I876" t="s">
        <v>151</v>
      </c>
      <c r="J876" t="s">
        <v>113</v>
      </c>
      <c r="K876" t="s">
        <v>114</v>
      </c>
      <c r="L876" t="s">
        <v>3014</v>
      </c>
      <c r="M876" t="s">
        <v>145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117</v>
      </c>
      <c r="U876" t="s">
        <v>118</v>
      </c>
      <c r="V876" s="2">
        <f t="shared" si="173"/>
        <v>0.05</v>
      </c>
      <c r="W876" s="2">
        <f t="shared" si="174"/>
        <v>29829.088</v>
      </c>
      <c r="X876" s="2">
        <f>W876-R876</f>
        <v>9118.9079999999994</v>
      </c>
      <c r="Y876" s="2">
        <f t="shared" si="175"/>
        <v>0.30570522303598419</v>
      </c>
      <c r="Z876" s="2">
        <f t="shared" si="176"/>
        <v>1</v>
      </c>
      <c r="AA876" s="2">
        <f t="shared" si="177"/>
        <v>7</v>
      </c>
      <c r="AB876" s="2">
        <f t="shared" si="178"/>
        <v>2025</v>
      </c>
      <c r="AC876" s="2" t="str">
        <f t="shared" si="179"/>
        <v>Valid</v>
      </c>
      <c r="AD876" s="2">
        <f t="shared" si="180"/>
        <v>0</v>
      </c>
      <c r="AE876" s="2">
        <f t="shared" si="181"/>
        <v>0</v>
      </c>
      <c r="AH876" t="str">
        <f t="shared" si="171"/>
        <v>Vikram Iyer</v>
      </c>
      <c r="AI876" t="str">
        <f t="shared" si="171"/>
        <v>Small Business</v>
      </c>
      <c r="AJ876" t="str">
        <f t="shared" si="171"/>
        <v>West</v>
      </c>
      <c r="AK876" t="str">
        <f t="shared" si="171"/>
        <v>Maharashtra</v>
      </c>
      <c r="AL876" t="str">
        <f t="shared" si="170"/>
        <v>Mumbai</v>
      </c>
      <c r="AM876" t="str">
        <f t="shared" si="170"/>
        <v>Office Supplies</v>
      </c>
      <c r="AN876" t="str">
        <f t="shared" si="170"/>
        <v>Paper</v>
      </c>
      <c r="AO876" t="str">
        <f t="shared" si="182"/>
        <v>Standard Class</v>
      </c>
      <c r="AP876" t="str">
        <f t="shared" si="172"/>
        <v>Paid</v>
      </c>
      <c r="AQ876" t="str">
        <f t="shared" si="172"/>
        <v>Completed</v>
      </c>
    </row>
    <row r="877" spans="1:43">
      <c r="A877" t="s">
        <v>3015</v>
      </c>
      <c r="B877" s="3">
        <v>45514</v>
      </c>
      <c r="C877" s="3">
        <v>45515</v>
      </c>
      <c r="D877" t="s">
        <v>3016</v>
      </c>
      <c r="E877" t="s">
        <v>121</v>
      </c>
      <c r="F877" t="s">
        <v>177</v>
      </c>
      <c r="G877" t="s">
        <v>149</v>
      </c>
      <c r="H877" t="s">
        <v>150</v>
      </c>
      <c r="I877" t="s">
        <v>151</v>
      </c>
      <c r="J877" t="s">
        <v>160</v>
      </c>
      <c r="K877" t="s">
        <v>166</v>
      </c>
      <c r="L877" t="s">
        <v>3017</v>
      </c>
      <c r="M877" t="s">
        <v>135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117</v>
      </c>
      <c r="U877" t="s">
        <v>118</v>
      </c>
      <c r="V877" s="2">
        <f t="shared" si="173"/>
        <v>0.2</v>
      </c>
      <c r="W877" s="2">
        <f t="shared" si="174"/>
        <v>21574.672000000002</v>
      </c>
      <c r="X877" s="2">
        <f>W877-R877</f>
        <v>6901.8420000000024</v>
      </c>
      <c r="Y877" s="2">
        <f t="shared" si="175"/>
        <v>0.31990484026825539</v>
      </c>
      <c r="Z877" s="2">
        <f t="shared" si="176"/>
        <v>1</v>
      </c>
      <c r="AA877" s="2">
        <f t="shared" si="177"/>
        <v>8</v>
      </c>
      <c r="AB877" s="2">
        <f t="shared" si="178"/>
        <v>2024</v>
      </c>
      <c r="AC877" s="2" t="str">
        <f t="shared" si="179"/>
        <v>Valid</v>
      </c>
      <c r="AD877" s="2">
        <f t="shared" si="180"/>
        <v>0</v>
      </c>
      <c r="AE877" s="2">
        <f t="shared" si="181"/>
        <v>0</v>
      </c>
      <c r="AH877" t="str">
        <f t="shared" si="171"/>
        <v>Mira Das</v>
      </c>
      <c r="AI877" t="str">
        <f t="shared" si="171"/>
        <v>Corporate</v>
      </c>
      <c r="AJ877" t="str">
        <f t="shared" si="171"/>
        <v>West</v>
      </c>
      <c r="AK877" t="str">
        <f t="shared" si="171"/>
        <v>Maharashtra</v>
      </c>
      <c r="AL877" t="str">
        <f t="shared" si="170"/>
        <v>Mumbai</v>
      </c>
      <c r="AM877" t="str">
        <f t="shared" si="170"/>
        <v>Technology</v>
      </c>
      <c r="AN877" t="str">
        <f t="shared" si="170"/>
        <v>Copiers</v>
      </c>
      <c r="AO877" t="str">
        <f t="shared" si="182"/>
        <v>First Class</v>
      </c>
      <c r="AP877" t="str">
        <f t="shared" si="172"/>
        <v>Paid</v>
      </c>
      <c r="AQ877" t="str">
        <f t="shared" si="172"/>
        <v>Completed</v>
      </c>
    </row>
    <row r="878" spans="1:43">
      <c r="A878" t="s">
        <v>3018</v>
      </c>
      <c r="B878" s="3">
        <v>45614</v>
      </c>
      <c r="C878" s="3" t="s">
        <v>3019</v>
      </c>
      <c r="D878" t="s">
        <v>3020</v>
      </c>
      <c r="E878" t="s">
        <v>203</v>
      </c>
      <c r="F878" t="s">
        <v>109</v>
      </c>
      <c r="G878" t="s">
        <v>149</v>
      </c>
      <c r="H878" t="s">
        <v>111</v>
      </c>
      <c r="I878" t="s">
        <v>197</v>
      </c>
      <c r="J878" t="s">
        <v>126</v>
      </c>
      <c r="K878" t="s">
        <v>152</v>
      </c>
      <c r="L878" t="s">
        <v>1016</v>
      </c>
      <c r="M878" t="s">
        <v>135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117</v>
      </c>
      <c r="U878" t="s">
        <v>118</v>
      </c>
      <c r="V878" s="2">
        <f t="shared" si="173"/>
        <v>0</v>
      </c>
      <c r="W878" s="2">
        <f t="shared" si="174"/>
        <v>22741.32</v>
      </c>
      <c r="X878" s="2">
        <f>W878-R878</f>
        <v>6352.75</v>
      </c>
      <c r="Y878" s="2">
        <f t="shared" si="175"/>
        <v>0.27934834037777928</v>
      </c>
      <c r="Z878" s="2" t="str">
        <f t="shared" si="176"/>
        <v/>
      </c>
      <c r="AA878" s="2">
        <f t="shared" si="177"/>
        <v>11</v>
      </c>
      <c r="AB878" s="2">
        <f t="shared" si="178"/>
        <v>2024</v>
      </c>
      <c r="AC878" s="2" t="str">
        <f t="shared" si="179"/>
        <v>Text Value Not Recognized as Date</v>
      </c>
      <c r="AD878" s="2">
        <f t="shared" si="180"/>
        <v>0</v>
      </c>
      <c r="AE878" s="2">
        <f t="shared" si="181"/>
        <v>0</v>
      </c>
      <c r="AH878" t="str">
        <f t="shared" si="171"/>
        <v>Priya Menon</v>
      </c>
      <c r="AI878" t="str">
        <f t="shared" si="171"/>
        <v>Consumer</v>
      </c>
      <c r="AJ878" t="str">
        <f t="shared" si="171"/>
        <v>West</v>
      </c>
      <c r="AK878" t="str">
        <f t="shared" si="171"/>
        <v>Rajasthan</v>
      </c>
      <c r="AL878" t="str">
        <f t="shared" si="170"/>
        <v>Udaipur</v>
      </c>
      <c r="AM878" t="str">
        <f t="shared" si="170"/>
        <v>Furniture</v>
      </c>
      <c r="AN878" t="str">
        <f t="shared" si="170"/>
        <v>Chairs</v>
      </c>
      <c r="AO878" t="str">
        <f t="shared" si="182"/>
        <v>First Class</v>
      </c>
      <c r="AP878" t="str">
        <f t="shared" si="172"/>
        <v>Paid</v>
      </c>
      <c r="AQ878" t="str">
        <f t="shared" si="172"/>
        <v>Completed</v>
      </c>
    </row>
    <row r="879" spans="1:43">
      <c r="A879" t="s">
        <v>3021</v>
      </c>
      <c r="B879" s="3" t="s">
        <v>3022</v>
      </c>
      <c r="C879" s="3">
        <v>45903</v>
      </c>
      <c r="D879" t="s">
        <v>3023</v>
      </c>
      <c r="E879" t="s">
        <v>218</v>
      </c>
      <c r="F879" t="s">
        <v>109</v>
      </c>
      <c r="G879" t="s">
        <v>149</v>
      </c>
      <c r="H879" t="s">
        <v>111</v>
      </c>
      <c r="I879" t="s">
        <v>197</v>
      </c>
      <c r="J879" t="s">
        <v>113</v>
      </c>
      <c r="K879" t="s">
        <v>213</v>
      </c>
      <c r="L879" t="s">
        <v>3024</v>
      </c>
      <c r="M879" t="s">
        <v>116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117</v>
      </c>
      <c r="U879" t="s">
        <v>118</v>
      </c>
      <c r="V879" s="2">
        <f t="shared" si="173"/>
        <v>0.1</v>
      </c>
      <c r="W879" s="2">
        <f t="shared" si="174"/>
        <v>3641.5439999999999</v>
      </c>
      <c r="X879" s="2">
        <f>W879-R879</f>
        <v>951.17399999999998</v>
      </c>
      <c r="Y879" s="2">
        <f t="shared" si="175"/>
        <v>0.26120074342092253</v>
      </c>
      <c r="Z879" s="2" t="str">
        <f t="shared" si="176"/>
        <v/>
      </c>
      <c r="AA879" s="2" t="e">
        <f t="shared" si="177"/>
        <v>#VALUE!</v>
      </c>
      <c r="AB879" s="2" t="e">
        <f t="shared" si="178"/>
        <v>#VALUE!</v>
      </c>
      <c r="AC879" s="2" t="str">
        <f t="shared" si="179"/>
        <v>Text Value Not Recognized as Date</v>
      </c>
      <c r="AD879" s="2">
        <f t="shared" si="180"/>
        <v>0</v>
      </c>
      <c r="AE879" s="2">
        <f t="shared" si="181"/>
        <v>0</v>
      </c>
      <c r="AH879" t="str">
        <f t="shared" si="171"/>
        <v>Aarav Sharma</v>
      </c>
      <c r="AI879" t="str">
        <f t="shared" si="171"/>
        <v>Consumer</v>
      </c>
      <c r="AJ879" t="str">
        <f t="shared" si="171"/>
        <v>West</v>
      </c>
      <c r="AK879" t="str">
        <f t="shared" si="171"/>
        <v>Rajasthan</v>
      </c>
      <c r="AL879" t="str">
        <f t="shared" si="170"/>
        <v>Udaipur</v>
      </c>
      <c r="AM879" t="str">
        <f t="shared" si="170"/>
        <v>Office Supplies</v>
      </c>
      <c r="AN879" t="str">
        <f t="shared" si="170"/>
        <v>Storage</v>
      </c>
      <c r="AO879" t="str">
        <f t="shared" si="182"/>
        <v>Second Class</v>
      </c>
      <c r="AP879" t="str">
        <f t="shared" si="172"/>
        <v>Paid</v>
      </c>
      <c r="AQ879" t="str">
        <f t="shared" si="172"/>
        <v>Completed</v>
      </c>
    </row>
    <row r="880" spans="1:43">
      <c r="A880" t="s">
        <v>3025</v>
      </c>
      <c r="B880" s="3">
        <v>45313</v>
      </c>
      <c r="C880" s="3">
        <v>45313</v>
      </c>
      <c r="D880" t="s">
        <v>3026</v>
      </c>
      <c r="E880" t="s">
        <v>108</v>
      </c>
      <c r="F880" t="s">
        <v>177</v>
      </c>
      <c r="G880" t="s">
        <v>123</v>
      </c>
      <c r="H880" t="s">
        <v>186</v>
      </c>
      <c r="I880" t="s">
        <v>187</v>
      </c>
      <c r="J880" t="s">
        <v>113</v>
      </c>
      <c r="K880" t="s">
        <v>114</v>
      </c>
      <c r="L880" t="s">
        <v>3027</v>
      </c>
      <c r="M880" t="s">
        <v>135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117</v>
      </c>
      <c r="U880" t="s">
        <v>118</v>
      </c>
      <c r="V880" s="2">
        <f t="shared" si="173"/>
        <v>0.05</v>
      </c>
      <c r="W880" s="2">
        <f t="shared" si="174"/>
        <v>11834.796</v>
      </c>
      <c r="X880" s="2">
        <f>W880-R880</f>
        <v>2512.4359999999997</v>
      </c>
      <c r="Y880" s="2">
        <f t="shared" si="175"/>
        <v>0.21229229468763125</v>
      </c>
      <c r="Z880" s="2">
        <f t="shared" si="176"/>
        <v>0</v>
      </c>
      <c r="AA880" s="2">
        <f t="shared" si="177"/>
        <v>1</v>
      </c>
      <c r="AB880" s="2">
        <f t="shared" si="178"/>
        <v>2024</v>
      </c>
      <c r="AC880" s="2" t="str">
        <f t="shared" si="179"/>
        <v>Valid</v>
      </c>
      <c r="AD880" s="2">
        <f t="shared" si="180"/>
        <v>0</v>
      </c>
      <c r="AE880" s="2">
        <f t="shared" si="181"/>
        <v>0</v>
      </c>
      <c r="AH880" t="str">
        <f t="shared" si="171"/>
        <v>Karan Malhotra</v>
      </c>
      <c r="AI880" t="str">
        <f t="shared" si="171"/>
        <v>Corporate</v>
      </c>
      <c r="AJ880" t="str">
        <f t="shared" si="171"/>
        <v>East</v>
      </c>
      <c r="AK880" t="str">
        <f t="shared" si="171"/>
        <v>West Bengal</v>
      </c>
      <c r="AL880" t="str">
        <f t="shared" si="170"/>
        <v>Kolkata</v>
      </c>
      <c r="AM880" t="str">
        <f t="shared" si="170"/>
        <v>Office Supplies</v>
      </c>
      <c r="AN880" t="str">
        <f t="shared" si="170"/>
        <v>Paper</v>
      </c>
      <c r="AO880" t="str">
        <f t="shared" si="182"/>
        <v>First Class</v>
      </c>
      <c r="AP880" t="str">
        <f t="shared" si="172"/>
        <v>Paid</v>
      </c>
      <c r="AQ880" t="str">
        <f t="shared" si="172"/>
        <v>Completed</v>
      </c>
    </row>
    <row r="881" spans="1:43">
      <c r="A881" t="s">
        <v>3028</v>
      </c>
      <c r="B881" s="3">
        <v>45896</v>
      </c>
      <c r="C881" s="3">
        <v>45897</v>
      </c>
      <c r="D881" t="s">
        <v>3029</v>
      </c>
      <c r="E881" t="s">
        <v>148</v>
      </c>
      <c r="F881" t="s">
        <v>182</v>
      </c>
      <c r="G881" t="s">
        <v>110</v>
      </c>
      <c r="H881" t="s">
        <v>227</v>
      </c>
      <c r="I881" t="s">
        <v>228</v>
      </c>
      <c r="J881" t="s">
        <v>113</v>
      </c>
      <c r="K881" t="s">
        <v>133</v>
      </c>
      <c r="L881" t="s">
        <v>3030</v>
      </c>
      <c r="M881" t="s">
        <v>145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117</v>
      </c>
      <c r="U881" t="s">
        <v>118</v>
      </c>
      <c r="V881" s="2">
        <f t="shared" si="173"/>
        <v>0.15</v>
      </c>
      <c r="W881" s="2">
        <f t="shared" si="174"/>
        <v>6028.3530000000001</v>
      </c>
      <c r="X881" s="2">
        <f>W881-R881</f>
        <v>1594.723</v>
      </c>
      <c r="Y881" s="2">
        <f t="shared" si="175"/>
        <v>0.26453709661660491</v>
      </c>
      <c r="Z881" s="2">
        <f t="shared" si="176"/>
        <v>1</v>
      </c>
      <c r="AA881" s="2">
        <f t="shared" si="177"/>
        <v>8</v>
      </c>
      <c r="AB881" s="2">
        <f t="shared" si="178"/>
        <v>2025</v>
      </c>
      <c r="AC881" s="2" t="str">
        <f t="shared" si="179"/>
        <v>Valid</v>
      </c>
      <c r="AD881" s="2">
        <f t="shared" si="180"/>
        <v>0</v>
      </c>
      <c r="AE881" s="2">
        <f t="shared" si="181"/>
        <v>0</v>
      </c>
      <c r="AH881" t="str">
        <f t="shared" si="171"/>
        <v>Ananya Rao</v>
      </c>
      <c r="AI881" t="str">
        <f t="shared" si="171"/>
        <v>Home Office</v>
      </c>
      <c r="AJ881" t="str">
        <f t="shared" si="171"/>
        <v>North</v>
      </c>
      <c r="AK881" t="str">
        <f t="shared" si="171"/>
        <v>Uttar Pradesh</v>
      </c>
      <c r="AL881" t="str">
        <f t="shared" si="170"/>
        <v>Noida</v>
      </c>
      <c r="AM881" t="str">
        <f t="shared" si="170"/>
        <v>Office Supplies</v>
      </c>
      <c r="AN881" t="str">
        <f t="shared" si="170"/>
        <v>Art</v>
      </c>
      <c r="AO881" t="str">
        <f t="shared" si="182"/>
        <v>Standard Class</v>
      </c>
      <c r="AP881" t="str">
        <f t="shared" si="172"/>
        <v>Paid</v>
      </c>
      <c r="AQ881" t="str">
        <f t="shared" si="172"/>
        <v>Completed</v>
      </c>
    </row>
    <row r="882" spans="1:43">
      <c r="A882" t="s">
        <v>3031</v>
      </c>
      <c r="B882" s="3">
        <v>45507</v>
      </c>
      <c r="C882" s="3">
        <v>45366</v>
      </c>
      <c r="D882" t="s">
        <v>3032</v>
      </c>
      <c r="E882" t="s">
        <v>218</v>
      </c>
      <c r="F882" t="s">
        <v>122</v>
      </c>
      <c r="H882" t="s">
        <v>211</v>
      </c>
      <c r="I882" t="s">
        <v>212</v>
      </c>
      <c r="J882" t="s">
        <v>126</v>
      </c>
      <c r="K882" t="s">
        <v>152</v>
      </c>
      <c r="L882" t="s">
        <v>3033</v>
      </c>
      <c r="M882" t="s">
        <v>135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117</v>
      </c>
      <c r="U882" t="s">
        <v>118</v>
      </c>
      <c r="V882" s="2">
        <f t="shared" si="173"/>
        <v>0</v>
      </c>
      <c r="W882" s="2">
        <f t="shared" si="174"/>
        <v>16173.85</v>
      </c>
      <c r="X882" s="2">
        <f>W882-R882</f>
        <v>2537.5100000000002</v>
      </c>
      <c r="Y882" s="2">
        <f t="shared" si="175"/>
        <v>0.15688967067210344</v>
      </c>
      <c r="Z882" s="2">
        <f t="shared" si="176"/>
        <v>-141</v>
      </c>
      <c r="AA882" s="2">
        <f t="shared" si="177"/>
        <v>8</v>
      </c>
      <c r="AB882" s="2">
        <f t="shared" si="178"/>
        <v>2024</v>
      </c>
      <c r="AC882" s="2" t="str">
        <f t="shared" si="179"/>
        <v>Missing region</v>
      </c>
      <c r="AD882" s="2">
        <f t="shared" si="180"/>
        <v>0</v>
      </c>
      <c r="AE882" s="2">
        <f t="shared" si="181"/>
        <v>0</v>
      </c>
      <c r="AH882" t="str">
        <f t="shared" si="171"/>
        <v>Aarav Sharma</v>
      </c>
      <c r="AI882" t="str">
        <f t="shared" si="171"/>
        <v>Small Business</v>
      </c>
      <c r="AJ882" t="s">
        <v>306</v>
      </c>
      <c r="AK882" t="str">
        <f t="shared" si="171"/>
        <v>Punjab</v>
      </c>
      <c r="AL882" t="str">
        <f t="shared" si="170"/>
        <v>Ludhiana</v>
      </c>
      <c r="AM882" t="str">
        <f t="shared" si="170"/>
        <v>Furniture</v>
      </c>
      <c r="AN882" t="str">
        <f t="shared" si="170"/>
        <v>Chairs</v>
      </c>
      <c r="AO882" t="str">
        <f t="shared" si="182"/>
        <v>First Class</v>
      </c>
      <c r="AP882" t="str">
        <f t="shared" si="172"/>
        <v>Paid</v>
      </c>
      <c r="AQ882" t="str">
        <f t="shared" si="172"/>
        <v>Completed</v>
      </c>
    </row>
    <row r="883" spans="1:43">
      <c r="A883" t="s">
        <v>3034</v>
      </c>
      <c r="B883" s="3">
        <v>45627</v>
      </c>
      <c r="C883" s="3">
        <v>45424</v>
      </c>
      <c r="D883" t="s">
        <v>3035</v>
      </c>
      <c r="E883" t="s">
        <v>148</v>
      </c>
      <c r="F883" t="s">
        <v>122</v>
      </c>
      <c r="G883" t="s">
        <v>140</v>
      </c>
      <c r="H883" t="s">
        <v>171</v>
      </c>
      <c r="I883" t="s">
        <v>172</v>
      </c>
      <c r="J883" t="s">
        <v>160</v>
      </c>
      <c r="K883" t="s">
        <v>166</v>
      </c>
      <c r="L883" t="s">
        <v>3036</v>
      </c>
      <c r="M883" t="s">
        <v>116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117</v>
      </c>
      <c r="U883" t="s">
        <v>118</v>
      </c>
      <c r="V883" s="2">
        <f t="shared" si="173"/>
        <v>0.25</v>
      </c>
      <c r="W883" s="2">
        <f t="shared" si="174"/>
        <v>25155.5625</v>
      </c>
      <c r="X883" s="2">
        <f>W883-R883</f>
        <v>7562.8725000000013</v>
      </c>
      <c r="Y883" s="2">
        <f t="shared" si="175"/>
        <v>0.30064414182747856</v>
      </c>
      <c r="Z883" s="2">
        <f t="shared" si="176"/>
        <v>-203</v>
      </c>
      <c r="AA883" s="2">
        <f t="shared" si="177"/>
        <v>12</v>
      </c>
      <c r="AB883" s="2">
        <f t="shared" si="178"/>
        <v>2024</v>
      </c>
      <c r="AC883" s="2" t="str">
        <f t="shared" si="179"/>
        <v>Invalid shipping record</v>
      </c>
      <c r="AD883" s="2">
        <f t="shared" si="180"/>
        <v>0</v>
      </c>
      <c r="AE883" s="2">
        <f t="shared" si="181"/>
        <v>0</v>
      </c>
      <c r="AH883" t="str">
        <f t="shared" si="171"/>
        <v>Ananya Rao</v>
      </c>
      <c r="AI883" t="str">
        <f t="shared" si="171"/>
        <v>Small Business</v>
      </c>
      <c r="AJ883" t="str">
        <f t="shared" si="171"/>
        <v>South</v>
      </c>
      <c r="AK883" t="str">
        <f t="shared" si="171"/>
        <v>Andhra Pradesh</v>
      </c>
      <c r="AL883" t="str">
        <f t="shared" si="170"/>
        <v>Vijayawada</v>
      </c>
      <c r="AM883" t="str">
        <f t="shared" si="170"/>
        <v>Technology</v>
      </c>
      <c r="AN883" t="str">
        <f t="shared" si="170"/>
        <v>Copiers</v>
      </c>
      <c r="AO883" t="str">
        <f t="shared" si="182"/>
        <v>Second Class</v>
      </c>
      <c r="AP883" t="str">
        <f t="shared" si="172"/>
        <v>Paid</v>
      </c>
      <c r="AQ883" t="str">
        <f t="shared" si="172"/>
        <v>Completed</v>
      </c>
    </row>
    <row r="884" spans="1:43">
      <c r="A884" t="s">
        <v>3037</v>
      </c>
      <c r="B884" s="3">
        <v>45690</v>
      </c>
      <c r="C884" s="3">
        <v>45698</v>
      </c>
      <c r="D884" t="s">
        <v>3038</v>
      </c>
      <c r="E884" t="s">
        <v>222</v>
      </c>
      <c r="F884" t="s">
        <v>177</v>
      </c>
      <c r="G884" t="s">
        <v>123</v>
      </c>
      <c r="H884" t="s">
        <v>237</v>
      </c>
      <c r="I884" t="s">
        <v>238</v>
      </c>
      <c r="J884" t="s">
        <v>160</v>
      </c>
      <c r="K884" t="s">
        <v>161</v>
      </c>
      <c r="L884" t="s">
        <v>3039</v>
      </c>
      <c r="M884" t="s">
        <v>145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199</v>
      </c>
      <c r="U884" t="s">
        <v>190</v>
      </c>
      <c r="V884" s="2">
        <f t="shared" si="173"/>
        <v>0</v>
      </c>
      <c r="W884" s="2">
        <f t="shared" si="174"/>
        <v>7649.8</v>
      </c>
      <c r="X884" s="2">
        <f>W884-R884</f>
        <v>2755.2700000000004</v>
      </c>
      <c r="Y884" s="2">
        <f t="shared" si="175"/>
        <v>0.36017542942299152</v>
      </c>
      <c r="Z884" s="2">
        <f t="shared" si="176"/>
        <v>8</v>
      </c>
      <c r="AA884" s="2">
        <f t="shared" si="177"/>
        <v>2</v>
      </c>
      <c r="AB884" s="2">
        <f t="shared" si="178"/>
        <v>2025</v>
      </c>
      <c r="AC884" s="2" t="str">
        <f t="shared" si="179"/>
        <v>Valid</v>
      </c>
      <c r="AD884" s="2">
        <f t="shared" si="180"/>
        <v>0</v>
      </c>
      <c r="AE884" s="2">
        <f t="shared" si="181"/>
        <v>0</v>
      </c>
      <c r="AH884" t="str">
        <f t="shared" si="171"/>
        <v>Sneha Kapoor</v>
      </c>
      <c r="AI884" t="str">
        <f t="shared" si="171"/>
        <v>Corporate</v>
      </c>
      <c r="AJ884" t="str">
        <f t="shared" si="171"/>
        <v>East</v>
      </c>
      <c r="AK884" t="str">
        <f t="shared" si="171"/>
        <v>Bihar</v>
      </c>
      <c r="AL884" t="str">
        <f t="shared" si="170"/>
        <v>Patna</v>
      </c>
      <c r="AM884" t="str">
        <f t="shared" si="170"/>
        <v>Technology</v>
      </c>
      <c r="AN884" t="str">
        <f t="shared" si="170"/>
        <v>Accessories</v>
      </c>
      <c r="AO884" t="str">
        <f t="shared" si="182"/>
        <v>Standard Class</v>
      </c>
      <c r="AP884" t="str">
        <f t="shared" si="172"/>
        <v>Pending</v>
      </c>
      <c r="AQ884" t="str">
        <f t="shared" si="172"/>
        <v>Returned</v>
      </c>
    </row>
    <row r="885" spans="1:43">
      <c r="A885" t="s">
        <v>3040</v>
      </c>
      <c r="B885" s="3">
        <v>45775</v>
      </c>
      <c r="C885" s="3">
        <v>45778</v>
      </c>
      <c r="D885" t="s">
        <v>3041</v>
      </c>
      <c r="E885" t="s">
        <v>218</v>
      </c>
      <c r="F885" t="s">
        <v>122</v>
      </c>
      <c r="G885" t="s">
        <v>149</v>
      </c>
      <c r="H885" t="s">
        <v>287</v>
      </c>
      <c r="I885" t="s">
        <v>288</v>
      </c>
      <c r="J885" t="s">
        <v>113</v>
      </c>
      <c r="K885" t="s">
        <v>213</v>
      </c>
      <c r="L885" t="s">
        <v>3042</v>
      </c>
      <c r="M885" t="s">
        <v>129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117</v>
      </c>
      <c r="U885" t="s">
        <v>118</v>
      </c>
      <c r="V885" s="2">
        <f t="shared" si="173"/>
        <v>0</v>
      </c>
      <c r="W885" s="2">
        <f t="shared" si="174"/>
        <v>1620.87</v>
      </c>
      <c r="X885" s="2">
        <f>W885-R885</f>
        <v>517.26</v>
      </c>
      <c r="Y885" s="2">
        <f t="shared" si="175"/>
        <v>0.31912491439782342</v>
      </c>
      <c r="Z885" s="2">
        <f t="shared" si="176"/>
        <v>3</v>
      </c>
      <c r="AA885" s="2">
        <f t="shared" si="177"/>
        <v>4</v>
      </c>
      <c r="AB885" s="2">
        <f t="shared" si="178"/>
        <v>2025</v>
      </c>
      <c r="AC885" s="2" t="str">
        <f t="shared" si="179"/>
        <v>Valid</v>
      </c>
      <c r="AD885" s="2">
        <f t="shared" si="180"/>
        <v>0</v>
      </c>
      <c r="AE885" s="2">
        <f t="shared" si="181"/>
        <v>0</v>
      </c>
      <c r="AH885" t="str">
        <f t="shared" si="171"/>
        <v>Aarav Sharma</v>
      </c>
      <c r="AI885" t="str">
        <f t="shared" si="171"/>
        <v>Small Business</v>
      </c>
      <c r="AJ885" t="str">
        <f t="shared" si="171"/>
        <v>West</v>
      </c>
      <c r="AK885" t="str">
        <f t="shared" si="171"/>
        <v>Goa</v>
      </c>
      <c r="AL885" t="str">
        <f t="shared" si="170"/>
        <v>Panaji</v>
      </c>
      <c r="AM885" t="str">
        <f t="shared" si="170"/>
        <v>Office Supplies</v>
      </c>
      <c r="AN885" t="str">
        <f t="shared" si="170"/>
        <v>Storage</v>
      </c>
      <c r="AO885" t="str">
        <f t="shared" si="182"/>
        <v>Same Day</v>
      </c>
      <c r="AP885" t="str">
        <f t="shared" si="172"/>
        <v>Paid</v>
      </c>
      <c r="AQ885" t="str">
        <f t="shared" si="172"/>
        <v>Completed</v>
      </c>
    </row>
    <row r="886" spans="1:43">
      <c r="A886" t="s">
        <v>3043</v>
      </c>
      <c r="B886" s="3" t="s">
        <v>3044</v>
      </c>
      <c r="C886" s="3">
        <v>45682</v>
      </c>
      <c r="D886" t="s">
        <v>3045</v>
      </c>
      <c r="E886" t="s">
        <v>165</v>
      </c>
      <c r="F886" t="s">
        <v>182</v>
      </c>
      <c r="G886" t="s">
        <v>140</v>
      </c>
      <c r="H886" t="s">
        <v>270</v>
      </c>
      <c r="I886" t="s">
        <v>271</v>
      </c>
      <c r="J886" t="s">
        <v>113</v>
      </c>
      <c r="K886" t="s">
        <v>213</v>
      </c>
      <c r="L886" t="s">
        <v>3046</v>
      </c>
      <c r="M886" t="s">
        <v>129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117</v>
      </c>
      <c r="U886" t="s">
        <v>118</v>
      </c>
      <c r="V886" s="2">
        <f t="shared" si="173"/>
        <v>0.15</v>
      </c>
      <c r="W886" s="2">
        <f t="shared" si="174"/>
        <v>3567.518</v>
      </c>
      <c r="X886" s="2">
        <f>W886-R886</f>
        <v>1155.7179999999998</v>
      </c>
      <c r="Y886" s="2">
        <f t="shared" si="175"/>
        <v>0.32395575859743381</v>
      </c>
      <c r="Z886" s="2" t="str">
        <f t="shared" si="176"/>
        <v/>
      </c>
      <c r="AA886" s="2" t="e">
        <f t="shared" si="177"/>
        <v>#VALUE!</v>
      </c>
      <c r="AB886" s="2" t="e">
        <f t="shared" si="178"/>
        <v>#VALUE!</v>
      </c>
      <c r="AC886" s="2" t="str">
        <f t="shared" si="179"/>
        <v>Text Value Not Recognized as Date</v>
      </c>
      <c r="AD886" s="2">
        <f t="shared" si="180"/>
        <v>0</v>
      </c>
      <c r="AE886" s="2">
        <f t="shared" si="181"/>
        <v>0</v>
      </c>
      <c r="AH886" t="str">
        <f t="shared" si="171"/>
        <v>Neha Gupta</v>
      </c>
      <c r="AI886" t="str">
        <f t="shared" si="171"/>
        <v>Home Office</v>
      </c>
      <c r="AJ886" t="str">
        <f t="shared" si="171"/>
        <v>South</v>
      </c>
      <c r="AK886" t="str">
        <f t="shared" si="171"/>
        <v>Karnataka</v>
      </c>
      <c r="AL886" t="str">
        <f t="shared" si="170"/>
        <v>Bengaluru</v>
      </c>
      <c r="AM886" t="str">
        <f t="shared" si="170"/>
        <v>Office Supplies</v>
      </c>
      <c r="AN886" t="str">
        <f t="shared" si="170"/>
        <v>Storage</v>
      </c>
      <c r="AO886" t="str">
        <f t="shared" si="182"/>
        <v>Same Day</v>
      </c>
      <c r="AP886" t="str">
        <f t="shared" si="172"/>
        <v>Paid</v>
      </c>
      <c r="AQ886" t="str">
        <f t="shared" si="172"/>
        <v>Completed</v>
      </c>
    </row>
    <row r="887" spans="1:43">
      <c r="A887" t="s">
        <v>3047</v>
      </c>
      <c r="B887" s="3">
        <v>45296</v>
      </c>
      <c r="C887" s="3">
        <v>45296</v>
      </c>
      <c r="D887" t="s">
        <v>3048</v>
      </c>
      <c r="E887" t="s">
        <v>256</v>
      </c>
      <c r="F887" t="s">
        <v>109</v>
      </c>
      <c r="G887" t="s">
        <v>110</v>
      </c>
      <c r="H887" t="s">
        <v>111</v>
      </c>
      <c r="I887" t="s">
        <v>112</v>
      </c>
      <c r="J887" t="s">
        <v>126</v>
      </c>
      <c r="K887" t="s">
        <v>127</v>
      </c>
      <c r="L887" t="s">
        <v>3049</v>
      </c>
      <c r="M887" t="s">
        <v>145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117</v>
      </c>
      <c r="U887" t="s">
        <v>118</v>
      </c>
      <c r="V887" s="2">
        <f t="shared" si="173"/>
        <v>0.25</v>
      </c>
      <c r="W887" s="2">
        <f t="shared" si="174"/>
        <v>1625.31</v>
      </c>
      <c r="X887" s="2">
        <f>W887-R887</f>
        <v>467.41999999999985</v>
      </c>
      <c r="Y887" s="2">
        <f t="shared" si="175"/>
        <v>0.28758821394072509</v>
      </c>
      <c r="Z887" s="2">
        <f t="shared" si="176"/>
        <v>0</v>
      </c>
      <c r="AA887" s="2">
        <f t="shared" si="177"/>
        <v>1</v>
      </c>
      <c r="AB887" s="2">
        <f t="shared" si="178"/>
        <v>2024</v>
      </c>
      <c r="AC887" s="2" t="str">
        <f t="shared" si="179"/>
        <v>Valid</v>
      </c>
      <c r="AD887" s="2">
        <f t="shared" si="180"/>
        <v>0</v>
      </c>
      <c r="AE887" s="2">
        <f t="shared" si="181"/>
        <v>0</v>
      </c>
      <c r="AH887" t="str">
        <f t="shared" si="171"/>
        <v>Diya Patel</v>
      </c>
      <c r="AI887" t="str">
        <f t="shared" si="171"/>
        <v>Consumer</v>
      </c>
      <c r="AJ887" t="str">
        <f t="shared" si="171"/>
        <v>North</v>
      </c>
      <c r="AK887" t="str">
        <f t="shared" si="171"/>
        <v>Rajasthan</v>
      </c>
      <c r="AL887" t="str">
        <f t="shared" si="170"/>
        <v>Jaipur</v>
      </c>
      <c r="AM887" t="str">
        <f t="shared" si="170"/>
        <v>Furniture</v>
      </c>
      <c r="AN887" t="str">
        <f t="shared" si="170"/>
        <v>Tables</v>
      </c>
      <c r="AO887" t="str">
        <f t="shared" si="182"/>
        <v>Standard Class</v>
      </c>
      <c r="AP887" t="str">
        <f t="shared" si="172"/>
        <v>Paid</v>
      </c>
      <c r="AQ887" t="str">
        <f t="shared" si="172"/>
        <v>Completed</v>
      </c>
    </row>
    <row r="888" spans="1:43">
      <c r="A888" t="s">
        <v>3050</v>
      </c>
      <c r="B888" s="3" t="s">
        <v>3051</v>
      </c>
      <c r="C888" s="3">
        <v>45721</v>
      </c>
      <c r="D888" t="s">
        <v>3052</v>
      </c>
      <c r="E888" t="s">
        <v>139</v>
      </c>
      <c r="F888" t="s">
        <v>182</v>
      </c>
      <c r="G888" t="s">
        <v>140</v>
      </c>
      <c r="H888" t="s">
        <v>357</v>
      </c>
      <c r="I888" t="s">
        <v>358</v>
      </c>
      <c r="J888" t="s">
        <v>160</v>
      </c>
      <c r="K888" t="s">
        <v>161</v>
      </c>
      <c r="L888" t="s">
        <v>3053</v>
      </c>
      <c r="M888" t="s">
        <v>135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117</v>
      </c>
      <c r="U888" t="s">
        <v>44</v>
      </c>
      <c r="V888" s="2">
        <f t="shared" si="173"/>
        <v>0.15</v>
      </c>
      <c r="W888" s="2">
        <f t="shared" si="174"/>
        <v>23739.904999999999</v>
      </c>
      <c r="X888" s="2">
        <f>W888-R888</f>
        <v>6023.3849999999984</v>
      </c>
      <c r="Y888" s="2">
        <f t="shared" si="175"/>
        <v>0.25372405660427028</v>
      </c>
      <c r="Z888" s="2" t="str">
        <f t="shared" si="176"/>
        <v/>
      </c>
      <c r="AA888" s="2" t="e">
        <f t="shared" si="177"/>
        <v>#VALUE!</v>
      </c>
      <c r="AB888" s="2" t="e">
        <f t="shared" si="178"/>
        <v>#VALUE!</v>
      </c>
      <c r="AC888" s="2" t="str">
        <f t="shared" si="179"/>
        <v>Text Value Not Recognized as Date</v>
      </c>
      <c r="AD888" s="2">
        <f t="shared" si="180"/>
        <v>0</v>
      </c>
      <c r="AE888" s="2">
        <f t="shared" si="181"/>
        <v>0</v>
      </c>
      <c r="AH888" t="str">
        <f t="shared" si="171"/>
        <v>Arjun Bose</v>
      </c>
      <c r="AI888" t="str">
        <f t="shared" si="171"/>
        <v>Home Office</v>
      </c>
      <c r="AJ888" t="str">
        <f t="shared" si="171"/>
        <v>South</v>
      </c>
      <c r="AK888" t="str">
        <f t="shared" si="171"/>
        <v>Tamil Nadu</v>
      </c>
      <c r="AL888" t="str">
        <f t="shared" si="170"/>
        <v>Chennai</v>
      </c>
      <c r="AM888" t="str">
        <f t="shared" si="170"/>
        <v>Technology</v>
      </c>
      <c r="AN888" t="str">
        <f t="shared" si="170"/>
        <v>Accessories</v>
      </c>
      <c r="AO888" t="str">
        <f t="shared" si="182"/>
        <v>First Class</v>
      </c>
      <c r="AP888" t="str">
        <f t="shared" si="172"/>
        <v>Paid</v>
      </c>
      <c r="AQ888" t="str">
        <f t="shared" si="172"/>
        <v>Cancelled</v>
      </c>
    </row>
    <row r="889" spans="1:43">
      <c r="A889" t="s">
        <v>3054</v>
      </c>
      <c r="B889" s="3">
        <v>45455</v>
      </c>
      <c r="C889" s="3">
        <v>45461</v>
      </c>
      <c r="D889" t="s">
        <v>3055</v>
      </c>
      <c r="E889" t="s">
        <v>218</v>
      </c>
      <c r="F889" t="s">
        <v>122</v>
      </c>
      <c r="G889" t="s">
        <v>140</v>
      </c>
      <c r="H889" t="s">
        <v>171</v>
      </c>
      <c r="I889" t="s">
        <v>172</v>
      </c>
      <c r="J889" t="s">
        <v>113</v>
      </c>
      <c r="K889" t="s">
        <v>133</v>
      </c>
      <c r="L889" t="s">
        <v>3056</v>
      </c>
      <c r="M889" t="s">
        <v>145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117</v>
      </c>
      <c r="U889" t="s">
        <v>118</v>
      </c>
      <c r="V889" s="2">
        <f t="shared" si="173"/>
        <v>0</v>
      </c>
      <c r="W889" s="2">
        <f t="shared" si="174"/>
        <v>16704.52</v>
      </c>
      <c r="X889" s="2">
        <f>W889-R889</f>
        <v>6546.24</v>
      </c>
      <c r="Y889" s="2">
        <f t="shared" si="175"/>
        <v>0.39188435225914897</v>
      </c>
      <c r="Z889" s="2">
        <f t="shared" si="176"/>
        <v>6</v>
      </c>
      <c r="AA889" s="2">
        <f t="shared" si="177"/>
        <v>6</v>
      </c>
      <c r="AB889" s="2">
        <f t="shared" si="178"/>
        <v>2024</v>
      </c>
      <c r="AC889" s="2" t="str">
        <f t="shared" si="179"/>
        <v>Valid</v>
      </c>
      <c r="AD889" s="2">
        <f t="shared" si="180"/>
        <v>0</v>
      </c>
      <c r="AE889" s="2">
        <f t="shared" si="181"/>
        <v>0</v>
      </c>
      <c r="AH889" t="str">
        <f t="shared" si="171"/>
        <v>Aarav Sharma</v>
      </c>
      <c r="AI889" t="str">
        <f t="shared" si="171"/>
        <v>Small Business</v>
      </c>
      <c r="AJ889" t="str">
        <f t="shared" si="171"/>
        <v>South</v>
      </c>
      <c r="AK889" t="str">
        <f t="shared" si="171"/>
        <v>Andhra Pradesh</v>
      </c>
      <c r="AL889" t="str">
        <f t="shared" si="170"/>
        <v>Vijayawada</v>
      </c>
      <c r="AM889" t="str">
        <f t="shared" si="170"/>
        <v>Office Supplies</v>
      </c>
      <c r="AN889" t="str">
        <f t="shared" si="170"/>
        <v>Art</v>
      </c>
      <c r="AO889" t="str">
        <f t="shared" si="182"/>
        <v>Standard Class</v>
      </c>
      <c r="AP889" t="str">
        <f t="shared" si="172"/>
        <v>Paid</v>
      </c>
      <c r="AQ889" t="str">
        <f t="shared" si="172"/>
        <v>Completed</v>
      </c>
    </row>
    <row r="890" spans="1:43">
      <c r="A890" t="s">
        <v>3057</v>
      </c>
      <c r="B890" s="3">
        <v>45816</v>
      </c>
      <c r="C890" s="3">
        <v>45846</v>
      </c>
      <c r="D890" t="s">
        <v>3058</v>
      </c>
      <c r="E890" t="s">
        <v>207</v>
      </c>
      <c r="F890" t="s">
        <v>122</v>
      </c>
      <c r="G890" t="s">
        <v>149</v>
      </c>
      <c r="H890" t="s">
        <v>150</v>
      </c>
      <c r="I890" t="s">
        <v>151</v>
      </c>
      <c r="J890" t="s">
        <v>113</v>
      </c>
      <c r="K890" t="s">
        <v>133</v>
      </c>
      <c r="L890" t="s">
        <v>3059</v>
      </c>
      <c r="M890" t="s">
        <v>145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189</v>
      </c>
      <c r="U890" t="s">
        <v>44</v>
      </c>
      <c r="V890" s="2">
        <f t="shared" si="173"/>
        <v>0.1</v>
      </c>
      <c r="W890" s="2">
        <f t="shared" si="174"/>
        <v>12685.103999999999</v>
      </c>
      <c r="X890" s="2">
        <f>W890-R890</f>
        <v>1905.5439999999999</v>
      </c>
      <c r="Y890" s="2">
        <f t="shared" si="175"/>
        <v>0.15021902855506741</v>
      </c>
      <c r="Z890" s="2">
        <f t="shared" si="176"/>
        <v>30</v>
      </c>
      <c r="AA890" s="2">
        <f t="shared" si="177"/>
        <v>6</v>
      </c>
      <c r="AB890" s="2">
        <f t="shared" si="178"/>
        <v>2025</v>
      </c>
      <c r="AC890" s="2" t="str">
        <f t="shared" si="179"/>
        <v>Valid</v>
      </c>
      <c r="AD890" s="2">
        <f t="shared" si="180"/>
        <v>0</v>
      </c>
      <c r="AE890" s="2">
        <f t="shared" si="181"/>
        <v>0</v>
      </c>
      <c r="AH890" t="str">
        <f t="shared" si="171"/>
        <v>Rahul Verma</v>
      </c>
      <c r="AI890" t="str">
        <f t="shared" si="171"/>
        <v>Small Business</v>
      </c>
      <c r="AJ890" t="str">
        <f t="shared" si="171"/>
        <v>West</v>
      </c>
      <c r="AK890" t="str">
        <f t="shared" si="171"/>
        <v>Maharashtra</v>
      </c>
      <c r="AL890" t="str">
        <f t="shared" si="171"/>
        <v>Mumbai</v>
      </c>
      <c r="AM890" t="str">
        <f t="shared" si="171"/>
        <v>Office Supplies</v>
      </c>
      <c r="AN890" t="str">
        <f t="shared" si="171"/>
        <v>Art</v>
      </c>
      <c r="AO890" t="str">
        <f t="shared" si="182"/>
        <v>Standard Class</v>
      </c>
      <c r="AP890" t="str">
        <f t="shared" si="172"/>
        <v>Refunded</v>
      </c>
      <c r="AQ890" t="str">
        <f t="shared" si="172"/>
        <v>Cancelled</v>
      </c>
    </row>
    <row r="891" spans="1:43">
      <c r="A891" t="s">
        <v>3060</v>
      </c>
      <c r="B891" s="3">
        <v>45726</v>
      </c>
      <c r="C891" s="3">
        <v>45727</v>
      </c>
      <c r="D891" t="s">
        <v>1055</v>
      </c>
      <c r="E891" t="s">
        <v>176</v>
      </c>
      <c r="F891" t="s">
        <v>182</v>
      </c>
      <c r="G891" t="s">
        <v>149</v>
      </c>
      <c r="H891" t="s">
        <v>158</v>
      </c>
      <c r="I891" t="s">
        <v>159</v>
      </c>
      <c r="J891" t="s">
        <v>113</v>
      </c>
      <c r="K891" t="s">
        <v>213</v>
      </c>
      <c r="L891" t="s">
        <v>3061</v>
      </c>
      <c r="M891" t="s">
        <v>135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117</v>
      </c>
      <c r="U891" t="s">
        <v>190</v>
      </c>
      <c r="V891" s="2">
        <f t="shared" si="173"/>
        <v>0.25</v>
      </c>
      <c r="W891" s="2">
        <f t="shared" si="174"/>
        <v>5883.12</v>
      </c>
      <c r="X891" s="2">
        <f>W891-R891</f>
        <v>1235.21</v>
      </c>
      <c r="Y891" s="2">
        <f t="shared" si="175"/>
        <v>0.20995832143488491</v>
      </c>
      <c r="Z891" s="2">
        <f t="shared" si="176"/>
        <v>1</v>
      </c>
      <c r="AA891" s="2">
        <f t="shared" si="177"/>
        <v>3</v>
      </c>
      <c r="AB891" s="2">
        <f t="shared" si="178"/>
        <v>2025</v>
      </c>
      <c r="AC891" s="2" t="str">
        <f t="shared" si="179"/>
        <v>Valid</v>
      </c>
      <c r="AD891" s="2">
        <f t="shared" si="180"/>
        <v>0</v>
      </c>
      <c r="AE891" s="2">
        <f t="shared" si="181"/>
        <v>0</v>
      </c>
      <c r="AH891" t="str">
        <f t="shared" ref="AH891:AN933" si="183">PROPER(TRIM(E891))</f>
        <v>Aditi Sen</v>
      </c>
      <c r="AI891" t="str">
        <f t="shared" si="183"/>
        <v>Home Office</v>
      </c>
      <c r="AJ891" t="str">
        <f t="shared" si="183"/>
        <v>West</v>
      </c>
      <c r="AK891" t="str">
        <f t="shared" si="183"/>
        <v>Madhya Pradesh</v>
      </c>
      <c r="AL891" t="str">
        <f t="shared" si="183"/>
        <v>Indore</v>
      </c>
      <c r="AM891" t="str">
        <f t="shared" si="183"/>
        <v>Office Supplies</v>
      </c>
      <c r="AN891" t="str">
        <f t="shared" si="183"/>
        <v>Storage</v>
      </c>
      <c r="AO891" t="str">
        <f t="shared" si="182"/>
        <v>First Class</v>
      </c>
      <c r="AP891" t="str">
        <f t="shared" si="172"/>
        <v>Paid</v>
      </c>
      <c r="AQ891" t="str">
        <f t="shared" si="172"/>
        <v>Returned</v>
      </c>
    </row>
    <row r="892" spans="1:43">
      <c r="A892" t="s">
        <v>3062</v>
      </c>
      <c r="B892" s="3" t="s">
        <v>216</v>
      </c>
      <c r="C892" s="3" t="s">
        <v>908</v>
      </c>
      <c r="D892" t="s">
        <v>3063</v>
      </c>
      <c r="E892" t="s">
        <v>108</v>
      </c>
      <c r="F892" t="s">
        <v>109</v>
      </c>
      <c r="G892" t="s">
        <v>149</v>
      </c>
      <c r="H892" t="s">
        <v>287</v>
      </c>
      <c r="I892" t="s">
        <v>288</v>
      </c>
      <c r="J892" t="s">
        <v>113</v>
      </c>
      <c r="K892" t="s">
        <v>213</v>
      </c>
      <c r="L892" t="s">
        <v>3064</v>
      </c>
      <c r="M892" t="s">
        <v>145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117</v>
      </c>
      <c r="U892" t="s">
        <v>118</v>
      </c>
      <c r="V892" s="2">
        <f t="shared" si="173"/>
        <v>0.2</v>
      </c>
      <c r="W892" s="2">
        <f t="shared" si="174"/>
        <v>13965.888000000001</v>
      </c>
      <c r="X892" s="2">
        <f>W892-R892</f>
        <v>2319.768</v>
      </c>
      <c r="Y892" s="2">
        <f t="shared" si="175"/>
        <v>0.16610243473239938</v>
      </c>
      <c r="Z892" s="2" t="str">
        <f t="shared" si="176"/>
        <v/>
      </c>
      <c r="AA892" s="2" t="e">
        <f t="shared" si="177"/>
        <v>#VALUE!</v>
      </c>
      <c r="AB892" s="2" t="e">
        <f t="shared" si="178"/>
        <v>#VALUE!</v>
      </c>
      <c r="AC892" s="2" t="str">
        <f t="shared" si="179"/>
        <v>Text Value Not Recognized as Date</v>
      </c>
      <c r="AD892" s="2">
        <f t="shared" si="180"/>
        <v>0</v>
      </c>
      <c r="AE892" s="2">
        <f t="shared" si="181"/>
        <v>0</v>
      </c>
      <c r="AH892" t="str">
        <f t="shared" si="183"/>
        <v>Karan Malhotra</v>
      </c>
      <c r="AI892" t="str">
        <f t="shared" si="183"/>
        <v>Consumer</v>
      </c>
      <c r="AJ892" t="str">
        <f t="shared" si="183"/>
        <v>West</v>
      </c>
      <c r="AK892" t="str">
        <f t="shared" si="183"/>
        <v>Goa</v>
      </c>
      <c r="AL892" t="str">
        <f t="shared" si="183"/>
        <v>Panaji</v>
      </c>
      <c r="AM892" t="str">
        <f t="shared" si="183"/>
        <v>Office Supplies</v>
      </c>
      <c r="AN892" t="str">
        <f t="shared" si="183"/>
        <v>Storage</v>
      </c>
      <c r="AO892" t="str">
        <f t="shared" si="182"/>
        <v>Standard Class</v>
      </c>
      <c r="AP892" t="str">
        <f t="shared" si="172"/>
        <v>Paid</v>
      </c>
      <c r="AQ892" t="str">
        <f t="shared" si="172"/>
        <v>Completed</v>
      </c>
    </row>
    <row r="893" spans="1:43">
      <c r="A893" t="s">
        <v>3065</v>
      </c>
      <c r="B893" s="3">
        <v>45573</v>
      </c>
      <c r="C893" s="3">
        <v>45545</v>
      </c>
      <c r="D893" t="s">
        <v>3066</v>
      </c>
      <c r="E893" t="s">
        <v>375</v>
      </c>
      <c r="F893" t="s">
        <v>177</v>
      </c>
      <c r="G893" t="s">
        <v>140</v>
      </c>
      <c r="H893" t="s">
        <v>357</v>
      </c>
      <c r="I893" t="s">
        <v>358</v>
      </c>
      <c r="J893" t="s">
        <v>160</v>
      </c>
      <c r="K893" t="s">
        <v>385</v>
      </c>
      <c r="L893" t="s">
        <v>3067</v>
      </c>
      <c r="M893" t="s">
        <v>129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248</v>
      </c>
      <c r="U893" t="s">
        <v>44</v>
      </c>
      <c r="V893" s="2">
        <f t="shared" si="173"/>
        <v>0.1</v>
      </c>
      <c r="W893" s="2">
        <f t="shared" si="174"/>
        <v>10835.865</v>
      </c>
      <c r="X893" s="2">
        <f>W893-R893</f>
        <v>4415.9449999999997</v>
      </c>
      <c r="Y893" s="2">
        <f t="shared" si="175"/>
        <v>0.40753045557507406</v>
      </c>
      <c r="Z893" s="2">
        <f t="shared" si="176"/>
        <v>-28</v>
      </c>
      <c r="AA893" s="2">
        <f t="shared" si="177"/>
        <v>10</v>
      </c>
      <c r="AB893" s="2">
        <f t="shared" si="178"/>
        <v>2024</v>
      </c>
      <c r="AC893" s="2" t="str">
        <f t="shared" si="179"/>
        <v>Invalid shipping record</v>
      </c>
      <c r="AD893" s="2">
        <f t="shared" si="180"/>
        <v>0</v>
      </c>
      <c r="AE893" s="2">
        <f t="shared" si="181"/>
        <v>0</v>
      </c>
      <c r="AH893" t="str">
        <f t="shared" si="183"/>
        <v>Kabir Singh</v>
      </c>
      <c r="AI893" t="str">
        <f t="shared" si="183"/>
        <v>Corporate</v>
      </c>
      <c r="AJ893" t="str">
        <f t="shared" si="183"/>
        <v>South</v>
      </c>
      <c r="AK893" t="str">
        <f t="shared" si="183"/>
        <v>Tamil Nadu</v>
      </c>
      <c r="AL893" t="str">
        <f t="shared" si="183"/>
        <v>Chennai</v>
      </c>
      <c r="AM893" t="str">
        <f t="shared" si="183"/>
        <v>Technology</v>
      </c>
      <c r="AN893" t="str">
        <f t="shared" si="183"/>
        <v>Machines</v>
      </c>
      <c r="AO893" t="str">
        <f t="shared" si="182"/>
        <v>Same Day</v>
      </c>
      <c r="AP893" t="str">
        <f t="shared" si="172"/>
        <v>Failed</v>
      </c>
      <c r="AQ893" t="str">
        <f t="shared" si="172"/>
        <v>Cancelled</v>
      </c>
    </row>
    <row r="894" spans="1:43">
      <c r="A894" t="s">
        <v>3068</v>
      </c>
      <c r="B894" s="3">
        <v>45759</v>
      </c>
      <c r="C894" s="3">
        <v>45765</v>
      </c>
      <c r="D894" t="s">
        <v>3069</v>
      </c>
      <c r="E894" t="s">
        <v>132</v>
      </c>
      <c r="F894" t="s">
        <v>122</v>
      </c>
      <c r="G894" t="s">
        <v>123</v>
      </c>
      <c r="H894" t="s">
        <v>335</v>
      </c>
      <c r="I894" t="s">
        <v>336</v>
      </c>
      <c r="J894" t="s">
        <v>160</v>
      </c>
      <c r="K894" t="s">
        <v>166</v>
      </c>
      <c r="L894" t="s">
        <v>3070</v>
      </c>
      <c r="M894" t="s">
        <v>129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117</v>
      </c>
      <c r="U894" t="s">
        <v>118</v>
      </c>
      <c r="V894" s="2">
        <f t="shared" si="173"/>
        <v>0.2</v>
      </c>
      <c r="W894" s="2">
        <f t="shared" si="174"/>
        <v>581.51200000000006</v>
      </c>
      <c r="X894" s="2">
        <f>W894-R894</f>
        <v>157.65200000000004</v>
      </c>
      <c r="Y894" s="2">
        <f t="shared" si="175"/>
        <v>0.27110704508247468</v>
      </c>
      <c r="Z894" s="2">
        <f t="shared" si="176"/>
        <v>6</v>
      </c>
      <c r="AA894" s="2">
        <f t="shared" si="177"/>
        <v>4</v>
      </c>
      <c r="AB894" s="2">
        <f t="shared" si="178"/>
        <v>2025</v>
      </c>
      <c r="AC894" s="2" t="str">
        <f t="shared" si="179"/>
        <v>Valid</v>
      </c>
      <c r="AD894" s="2">
        <f t="shared" si="180"/>
        <v>0</v>
      </c>
      <c r="AE894" s="2">
        <f t="shared" si="181"/>
        <v>0</v>
      </c>
      <c r="AH894" t="str">
        <f t="shared" si="183"/>
        <v>Isha Nair</v>
      </c>
      <c r="AI894" t="str">
        <f t="shared" si="183"/>
        <v>Small Business</v>
      </c>
      <c r="AJ894" t="str">
        <f t="shared" si="183"/>
        <v>East</v>
      </c>
      <c r="AK894" t="str">
        <f t="shared" si="183"/>
        <v>Jharkhand</v>
      </c>
      <c r="AL894" t="str">
        <f t="shared" si="183"/>
        <v>Ranchi</v>
      </c>
      <c r="AM894" t="str">
        <f t="shared" si="183"/>
        <v>Technology</v>
      </c>
      <c r="AN894" t="str">
        <f t="shared" si="183"/>
        <v>Copiers</v>
      </c>
      <c r="AO894" t="str">
        <f t="shared" si="182"/>
        <v>Same Day</v>
      </c>
      <c r="AP894" t="str">
        <f t="shared" si="172"/>
        <v>Paid</v>
      </c>
      <c r="AQ894" t="str">
        <f t="shared" si="172"/>
        <v>Completed</v>
      </c>
    </row>
    <row r="895" spans="1:43">
      <c r="A895" t="s">
        <v>3071</v>
      </c>
      <c r="B895" s="3">
        <v>45449</v>
      </c>
      <c r="C895" s="3">
        <v>45451</v>
      </c>
      <c r="D895" t="s">
        <v>3072</v>
      </c>
      <c r="E895" t="s">
        <v>218</v>
      </c>
      <c r="F895" t="s">
        <v>177</v>
      </c>
      <c r="G895" t="s">
        <v>140</v>
      </c>
      <c r="H895" t="s">
        <v>270</v>
      </c>
      <c r="I895" t="s">
        <v>271</v>
      </c>
      <c r="J895" t="s">
        <v>126</v>
      </c>
      <c r="K895" t="s">
        <v>127</v>
      </c>
      <c r="L895" t="s">
        <v>3073</v>
      </c>
      <c r="M895" t="s">
        <v>116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117</v>
      </c>
      <c r="U895" t="s">
        <v>190</v>
      </c>
      <c r="V895" s="2">
        <f t="shared" si="173"/>
        <v>0.05</v>
      </c>
      <c r="W895" s="2">
        <f t="shared" si="174"/>
        <v>1127.1465000000001</v>
      </c>
      <c r="X895" s="2">
        <f>W895-R895</f>
        <v>281.52650000000006</v>
      </c>
      <c r="Y895" s="2">
        <f t="shared" si="175"/>
        <v>0.24976921810962466</v>
      </c>
      <c r="Z895" s="2">
        <f t="shared" si="176"/>
        <v>2</v>
      </c>
      <c r="AA895" s="2">
        <f t="shared" si="177"/>
        <v>6</v>
      </c>
      <c r="AB895" s="2">
        <f t="shared" si="178"/>
        <v>2024</v>
      </c>
      <c r="AC895" s="2" t="str">
        <f t="shared" si="179"/>
        <v>Valid</v>
      </c>
      <c r="AD895" s="2">
        <f t="shared" si="180"/>
        <v>0</v>
      </c>
      <c r="AE895" s="2">
        <f t="shared" si="181"/>
        <v>0</v>
      </c>
      <c r="AH895" t="str">
        <f t="shared" si="183"/>
        <v>Aarav Sharma</v>
      </c>
      <c r="AI895" t="str">
        <f t="shared" si="183"/>
        <v>Corporate</v>
      </c>
      <c r="AJ895" t="str">
        <f t="shared" si="183"/>
        <v>South</v>
      </c>
      <c r="AK895" t="str">
        <f t="shared" si="183"/>
        <v>Karnataka</v>
      </c>
      <c r="AL895" t="str">
        <f t="shared" si="183"/>
        <v>Bengaluru</v>
      </c>
      <c r="AM895" t="str">
        <f t="shared" si="183"/>
        <v>Furniture</v>
      </c>
      <c r="AN895" t="str">
        <f t="shared" si="183"/>
        <v>Tables</v>
      </c>
      <c r="AO895" t="str">
        <f t="shared" si="182"/>
        <v>Second Class</v>
      </c>
      <c r="AP895" t="str">
        <f t="shared" si="172"/>
        <v>Paid</v>
      </c>
      <c r="AQ895" t="str">
        <f t="shared" si="172"/>
        <v>Returned</v>
      </c>
    </row>
    <row r="896" spans="1:43">
      <c r="A896" t="s">
        <v>3074</v>
      </c>
      <c r="B896" s="3">
        <v>45344</v>
      </c>
      <c r="C896" s="3">
        <v>45351</v>
      </c>
      <c r="D896" t="s">
        <v>3075</v>
      </c>
      <c r="E896" t="s">
        <v>132</v>
      </c>
      <c r="F896" t="s">
        <v>182</v>
      </c>
      <c r="G896" t="s">
        <v>140</v>
      </c>
      <c r="H896" t="s">
        <v>141</v>
      </c>
      <c r="I896" t="s">
        <v>142</v>
      </c>
      <c r="J896" t="s">
        <v>126</v>
      </c>
      <c r="K896" t="s">
        <v>127</v>
      </c>
      <c r="L896" t="s">
        <v>3076</v>
      </c>
      <c r="M896" t="s">
        <v>135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117</v>
      </c>
      <c r="U896" t="s">
        <v>118</v>
      </c>
      <c r="V896" s="2">
        <f t="shared" si="173"/>
        <v>0</v>
      </c>
      <c r="W896" s="2">
        <f t="shared" si="174"/>
        <v>25524.300000000003</v>
      </c>
      <c r="X896" s="2">
        <f>W896-R896</f>
        <v>8812.3700000000026</v>
      </c>
      <c r="Y896" s="2">
        <f t="shared" si="175"/>
        <v>0.34525413037771857</v>
      </c>
      <c r="Z896" s="2">
        <f t="shared" si="176"/>
        <v>7</v>
      </c>
      <c r="AA896" s="2">
        <f t="shared" si="177"/>
        <v>2</v>
      </c>
      <c r="AB896" s="2">
        <f t="shared" si="178"/>
        <v>2024</v>
      </c>
      <c r="AC896" s="2" t="str">
        <f t="shared" si="179"/>
        <v>Valid</v>
      </c>
      <c r="AD896" s="2">
        <f t="shared" si="180"/>
        <v>0</v>
      </c>
      <c r="AE896" s="2">
        <f t="shared" si="181"/>
        <v>0</v>
      </c>
      <c r="AH896" t="str">
        <f t="shared" si="183"/>
        <v>Isha Nair</v>
      </c>
      <c r="AI896" t="str">
        <f t="shared" si="183"/>
        <v>Home Office</v>
      </c>
      <c r="AJ896" t="str">
        <f t="shared" si="183"/>
        <v>South</v>
      </c>
      <c r="AK896" t="str">
        <f t="shared" si="183"/>
        <v>Telangana</v>
      </c>
      <c r="AL896" t="str">
        <f t="shared" si="183"/>
        <v>Hyderabad</v>
      </c>
      <c r="AM896" t="str">
        <f t="shared" si="183"/>
        <v>Furniture</v>
      </c>
      <c r="AN896" t="str">
        <f t="shared" si="183"/>
        <v>Tables</v>
      </c>
      <c r="AO896" t="str">
        <f t="shared" si="182"/>
        <v>First Class</v>
      </c>
      <c r="AP896" t="str">
        <f t="shared" ref="AP896:AQ933" si="184">PROPER(TRIM(T896))</f>
        <v>Paid</v>
      </c>
      <c r="AQ896" t="str">
        <f t="shared" si="184"/>
        <v>Completed</v>
      </c>
    </row>
    <row r="897" spans="1:43">
      <c r="A897" t="s">
        <v>3077</v>
      </c>
      <c r="B897" s="3">
        <v>45601</v>
      </c>
      <c r="C897" s="3">
        <v>45606</v>
      </c>
      <c r="D897" t="s">
        <v>3078</v>
      </c>
      <c r="E897" t="s">
        <v>139</v>
      </c>
      <c r="F897" t="s">
        <v>109</v>
      </c>
      <c r="G897" t="s">
        <v>140</v>
      </c>
      <c r="H897" t="s">
        <v>282</v>
      </c>
      <c r="I897" t="s">
        <v>283</v>
      </c>
      <c r="J897" t="s">
        <v>126</v>
      </c>
      <c r="K897" t="s">
        <v>152</v>
      </c>
      <c r="L897" t="s">
        <v>3079</v>
      </c>
      <c r="M897" t="s">
        <v>129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199</v>
      </c>
      <c r="U897" t="s">
        <v>190</v>
      </c>
      <c r="V897" s="2">
        <f t="shared" si="173"/>
        <v>0.15</v>
      </c>
      <c r="W897" s="2">
        <f t="shared" si="174"/>
        <v>2418.0119999999997</v>
      </c>
      <c r="X897" s="2">
        <f>W897-R897</f>
        <v>976.12199999999962</v>
      </c>
      <c r="Y897" s="2">
        <f t="shared" si="175"/>
        <v>0.40368782288921634</v>
      </c>
      <c r="Z897" s="2">
        <f t="shared" si="176"/>
        <v>5</v>
      </c>
      <c r="AA897" s="2">
        <f t="shared" si="177"/>
        <v>11</v>
      </c>
      <c r="AB897" s="2">
        <f t="shared" si="178"/>
        <v>2024</v>
      </c>
      <c r="AC897" s="2" t="str">
        <f t="shared" si="179"/>
        <v>Valid</v>
      </c>
      <c r="AD897" s="2">
        <f t="shared" si="180"/>
        <v>0</v>
      </c>
      <c r="AE897" s="2">
        <f t="shared" si="181"/>
        <v>0</v>
      </c>
      <c r="AH897" t="str">
        <f t="shared" si="183"/>
        <v>Arjun Bose</v>
      </c>
      <c r="AI897" t="str">
        <f t="shared" si="183"/>
        <v>Consumer</v>
      </c>
      <c r="AJ897" t="str">
        <f t="shared" si="183"/>
        <v>South</v>
      </c>
      <c r="AK897" t="str">
        <f t="shared" si="183"/>
        <v>Kerala</v>
      </c>
      <c r="AL897" t="str">
        <f t="shared" si="183"/>
        <v>Kochi</v>
      </c>
      <c r="AM897" t="str">
        <f t="shared" si="183"/>
        <v>Furniture</v>
      </c>
      <c r="AN897" t="str">
        <f t="shared" si="183"/>
        <v>Chairs</v>
      </c>
      <c r="AO897" t="str">
        <f t="shared" si="182"/>
        <v>Same Day</v>
      </c>
      <c r="AP897" t="str">
        <f t="shared" si="184"/>
        <v>Pending</v>
      </c>
      <c r="AQ897" t="str">
        <f t="shared" si="184"/>
        <v>Returned</v>
      </c>
    </row>
    <row r="898" spans="1:43">
      <c r="A898" t="s">
        <v>3080</v>
      </c>
      <c r="B898" s="3">
        <v>45650</v>
      </c>
      <c r="C898" s="3" t="s">
        <v>1787</v>
      </c>
      <c r="D898" t="s">
        <v>3081</v>
      </c>
      <c r="E898" t="s">
        <v>148</v>
      </c>
      <c r="F898" t="s">
        <v>122</v>
      </c>
      <c r="G898" t="s">
        <v>140</v>
      </c>
      <c r="H898" t="s">
        <v>357</v>
      </c>
      <c r="I898" t="s">
        <v>358</v>
      </c>
      <c r="J898" t="s">
        <v>160</v>
      </c>
      <c r="K898" t="s">
        <v>166</v>
      </c>
      <c r="L898" t="s">
        <v>3082</v>
      </c>
      <c r="M898" t="s">
        <v>116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248</v>
      </c>
      <c r="U898" t="s">
        <v>190</v>
      </c>
      <c r="V898" s="2">
        <f t="shared" si="173"/>
        <v>0.05</v>
      </c>
      <c r="W898" s="2">
        <f t="shared" si="174"/>
        <v>3508.3784999999998</v>
      </c>
      <c r="X898" s="2">
        <f>W898-R898</f>
        <v>680.31849999999986</v>
      </c>
      <c r="Y898" s="2">
        <f t="shared" si="175"/>
        <v>0.19391251542557336</v>
      </c>
      <c r="Z898" s="2" t="str">
        <f t="shared" si="176"/>
        <v/>
      </c>
      <c r="AA898" s="2">
        <f t="shared" si="177"/>
        <v>12</v>
      </c>
      <c r="AB898" s="2">
        <f t="shared" si="178"/>
        <v>2024</v>
      </c>
      <c r="AC898" s="2" t="str">
        <f t="shared" si="179"/>
        <v>Text Value Not Recognized as Date</v>
      </c>
      <c r="AD898" s="2">
        <f t="shared" si="180"/>
        <v>0</v>
      </c>
      <c r="AE898" s="2">
        <f t="shared" si="181"/>
        <v>0</v>
      </c>
      <c r="AH898" t="str">
        <f t="shared" si="183"/>
        <v>Ananya Rao</v>
      </c>
      <c r="AI898" t="str">
        <f t="shared" si="183"/>
        <v>Small Business</v>
      </c>
      <c r="AJ898" t="str">
        <f t="shared" si="183"/>
        <v>South</v>
      </c>
      <c r="AK898" t="str">
        <f t="shared" si="183"/>
        <v>Tamil Nadu</v>
      </c>
      <c r="AL898" t="str">
        <f t="shared" si="183"/>
        <v>Chennai</v>
      </c>
      <c r="AM898" t="str">
        <f t="shared" si="183"/>
        <v>Technology</v>
      </c>
      <c r="AN898" t="str">
        <f t="shared" si="183"/>
        <v>Copiers</v>
      </c>
      <c r="AO898" t="str">
        <f t="shared" si="182"/>
        <v>Second Class</v>
      </c>
      <c r="AP898" t="str">
        <f t="shared" si="184"/>
        <v>Failed</v>
      </c>
      <c r="AQ898" t="str">
        <f t="shared" si="184"/>
        <v>Returned</v>
      </c>
    </row>
    <row r="899" spans="1:43">
      <c r="A899" t="s">
        <v>3083</v>
      </c>
      <c r="B899" s="3">
        <v>45776</v>
      </c>
      <c r="C899" s="3">
        <v>45780</v>
      </c>
      <c r="D899" t="s">
        <v>2406</v>
      </c>
      <c r="E899" t="s">
        <v>232</v>
      </c>
      <c r="F899" t="s">
        <v>177</v>
      </c>
      <c r="G899" t="s">
        <v>110</v>
      </c>
      <c r="H899" t="s">
        <v>344</v>
      </c>
      <c r="I899" t="s">
        <v>345</v>
      </c>
      <c r="J899" t="s">
        <v>113</v>
      </c>
      <c r="K899" t="s">
        <v>114</v>
      </c>
      <c r="L899" t="s">
        <v>3084</v>
      </c>
      <c r="M899" t="s">
        <v>135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117</v>
      </c>
      <c r="U899" t="s">
        <v>118</v>
      </c>
      <c r="V899" s="2">
        <f t="shared" ref="V899:V933" si="185">IF(ISBLANK(P899), 0, P899)</f>
        <v>0.05</v>
      </c>
      <c r="W899" s="2">
        <f t="shared" ref="W899:W933" si="186">N899 * O899 * (1 - P899)</f>
        <v>6789.27</v>
      </c>
      <c r="X899" s="2">
        <f>W899-R899</f>
        <v>1162.8400000000001</v>
      </c>
      <c r="Y899" s="2">
        <f t="shared" ref="Y899:Y933" si="187">IFERROR(X899 / W899, 0)</f>
        <v>0.17127614603631908</v>
      </c>
      <c r="Z899" s="2">
        <f t="shared" ref="Z899:Z933" si="188">IF(OR(ISBLANK(B899), ISBLANK(C899), ISTEXT(B899), ISTEXT(C899)), "", C899 - B899)</f>
        <v>4</v>
      </c>
      <c r="AA899" s="2">
        <f t="shared" ref="AA899:AA933" si="189">MONTH(B899)</f>
        <v>4</v>
      </c>
      <c r="AB899" s="2">
        <f t="shared" ref="AB899:AB933" si="190">YEAR(B899)</f>
        <v>2025</v>
      </c>
      <c r="AC899" s="2" t="str">
        <f t="shared" ref="AC899:AC933" si="191">IF(COUNTIF(A:A, A899) &gt; 1, "Conflicting Duplicate Order ID",
 IF(OR(G899="Unknown", ISBLANK(G899)), "Missing region",
 IF(OR(M899="Unknown", ISBLANK(M899)), "Missing ship_mode",
 IF(OR(ISBLANK(B899), ISBLANK(C899)), "Missing Date",
 IF(OR(ISTEXT(B899), ISTEXT(C899)), "Text Value Not Recognized as Date",
 IF(C899 &lt; B899, "Invalid shipping record",
 IF(P899 &lt; 0, "Invalid",
 IF(P899 &gt; 0.7, "Invalid",
 "Valid"))))))))</f>
        <v>Valid</v>
      </c>
      <c r="AD899" s="2">
        <f t="shared" ref="AD899:AD933" si="192">IF(ABS(Q899 - W899) &gt; 0.01, 1, 0)</f>
        <v>0</v>
      </c>
      <c r="AE899" s="2">
        <f t="shared" ref="AE899:AE933" si="193">IF(ABS(S899 - X899) &gt; 0.01, 1, 0)</f>
        <v>0</v>
      </c>
      <c r="AH899" t="str">
        <f t="shared" si="183"/>
        <v>Rohan Mehta</v>
      </c>
      <c r="AI899" t="str">
        <f t="shared" si="183"/>
        <v>Corporate</v>
      </c>
      <c r="AJ899" t="str">
        <f t="shared" si="183"/>
        <v>North</v>
      </c>
      <c r="AK899" t="str">
        <f t="shared" si="183"/>
        <v>Haryana</v>
      </c>
      <c r="AL899" t="str">
        <f t="shared" si="183"/>
        <v>Gurugram</v>
      </c>
      <c r="AM899" t="str">
        <f t="shared" si="183"/>
        <v>Office Supplies</v>
      </c>
      <c r="AN899" t="str">
        <f t="shared" si="183"/>
        <v>Paper</v>
      </c>
      <c r="AO899" t="str">
        <f t="shared" ref="AO899:AO933" si="194">PROPER(TRIM(M899))</f>
        <v>First Class</v>
      </c>
      <c r="AP899" t="str">
        <f t="shared" si="184"/>
        <v>Paid</v>
      </c>
      <c r="AQ899" t="str">
        <f t="shared" si="184"/>
        <v>Completed</v>
      </c>
    </row>
    <row r="900" spans="1:43">
      <c r="A900" t="s">
        <v>3085</v>
      </c>
      <c r="B900" s="3">
        <v>45445</v>
      </c>
      <c r="C900" s="3">
        <v>45451</v>
      </c>
      <c r="D900" t="s">
        <v>3086</v>
      </c>
      <c r="E900" t="s">
        <v>157</v>
      </c>
      <c r="F900" t="s">
        <v>109</v>
      </c>
      <c r="G900" t="s">
        <v>110</v>
      </c>
      <c r="H900" t="s">
        <v>465</v>
      </c>
      <c r="I900" t="s">
        <v>466</v>
      </c>
      <c r="J900" t="s">
        <v>126</v>
      </c>
      <c r="K900" t="s">
        <v>127</v>
      </c>
      <c r="L900" t="s">
        <v>3087</v>
      </c>
      <c r="M900" t="s">
        <v>135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117</v>
      </c>
      <c r="U900" t="s">
        <v>118</v>
      </c>
      <c r="V900" s="2">
        <f t="shared" si="185"/>
        <v>0.2</v>
      </c>
      <c r="W900" s="2">
        <f t="shared" si="186"/>
        <v>4917.4400000000005</v>
      </c>
      <c r="X900" s="2">
        <f>W900-R900</f>
        <v>1070.6700000000005</v>
      </c>
      <c r="Y900" s="2">
        <f t="shared" si="187"/>
        <v>0.21772914361944434</v>
      </c>
      <c r="Z900" s="2">
        <f t="shared" si="188"/>
        <v>6</v>
      </c>
      <c r="AA900" s="2">
        <f t="shared" si="189"/>
        <v>6</v>
      </c>
      <c r="AB900" s="2">
        <f t="shared" si="190"/>
        <v>2024</v>
      </c>
      <c r="AC900" s="2" t="str">
        <f t="shared" si="191"/>
        <v>Valid</v>
      </c>
      <c r="AD900" s="2">
        <f t="shared" si="192"/>
        <v>0</v>
      </c>
      <c r="AE900" s="2">
        <f t="shared" si="193"/>
        <v>0</v>
      </c>
      <c r="AH900" t="str">
        <f t="shared" si="183"/>
        <v>Vikram Iyer</v>
      </c>
      <c r="AI900" t="str">
        <f t="shared" si="183"/>
        <v>Consumer</v>
      </c>
      <c r="AJ900" t="str">
        <f t="shared" si="183"/>
        <v>North</v>
      </c>
      <c r="AK900" t="str">
        <f t="shared" si="183"/>
        <v>Delhi</v>
      </c>
      <c r="AL900" t="str">
        <f t="shared" si="183"/>
        <v>New Delhi</v>
      </c>
      <c r="AM900" t="str">
        <f t="shared" si="183"/>
        <v>Furniture</v>
      </c>
      <c r="AN900" t="str">
        <f t="shared" si="183"/>
        <v>Tables</v>
      </c>
      <c r="AO900" t="str">
        <f t="shared" si="194"/>
        <v>First Class</v>
      </c>
      <c r="AP900" t="str">
        <f t="shared" si="184"/>
        <v>Paid</v>
      </c>
      <c r="AQ900" t="str">
        <f t="shared" si="184"/>
        <v>Completed</v>
      </c>
    </row>
    <row r="901" spans="1:43">
      <c r="A901" t="s">
        <v>3088</v>
      </c>
      <c r="B901" s="3">
        <v>45804</v>
      </c>
      <c r="C901" s="3">
        <v>45811</v>
      </c>
      <c r="D901" t="s">
        <v>3089</v>
      </c>
      <c r="E901" t="s">
        <v>108</v>
      </c>
      <c r="F901" t="s">
        <v>109</v>
      </c>
      <c r="G901" t="s">
        <v>110</v>
      </c>
      <c r="H901" t="s">
        <v>211</v>
      </c>
      <c r="I901" t="s">
        <v>212</v>
      </c>
      <c r="J901" t="s">
        <v>126</v>
      </c>
      <c r="K901" t="s">
        <v>152</v>
      </c>
      <c r="L901" t="s">
        <v>3090</v>
      </c>
      <c r="M901" t="s">
        <v>135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248</v>
      </c>
      <c r="U901" t="s">
        <v>44</v>
      </c>
      <c r="V901" s="2">
        <f t="shared" si="185"/>
        <v>0.25</v>
      </c>
      <c r="W901" s="2">
        <f t="shared" si="186"/>
        <v>3304.05</v>
      </c>
      <c r="X901" s="2">
        <f>W901-R901</f>
        <v>1024.6400000000003</v>
      </c>
      <c r="Y901" s="2">
        <f t="shared" si="187"/>
        <v>0.31011637233092726</v>
      </c>
      <c r="Z901" s="2">
        <f t="shared" si="188"/>
        <v>7</v>
      </c>
      <c r="AA901" s="2">
        <f t="shared" si="189"/>
        <v>5</v>
      </c>
      <c r="AB901" s="2">
        <f t="shared" si="190"/>
        <v>2025</v>
      </c>
      <c r="AC901" s="2" t="str">
        <f t="shared" si="191"/>
        <v>Valid</v>
      </c>
      <c r="AD901" s="2">
        <f t="shared" si="192"/>
        <v>0</v>
      </c>
      <c r="AE901" s="2">
        <f t="shared" si="193"/>
        <v>0</v>
      </c>
      <c r="AH901" t="str">
        <f t="shared" si="183"/>
        <v>Karan Malhotra</v>
      </c>
      <c r="AI901" t="str">
        <f t="shared" si="183"/>
        <v>Consumer</v>
      </c>
      <c r="AJ901" t="str">
        <f t="shared" si="183"/>
        <v>North</v>
      </c>
      <c r="AK901" t="str">
        <f t="shared" si="183"/>
        <v>Punjab</v>
      </c>
      <c r="AL901" t="str">
        <f t="shared" si="183"/>
        <v>Ludhiana</v>
      </c>
      <c r="AM901" t="str">
        <f t="shared" si="183"/>
        <v>Furniture</v>
      </c>
      <c r="AN901" t="str">
        <f t="shared" si="183"/>
        <v>Chairs</v>
      </c>
      <c r="AO901" t="str">
        <f t="shared" si="194"/>
        <v>First Class</v>
      </c>
      <c r="AP901" t="str">
        <f t="shared" si="184"/>
        <v>Failed</v>
      </c>
      <c r="AQ901" t="str">
        <f t="shared" si="184"/>
        <v>Cancelled</v>
      </c>
    </row>
    <row r="902" spans="1:43">
      <c r="A902" t="s">
        <v>1848</v>
      </c>
      <c r="B902" s="3">
        <v>45383</v>
      </c>
      <c r="C902" s="3">
        <v>45391</v>
      </c>
      <c r="D902" t="s">
        <v>1849</v>
      </c>
      <c r="E902" t="s">
        <v>203</v>
      </c>
      <c r="F902" t="s">
        <v>122</v>
      </c>
      <c r="G902" t="s">
        <v>123</v>
      </c>
      <c r="H902" t="s">
        <v>124</v>
      </c>
      <c r="I902" t="s">
        <v>125</v>
      </c>
      <c r="J902" t="s">
        <v>160</v>
      </c>
      <c r="K902" t="s">
        <v>166</v>
      </c>
      <c r="L902" t="s">
        <v>1850</v>
      </c>
      <c r="M902" t="s">
        <v>116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117</v>
      </c>
      <c r="U902" t="s">
        <v>118</v>
      </c>
      <c r="V902" s="2">
        <f t="shared" si="185"/>
        <v>0.1</v>
      </c>
      <c r="W902" s="2">
        <f t="shared" si="186"/>
        <v>4465.4220000000005</v>
      </c>
      <c r="X902" s="2">
        <f>W902-R902</f>
        <v>1088.3220000000006</v>
      </c>
      <c r="Y902" s="2">
        <f t="shared" si="187"/>
        <v>0.24372209390288319</v>
      </c>
      <c r="Z902" s="2">
        <f t="shared" si="188"/>
        <v>8</v>
      </c>
      <c r="AA902" s="2">
        <f t="shared" si="189"/>
        <v>4</v>
      </c>
      <c r="AB902" s="2">
        <f t="shared" si="190"/>
        <v>2024</v>
      </c>
      <c r="AC902" s="2" t="str">
        <f t="shared" si="191"/>
        <v>Conflicting Duplicate Order ID</v>
      </c>
      <c r="AD902" s="2">
        <f t="shared" si="192"/>
        <v>0</v>
      </c>
      <c r="AE902" s="2">
        <f t="shared" si="193"/>
        <v>0</v>
      </c>
      <c r="AH902" t="str">
        <f t="shared" si="183"/>
        <v>Priya Menon</v>
      </c>
      <c r="AI902" t="str">
        <f t="shared" si="183"/>
        <v>Small Business</v>
      </c>
      <c r="AJ902" t="str">
        <f t="shared" si="183"/>
        <v>East</v>
      </c>
      <c r="AK902" t="str">
        <f t="shared" si="183"/>
        <v>Odisha</v>
      </c>
      <c r="AL902" t="str">
        <f t="shared" si="183"/>
        <v>Bhubaneswar</v>
      </c>
      <c r="AM902" t="str">
        <f t="shared" si="183"/>
        <v>Technology</v>
      </c>
      <c r="AN902" t="str">
        <f t="shared" si="183"/>
        <v>Copiers</v>
      </c>
      <c r="AO902" t="str">
        <f t="shared" si="194"/>
        <v>Second Class</v>
      </c>
      <c r="AP902" t="str">
        <f t="shared" si="184"/>
        <v>Paid</v>
      </c>
      <c r="AQ902" t="str">
        <f t="shared" si="184"/>
        <v>Completed</v>
      </c>
    </row>
    <row r="903" spans="1:43">
      <c r="A903" t="s">
        <v>2146</v>
      </c>
      <c r="B903" s="3">
        <v>45521</v>
      </c>
      <c r="C903" s="3">
        <v>45528</v>
      </c>
      <c r="D903" t="s">
        <v>2147</v>
      </c>
      <c r="E903" t="s">
        <v>148</v>
      </c>
      <c r="F903" t="s">
        <v>177</v>
      </c>
      <c r="G903" t="s">
        <v>123</v>
      </c>
      <c r="H903" t="s">
        <v>186</v>
      </c>
      <c r="I903" t="s">
        <v>187</v>
      </c>
      <c r="J903" t="s">
        <v>160</v>
      </c>
      <c r="K903" t="s">
        <v>166</v>
      </c>
      <c r="L903" t="s">
        <v>2148</v>
      </c>
      <c r="M903" t="s">
        <v>129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117</v>
      </c>
      <c r="U903" t="s">
        <v>118</v>
      </c>
      <c r="V903" s="2">
        <f t="shared" si="185"/>
        <v>0.25</v>
      </c>
      <c r="W903" s="2">
        <f t="shared" si="186"/>
        <v>3354.0524999999998</v>
      </c>
      <c r="X903" s="2">
        <f>W903-R903</f>
        <v>681.38249999999971</v>
      </c>
      <c r="Y903" s="2">
        <f t="shared" si="187"/>
        <v>0.20315200790685289</v>
      </c>
      <c r="Z903" s="2">
        <f t="shared" si="188"/>
        <v>7</v>
      </c>
      <c r="AA903" s="2">
        <f t="shared" si="189"/>
        <v>8</v>
      </c>
      <c r="AB903" s="2">
        <f t="shared" si="190"/>
        <v>2024</v>
      </c>
      <c r="AC903" s="2" t="str">
        <f t="shared" si="191"/>
        <v>Conflicting Duplicate Order ID</v>
      </c>
      <c r="AD903" s="2">
        <f t="shared" si="192"/>
        <v>0</v>
      </c>
      <c r="AE903" s="2">
        <f t="shared" si="193"/>
        <v>0</v>
      </c>
      <c r="AH903" t="str">
        <f t="shared" si="183"/>
        <v>Ananya Rao</v>
      </c>
      <c r="AI903" t="str">
        <f t="shared" si="183"/>
        <v>Corporate</v>
      </c>
      <c r="AJ903" t="str">
        <f t="shared" si="183"/>
        <v>East</v>
      </c>
      <c r="AK903" t="str">
        <f t="shared" si="183"/>
        <v>West Bengal</v>
      </c>
      <c r="AL903" t="str">
        <f t="shared" si="183"/>
        <v>Kolkata</v>
      </c>
      <c r="AM903" t="str">
        <f t="shared" si="183"/>
        <v>Technology</v>
      </c>
      <c r="AN903" t="str">
        <f t="shared" si="183"/>
        <v>Copiers</v>
      </c>
      <c r="AO903" t="str">
        <f t="shared" si="194"/>
        <v>Same Day</v>
      </c>
      <c r="AP903" t="str">
        <f t="shared" si="184"/>
        <v>Paid</v>
      </c>
      <c r="AQ903" t="str">
        <f t="shared" si="184"/>
        <v>Completed</v>
      </c>
    </row>
    <row r="904" spans="1:43">
      <c r="A904" t="s">
        <v>2453</v>
      </c>
      <c r="B904" s="3">
        <v>45665</v>
      </c>
      <c r="C904" s="3">
        <v>45908</v>
      </c>
      <c r="D904" t="s">
        <v>1329</v>
      </c>
      <c r="E904" t="s">
        <v>132</v>
      </c>
      <c r="F904" t="s">
        <v>109</v>
      </c>
      <c r="G904" t="s">
        <v>140</v>
      </c>
      <c r="H904" t="s">
        <v>171</v>
      </c>
      <c r="I904" t="s">
        <v>172</v>
      </c>
      <c r="J904" t="s">
        <v>113</v>
      </c>
      <c r="K904" t="s">
        <v>213</v>
      </c>
      <c r="L904" t="s">
        <v>2454</v>
      </c>
      <c r="M904" t="s">
        <v>135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117</v>
      </c>
      <c r="U904" t="s">
        <v>118</v>
      </c>
      <c r="V904" s="2">
        <f t="shared" si="185"/>
        <v>0.15</v>
      </c>
      <c r="W904" s="2">
        <f t="shared" si="186"/>
        <v>11629.019999999999</v>
      </c>
      <c r="X904" s="2">
        <f>W904-R904</f>
        <v>2001.8099999999995</v>
      </c>
      <c r="Y904" s="2">
        <f t="shared" si="187"/>
        <v>0.17213918283741877</v>
      </c>
      <c r="Z904" s="2">
        <f t="shared" si="188"/>
        <v>243</v>
      </c>
      <c r="AA904" s="2">
        <f t="shared" si="189"/>
        <v>1</v>
      </c>
      <c r="AB904" s="2">
        <f t="shared" si="190"/>
        <v>2025</v>
      </c>
      <c r="AC904" s="2" t="str">
        <f t="shared" si="191"/>
        <v>Conflicting Duplicate Order ID</v>
      </c>
      <c r="AD904" s="2">
        <f t="shared" si="192"/>
        <v>0</v>
      </c>
      <c r="AE904" s="2">
        <f t="shared" si="193"/>
        <v>0</v>
      </c>
      <c r="AH904" t="str">
        <f t="shared" si="183"/>
        <v>Isha Nair</v>
      </c>
      <c r="AI904" t="str">
        <f t="shared" si="183"/>
        <v>Consumer</v>
      </c>
      <c r="AJ904" t="str">
        <f t="shared" si="183"/>
        <v>South</v>
      </c>
      <c r="AK904" t="str">
        <f t="shared" si="183"/>
        <v>Andhra Pradesh</v>
      </c>
      <c r="AL904" t="str">
        <f t="shared" si="183"/>
        <v>Vijayawada</v>
      </c>
      <c r="AM904" t="str">
        <f t="shared" si="183"/>
        <v>Office Supplies</v>
      </c>
      <c r="AN904" t="str">
        <f t="shared" si="183"/>
        <v>Storage</v>
      </c>
      <c r="AO904" t="str">
        <f t="shared" si="194"/>
        <v>First Class</v>
      </c>
      <c r="AP904" t="str">
        <f t="shared" si="184"/>
        <v>Paid</v>
      </c>
      <c r="AQ904" t="str">
        <f t="shared" si="184"/>
        <v>Completed</v>
      </c>
    </row>
    <row r="905" spans="1:43">
      <c r="A905" t="s">
        <v>2484</v>
      </c>
      <c r="B905" s="3">
        <v>45364</v>
      </c>
      <c r="C905" s="3">
        <v>45371</v>
      </c>
      <c r="D905" t="s">
        <v>2485</v>
      </c>
      <c r="E905" t="s">
        <v>203</v>
      </c>
      <c r="F905" t="s">
        <v>182</v>
      </c>
      <c r="G905" t="s">
        <v>140</v>
      </c>
      <c r="H905" t="s">
        <v>357</v>
      </c>
      <c r="I905" t="s">
        <v>358</v>
      </c>
      <c r="J905" t="s">
        <v>126</v>
      </c>
      <c r="K905" t="s">
        <v>252</v>
      </c>
      <c r="L905" t="s">
        <v>2486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117</v>
      </c>
      <c r="U905" t="s">
        <v>118</v>
      </c>
      <c r="V905" s="2">
        <f t="shared" si="185"/>
        <v>0.15</v>
      </c>
      <c r="W905" s="2">
        <f t="shared" si="186"/>
        <v>2401.7855</v>
      </c>
      <c r="X905" s="2">
        <f>W905-R905</f>
        <v>581.44550000000004</v>
      </c>
      <c r="Y905" s="2">
        <f t="shared" si="187"/>
        <v>0.24208885431276025</v>
      </c>
      <c r="Z905" s="2">
        <f t="shared" si="188"/>
        <v>7</v>
      </c>
      <c r="AA905" s="2">
        <f t="shared" si="189"/>
        <v>3</v>
      </c>
      <c r="AB905" s="2">
        <f t="shared" si="190"/>
        <v>2024</v>
      </c>
      <c r="AC905" s="2" t="str">
        <f t="shared" si="191"/>
        <v>Conflicting Duplicate Order ID</v>
      </c>
      <c r="AD905" s="2">
        <f t="shared" si="192"/>
        <v>0</v>
      </c>
      <c r="AE905" s="2">
        <f t="shared" si="193"/>
        <v>0</v>
      </c>
      <c r="AH905" t="str">
        <f t="shared" si="183"/>
        <v>Priya Menon</v>
      </c>
      <c r="AI905" t="str">
        <f t="shared" si="183"/>
        <v>Home Office</v>
      </c>
      <c r="AJ905" t="str">
        <f t="shared" si="183"/>
        <v>South</v>
      </c>
      <c r="AK905" t="str">
        <f t="shared" si="183"/>
        <v>Tamil Nadu</v>
      </c>
      <c r="AL905" t="str">
        <f t="shared" si="183"/>
        <v>Chennai</v>
      </c>
      <c r="AM905" t="str">
        <f t="shared" si="183"/>
        <v>Furniture</v>
      </c>
      <c r="AN905" t="str">
        <f t="shared" si="183"/>
        <v>Bookcases</v>
      </c>
      <c r="AO905" t="s">
        <v>306</v>
      </c>
      <c r="AP905" t="str">
        <f t="shared" si="184"/>
        <v>Paid</v>
      </c>
      <c r="AQ905" t="str">
        <f t="shared" si="184"/>
        <v>Completed</v>
      </c>
    </row>
    <row r="906" spans="1:43">
      <c r="A906" t="s">
        <v>1109</v>
      </c>
      <c r="B906" s="3" t="s">
        <v>852</v>
      </c>
      <c r="C906" s="3" t="s">
        <v>1110</v>
      </c>
      <c r="D906" t="s">
        <v>1111</v>
      </c>
      <c r="E906" t="s">
        <v>218</v>
      </c>
      <c r="F906" t="s">
        <v>122</v>
      </c>
      <c r="H906" t="s">
        <v>260</v>
      </c>
      <c r="I906" t="s">
        <v>261</v>
      </c>
      <c r="J906" t="s">
        <v>126</v>
      </c>
      <c r="K906" t="s">
        <v>152</v>
      </c>
      <c r="L906" t="s">
        <v>1112</v>
      </c>
      <c r="M906" t="s">
        <v>116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117</v>
      </c>
      <c r="U906" t="s">
        <v>118</v>
      </c>
      <c r="V906" s="2">
        <f t="shared" si="185"/>
        <v>-0.14000000000000001</v>
      </c>
      <c r="W906" s="2">
        <f t="shared" si="186"/>
        <v>23198.065200000005</v>
      </c>
      <c r="X906" s="2">
        <f>W906-R906</f>
        <v>14784.535200000004</v>
      </c>
      <c r="Y906" s="2">
        <f t="shared" si="187"/>
        <v>0.63731759836591895</v>
      </c>
      <c r="Z906" s="2" t="str">
        <f t="shared" si="188"/>
        <v/>
      </c>
      <c r="AA906" s="2" t="e">
        <f t="shared" si="189"/>
        <v>#VALUE!</v>
      </c>
      <c r="AB906" s="2" t="e">
        <f t="shared" si="190"/>
        <v>#VALUE!</v>
      </c>
      <c r="AC906" s="2" t="str">
        <f t="shared" si="191"/>
        <v>Conflicting Duplicate Order ID</v>
      </c>
      <c r="AD906" s="2">
        <f t="shared" si="192"/>
        <v>1</v>
      </c>
      <c r="AE906" s="2">
        <f t="shared" si="193"/>
        <v>1</v>
      </c>
      <c r="AH906" t="str">
        <f t="shared" si="183"/>
        <v>Aarav Sharma</v>
      </c>
      <c r="AI906" t="str">
        <f t="shared" si="183"/>
        <v>Small Business</v>
      </c>
      <c r="AJ906" t="s">
        <v>306</v>
      </c>
      <c r="AK906" t="str">
        <f t="shared" si="183"/>
        <v>Assam</v>
      </c>
      <c r="AL906" t="str">
        <f t="shared" si="183"/>
        <v>Guwahati</v>
      </c>
      <c r="AM906" t="str">
        <f t="shared" si="183"/>
        <v>Furniture</v>
      </c>
      <c r="AN906" t="str">
        <f t="shared" si="183"/>
        <v>Chairs</v>
      </c>
      <c r="AO906" t="str">
        <f t="shared" si="194"/>
        <v>Second Class</v>
      </c>
      <c r="AP906" t="str">
        <f t="shared" si="184"/>
        <v>Paid</v>
      </c>
      <c r="AQ906" t="str">
        <f t="shared" si="184"/>
        <v>Completed</v>
      </c>
    </row>
    <row r="907" spans="1:43">
      <c r="A907" t="s">
        <v>2251</v>
      </c>
      <c r="B907" s="3" t="s">
        <v>2252</v>
      </c>
      <c r="C907" s="3" t="s">
        <v>2253</v>
      </c>
      <c r="D907" t="s">
        <v>2254</v>
      </c>
      <c r="E907" t="s">
        <v>222</v>
      </c>
      <c r="F907" t="s">
        <v>122</v>
      </c>
      <c r="G907" t="s">
        <v>140</v>
      </c>
      <c r="H907" t="s">
        <v>270</v>
      </c>
      <c r="I907" t="s">
        <v>271</v>
      </c>
      <c r="J907" t="s">
        <v>126</v>
      </c>
      <c r="K907" t="s">
        <v>143</v>
      </c>
      <c r="L907" t="s">
        <v>2255</v>
      </c>
      <c r="M907" t="s">
        <v>135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117</v>
      </c>
      <c r="U907" t="s">
        <v>118</v>
      </c>
      <c r="V907" s="2">
        <f t="shared" si="185"/>
        <v>0</v>
      </c>
      <c r="W907" s="2">
        <f t="shared" si="186"/>
        <v>14252.650000000001</v>
      </c>
      <c r="X907" s="2">
        <f>W907-R907</f>
        <v>2694.340000000002</v>
      </c>
      <c r="Y907" s="2">
        <f t="shared" si="187"/>
        <v>0.18904133617257154</v>
      </c>
      <c r="Z907" s="2" t="str">
        <f t="shared" si="188"/>
        <v/>
      </c>
      <c r="AA907" s="2" t="e">
        <f t="shared" si="189"/>
        <v>#VALUE!</v>
      </c>
      <c r="AB907" s="2" t="e">
        <f t="shared" si="190"/>
        <v>#VALUE!</v>
      </c>
      <c r="AC907" s="2" t="str">
        <f t="shared" si="191"/>
        <v>Conflicting Duplicate Order ID</v>
      </c>
      <c r="AD907" s="2">
        <f t="shared" si="192"/>
        <v>0</v>
      </c>
      <c r="AE907" s="2">
        <f t="shared" si="193"/>
        <v>0</v>
      </c>
      <c r="AH907" t="str">
        <f t="shared" si="183"/>
        <v>Sneha Kapoor</v>
      </c>
      <c r="AI907" t="str">
        <f t="shared" si="183"/>
        <v>Small Business</v>
      </c>
      <c r="AJ907" t="str">
        <f t="shared" si="183"/>
        <v>South</v>
      </c>
      <c r="AK907" t="str">
        <f t="shared" si="183"/>
        <v>Karnataka</v>
      </c>
      <c r="AL907" t="str">
        <f t="shared" si="183"/>
        <v>Bengaluru</v>
      </c>
      <c r="AM907" t="str">
        <f t="shared" si="183"/>
        <v>Furniture</v>
      </c>
      <c r="AN907" t="str">
        <f t="shared" si="183"/>
        <v>Furnishings</v>
      </c>
      <c r="AO907" t="str">
        <f t="shared" si="194"/>
        <v>First Class</v>
      </c>
      <c r="AP907" t="str">
        <f t="shared" si="184"/>
        <v>Paid</v>
      </c>
      <c r="AQ907" t="str">
        <f t="shared" si="184"/>
        <v>Completed</v>
      </c>
    </row>
    <row r="908" spans="1:43">
      <c r="A908" t="s">
        <v>2560</v>
      </c>
      <c r="B908" s="3" t="s">
        <v>2561</v>
      </c>
      <c r="C908" s="3">
        <v>45802</v>
      </c>
      <c r="D908" t="s">
        <v>2562</v>
      </c>
      <c r="E908" t="s">
        <v>148</v>
      </c>
      <c r="F908" t="s">
        <v>177</v>
      </c>
      <c r="G908" t="s">
        <v>140</v>
      </c>
      <c r="H908" t="s">
        <v>357</v>
      </c>
      <c r="I908" t="s">
        <v>358</v>
      </c>
      <c r="J908" t="s">
        <v>160</v>
      </c>
      <c r="K908" t="s">
        <v>385</v>
      </c>
      <c r="L908" t="s">
        <v>2563</v>
      </c>
      <c r="M908" t="s">
        <v>129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117</v>
      </c>
      <c r="U908" t="s">
        <v>118</v>
      </c>
      <c r="V908" s="2">
        <f t="shared" si="185"/>
        <v>0.15</v>
      </c>
      <c r="W908" s="2">
        <f t="shared" si="186"/>
        <v>9234.2129999999997</v>
      </c>
      <c r="X908" s="2">
        <f>W908-R908</f>
        <v>3717.6929999999993</v>
      </c>
      <c r="Y908" s="2">
        <f t="shared" si="187"/>
        <v>0.40259987505161504</v>
      </c>
      <c r="Z908" s="2" t="str">
        <f t="shared" si="188"/>
        <v/>
      </c>
      <c r="AA908" s="2" t="e">
        <f t="shared" si="189"/>
        <v>#VALUE!</v>
      </c>
      <c r="AB908" s="2" t="e">
        <f t="shared" si="190"/>
        <v>#VALUE!</v>
      </c>
      <c r="AC908" s="2" t="str">
        <f t="shared" si="191"/>
        <v>Conflicting Duplicate Order ID</v>
      </c>
      <c r="AD908" s="2">
        <f t="shared" si="192"/>
        <v>0</v>
      </c>
      <c r="AE908" s="2">
        <f t="shared" si="193"/>
        <v>0</v>
      </c>
      <c r="AH908" t="str">
        <f t="shared" si="183"/>
        <v>Ananya Rao</v>
      </c>
      <c r="AI908" t="str">
        <f t="shared" si="183"/>
        <v>Corporate</v>
      </c>
      <c r="AJ908" t="str">
        <f t="shared" si="183"/>
        <v>South</v>
      </c>
      <c r="AK908" t="str">
        <f t="shared" si="183"/>
        <v>Tamil Nadu</v>
      </c>
      <c r="AL908" t="str">
        <f t="shared" si="183"/>
        <v>Chennai</v>
      </c>
      <c r="AM908" t="str">
        <f t="shared" si="183"/>
        <v>Technology</v>
      </c>
      <c r="AN908" t="str">
        <f t="shared" si="183"/>
        <v>Machines</v>
      </c>
      <c r="AO908" t="str">
        <f t="shared" si="194"/>
        <v>Same Day</v>
      </c>
      <c r="AP908" t="str">
        <f t="shared" si="184"/>
        <v>Paid</v>
      </c>
      <c r="AQ908" t="str">
        <f t="shared" si="184"/>
        <v>Completed</v>
      </c>
    </row>
    <row r="909" spans="1:43">
      <c r="A909" t="s">
        <v>639</v>
      </c>
      <c r="B909" s="3">
        <v>45639</v>
      </c>
      <c r="C909" s="3">
        <v>45644</v>
      </c>
      <c r="D909" t="s">
        <v>640</v>
      </c>
      <c r="E909" t="s">
        <v>108</v>
      </c>
      <c r="F909" t="s">
        <v>109</v>
      </c>
      <c r="G909" t="s">
        <v>149</v>
      </c>
      <c r="H909" t="s">
        <v>287</v>
      </c>
      <c r="I909" t="s">
        <v>288</v>
      </c>
      <c r="J909" t="s">
        <v>160</v>
      </c>
      <c r="K909" t="s">
        <v>266</v>
      </c>
      <c r="L909" t="s">
        <v>641</v>
      </c>
      <c r="M909" t="s">
        <v>116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117</v>
      </c>
      <c r="U909" t="s">
        <v>118</v>
      </c>
      <c r="V909" s="2">
        <f t="shared" si="185"/>
        <v>0.15</v>
      </c>
      <c r="W909" s="2">
        <f t="shared" si="186"/>
        <v>22930.62</v>
      </c>
      <c r="X909" s="2">
        <f>W909-R909</f>
        <v>6055.07</v>
      </c>
      <c r="Y909" s="2">
        <f t="shared" si="187"/>
        <v>0.26406045715292475</v>
      </c>
      <c r="Z909" s="2">
        <f t="shared" si="188"/>
        <v>5</v>
      </c>
      <c r="AA909" s="2">
        <f t="shared" si="189"/>
        <v>12</v>
      </c>
      <c r="AB909" s="2">
        <f t="shared" si="190"/>
        <v>2024</v>
      </c>
      <c r="AC909" s="2" t="str">
        <f t="shared" si="191"/>
        <v>Conflicting Duplicate Order ID</v>
      </c>
      <c r="AD909" s="2">
        <f t="shared" si="192"/>
        <v>0</v>
      </c>
      <c r="AE909" s="2">
        <f t="shared" si="193"/>
        <v>0</v>
      </c>
      <c r="AH909" t="str">
        <f t="shared" si="183"/>
        <v>Karan Malhotra</v>
      </c>
      <c r="AI909" t="str">
        <f t="shared" si="183"/>
        <v>Consumer</v>
      </c>
      <c r="AJ909" t="str">
        <f t="shared" si="183"/>
        <v>West</v>
      </c>
      <c r="AK909" t="str">
        <f t="shared" si="183"/>
        <v>Goa</v>
      </c>
      <c r="AL909" t="str">
        <f t="shared" si="183"/>
        <v>Panaji</v>
      </c>
      <c r="AM909" t="str">
        <f t="shared" si="183"/>
        <v>Technology</v>
      </c>
      <c r="AN909" t="str">
        <f t="shared" si="183"/>
        <v>Phones</v>
      </c>
      <c r="AO909" t="str">
        <f t="shared" si="194"/>
        <v>Second Class</v>
      </c>
      <c r="AP909" t="str">
        <f t="shared" si="184"/>
        <v>Paid</v>
      </c>
      <c r="AQ909" t="str">
        <f t="shared" si="184"/>
        <v>Completed</v>
      </c>
    </row>
    <row r="910" spans="1:43">
      <c r="A910" t="s">
        <v>2530</v>
      </c>
      <c r="B910" s="3">
        <v>45908</v>
      </c>
      <c r="C910" s="3">
        <v>45909</v>
      </c>
      <c r="D910" t="s">
        <v>236</v>
      </c>
      <c r="E910" t="s">
        <v>375</v>
      </c>
      <c r="F910" t="s">
        <v>177</v>
      </c>
      <c r="G910" t="s">
        <v>149</v>
      </c>
      <c r="H910" t="s">
        <v>276</v>
      </c>
      <c r="I910" t="s">
        <v>277</v>
      </c>
      <c r="J910" t="s">
        <v>113</v>
      </c>
      <c r="K910" t="s">
        <v>133</v>
      </c>
      <c r="L910" t="s">
        <v>2531</v>
      </c>
      <c r="M910" t="s">
        <v>129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117</v>
      </c>
      <c r="U910" t="s">
        <v>118</v>
      </c>
      <c r="V910" s="2">
        <f t="shared" si="185"/>
        <v>0.2</v>
      </c>
      <c r="W910" s="2">
        <f t="shared" si="186"/>
        <v>3795.8559999999998</v>
      </c>
      <c r="X910" s="2">
        <f>W910-R910</f>
        <v>1530.9359999999997</v>
      </c>
      <c r="Y910" s="2">
        <f t="shared" si="187"/>
        <v>0.40331772332775528</v>
      </c>
      <c r="Z910" s="2">
        <f t="shared" si="188"/>
        <v>1</v>
      </c>
      <c r="AA910" s="2">
        <f t="shared" si="189"/>
        <v>9</v>
      </c>
      <c r="AB910" s="2">
        <f t="shared" si="190"/>
        <v>2025</v>
      </c>
      <c r="AC910" s="2" t="str">
        <f t="shared" si="191"/>
        <v>Conflicting Duplicate Order ID</v>
      </c>
      <c r="AD910" s="2">
        <f t="shared" si="192"/>
        <v>0</v>
      </c>
      <c r="AE910" s="2">
        <f t="shared" si="193"/>
        <v>0</v>
      </c>
      <c r="AH910" t="str">
        <f t="shared" si="183"/>
        <v>Kabir Singh</v>
      </c>
      <c r="AI910" t="str">
        <f t="shared" si="183"/>
        <v>Corporate</v>
      </c>
      <c r="AJ910" t="str">
        <f t="shared" si="183"/>
        <v>West</v>
      </c>
      <c r="AK910" t="str">
        <f t="shared" si="183"/>
        <v>Gujarat</v>
      </c>
      <c r="AL910" t="str">
        <f t="shared" si="183"/>
        <v>Ahmedabad</v>
      </c>
      <c r="AM910" t="str">
        <f t="shared" si="183"/>
        <v>Office Supplies</v>
      </c>
      <c r="AN910" t="str">
        <f t="shared" si="183"/>
        <v>Art</v>
      </c>
      <c r="AO910" t="str">
        <f t="shared" si="194"/>
        <v>Same Day</v>
      </c>
      <c r="AP910" t="str">
        <f t="shared" si="184"/>
        <v>Paid</v>
      </c>
      <c r="AQ910" t="str">
        <f t="shared" si="184"/>
        <v>Completed</v>
      </c>
    </row>
    <row r="911" spans="1:43">
      <c r="A911" t="s">
        <v>1511</v>
      </c>
      <c r="B911" s="3">
        <v>45771</v>
      </c>
      <c r="C911" s="3">
        <v>45776</v>
      </c>
      <c r="D911" t="s">
        <v>1512</v>
      </c>
      <c r="E911" t="s">
        <v>256</v>
      </c>
      <c r="F911" t="s">
        <v>122</v>
      </c>
      <c r="G911" t="s">
        <v>140</v>
      </c>
      <c r="H911" t="s">
        <v>171</v>
      </c>
      <c r="I911" t="s">
        <v>172</v>
      </c>
      <c r="J911" t="s">
        <v>113</v>
      </c>
      <c r="K911" t="s">
        <v>114</v>
      </c>
      <c r="L911" t="s">
        <v>1513</v>
      </c>
      <c r="M911" t="s">
        <v>129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117</v>
      </c>
      <c r="U911" t="s">
        <v>118</v>
      </c>
      <c r="V911" s="2">
        <f t="shared" si="185"/>
        <v>0.25</v>
      </c>
      <c r="W911" s="2">
        <f t="shared" si="186"/>
        <v>3268.875</v>
      </c>
      <c r="X911" s="2">
        <f>W911-R911</f>
        <v>1275.135</v>
      </c>
      <c r="Y911" s="2">
        <f t="shared" si="187"/>
        <v>0.39008374440747962</v>
      </c>
      <c r="Z911" s="2">
        <f t="shared" si="188"/>
        <v>5</v>
      </c>
      <c r="AA911" s="2">
        <f t="shared" si="189"/>
        <v>4</v>
      </c>
      <c r="AB911" s="2">
        <f t="shared" si="190"/>
        <v>2025</v>
      </c>
      <c r="AC911" s="2" t="str">
        <f t="shared" si="191"/>
        <v>Conflicting Duplicate Order ID</v>
      </c>
      <c r="AD911" s="2">
        <f t="shared" si="192"/>
        <v>0</v>
      </c>
      <c r="AE911" s="2">
        <f t="shared" si="193"/>
        <v>0</v>
      </c>
      <c r="AH911" t="str">
        <f t="shared" si="183"/>
        <v>Diya Patel</v>
      </c>
      <c r="AI911" t="str">
        <f t="shared" si="183"/>
        <v>Small Business</v>
      </c>
      <c r="AJ911" t="str">
        <f t="shared" si="183"/>
        <v>South</v>
      </c>
      <c r="AK911" t="str">
        <f t="shared" si="183"/>
        <v>Andhra Pradesh</v>
      </c>
      <c r="AL911" t="str">
        <f t="shared" si="183"/>
        <v>Vijayawada</v>
      </c>
      <c r="AM911" t="str">
        <f t="shared" si="183"/>
        <v>Office Supplies</v>
      </c>
      <c r="AN911" t="str">
        <f t="shared" si="183"/>
        <v>Paper</v>
      </c>
      <c r="AO911" t="str">
        <f t="shared" si="194"/>
        <v>Same Day</v>
      </c>
      <c r="AP911" t="str">
        <f t="shared" si="184"/>
        <v>Paid</v>
      </c>
      <c r="AQ911" t="str">
        <f t="shared" si="184"/>
        <v>Completed</v>
      </c>
    </row>
    <row r="912" spans="1:43">
      <c r="A912" t="s">
        <v>604</v>
      </c>
      <c r="B912" s="3">
        <v>45436</v>
      </c>
      <c r="C912" s="3">
        <v>45437</v>
      </c>
      <c r="D912" t="s">
        <v>605</v>
      </c>
      <c r="E912" t="s">
        <v>222</v>
      </c>
      <c r="F912" t="s">
        <v>122</v>
      </c>
      <c r="G912" t="s">
        <v>606</v>
      </c>
      <c r="H912" t="s">
        <v>211</v>
      </c>
      <c r="I912" t="s">
        <v>212</v>
      </c>
      <c r="J912" t="s">
        <v>160</v>
      </c>
      <c r="K912" t="s">
        <v>166</v>
      </c>
      <c r="L912" t="s">
        <v>607</v>
      </c>
      <c r="M912" t="s">
        <v>129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189</v>
      </c>
      <c r="U912" t="s">
        <v>44</v>
      </c>
      <c r="V912" s="2">
        <f t="shared" si="185"/>
        <v>0</v>
      </c>
      <c r="W912" s="2">
        <f t="shared" si="186"/>
        <v>634.13</v>
      </c>
      <c r="X912" s="2">
        <f>W912-R912</f>
        <v>180.77999999999997</v>
      </c>
      <c r="Y912" s="2">
        <f t="shared" si="187"/>
        <v>0.28508350022865969</v>
      </c>
      <c r="Z912" s="2">
        <f t="shared" si="188"/>
        <v>1</v>
      </c>
      <c r="AA912" s="2">
        <f t="shared" si="189"/>
        <v>5</v>
      </c>
      <c r="AB912" s="2">
        <f t="shared" si="190"/>
        <v>2024</v>
      </c>
      <c r="AC912" s="2" t="str">
        <f t="shared" si="191"/>
        <v>Conflicting Duplicate Order ID</v>
      </c>
      <c r="AD912" s="2">
        <f t="shared" si="192"/>
        <v>0</v>
      </c>
      <c r="AE912" s="2">
        <f t="shared" si="193"/>
        <v>0</v>
      </c>
      <c r="AH912" t="str">
        <f t="shared" si="183"/>
        <v>Sneha Kapoor</v>
      </c>
      <c r="AI912" t="str">
        <f t="shared" si="183"/>
        <v>Small Business</v>
      </c>
      <c r="AJ912" t="str">
        <f t="shared" si="183"/>
        <v>North</v>
      </c>
      <c r="AK912" t="str">
        <f t="shared" si="183"/>
        <v>Punjab</v>
      </c>
      <c r="AL912" t="str">
        <f t="shared" si="183"/>
        <v>Ludhiana</v>
      </c>
      <c r="AM912" t="str">
        <f t="shared" si="183"/>
        <v>Technology</v>
      </c>
      <c r="AN912" t="str">
        <f t="shared" si="183"/>
        <v>Copiers</v>
      </c>
      <c r="AO912" t="str">
        <f t="shared" si="194"/>
        <v>Same Day</v>
      </c>
      <c r="AP912" t="str">
        <f t="shared" si="184"/>
        <v>Refunded</v>
      </c>
      <c r="AQ912" t="str">
        <f t="shared" si="184"/>
        <v>Cancelled</v>
      </c>
    </row>
    <row r="913" spans="1:43">
      <c r="A913" t="s">
        <v>1029</v>
      </c>
      <c r="B913" s="3">
        <v>45343</v>
      </c>
      <c r="C913" s="3">
        <v>45349</v>
      </c>
      <c r="D913" t="s">
        <v>1030</v>
      </c>
      <c r="E913" t="s">
        <v>139</v>
      </c>
      <c r="F913" t="s">
        <v>122</v>
      </c>
      <c r="G913" t="s">
        <v>123</v>
      </c>
      <c r="H913" t="s">
        <v>186</v>
      </c>
      <c r="I913" t="s">
        <v>187</v>
      </c>
      <c r="J913" t="s">
        <v>126</v>
      </c>
      <c r="K913" t="s">
        <v>143</v>
      </c>
      <c r="L913" t="s">
        <v>1031</v>
      </c>
      <c r="M913" t="s">
        <v>145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199</v>
      </c>
      <c r="U913" t="s">
        <v>190</v>
      </c>
      <c r="V913" s="2">
        <f t="shared" si="185"/>
        <v>0.15</v>
      </c>
      <c r="W913" s="2">
        <f t="shared" si="186"/>
        <v>14338.904999999999</v>
      </c>
      <c r="X913" s="2">
        <f>W913-R913</f>
        <v>2441.2549999999992</v>
      </c>
      <c r="Y913" s="2">
        <f t="shared" si="187"/>
        <v>0.17025393501107647</v>
      </c>
      <c r="Z913" s="2">
        <f t="shared" si="188"/>
        <v>6</v>
      </c>
      <c r="AA913" s="2">
        <f t="shared" si="189"/>
        <v>2</v>
      </c>
      <c r="AB913" s="2">
        <f t="shared" si="190"/>
        <v>2024</v>
      </c>
      <c r="AC913" s="2" t="str">
        <f t="shared" si="191"/>
        <v>Conflicting Duplicate Order ID</v>
      </c>
      <c r="AD913" s="2">
        <f t="shared" si="192"/>
        <v>0</v>
      </c>
      <c r="AE913" s="2">
        <f t="shared" si="193"/>
        <v>0</v>
      </c>
      <c r="AH913" t="str">
        <f t="shared" si="183"/>
        <v>Arjun Bose</v>
      </c>
      <c r="AI913" t="str">
        <f t="shared" si="183"/>
        <v>Small Business</v>
      </c>
      <c r="AJ913" t="str">
        <f t="shared" si="183"/>
        <v>East</v>
      </c>
      <c r="AK913" t="str">
        <f t="shared" si="183"/>
        <v>West Bengal</v>
      </c>
      <c r="AL913" t="str">
        <f t="shared" si="183"/>
        <v>Kolkata</v>
      </c>
      <c r="AM913" t="str">
        <f t="shared" si="183"/>
        <v>Furniture</v>
      </c>
      <c r="AN913" t="str">
        <f t="shared" si="183"/>
        <v>Furnishings</v>
      </c>
      <c r="AO913" t="str">
        <f t="shared" si="194"/>
        <v>Standard Class</v>
      </c>
      <c r="AP913" t="str">
        <f t="shared" si="184"/>
        <v>Pending</v>
      </c>
      <c r="AQ913" t="str">
        <f t="shared" si="184"/>
        <v>Returned</v>
      </c>
    </row>
    <row r="914" spans="1:43">
      <c r="A914" t="s">
        <v>1438</v>
      </c>
      <c r="B914" s="3">
        <v>45801</v>
      </c>
      <c r="C914" s="3" t="s">
        <v>1439</v>
      </c>
      <c r="D914" t="s">
        <v>1440</v>
      </c>
      <c r="E914" t="s">
        <v>375</v>
      </c>
      <c r="F914" t="s">
        <v>122</v>
      </c>
      <c r="G914" t="s">
        <v>123</v>
      </c>
      <c r="H914" t="s">
        <v>124</v>
      </c>
      <c r="I914" t="s">
        <v>125</v>
      </c>
      <c r="J914" t="s">
        <v>113</v>
      </c>
      <c r="K914" t="s">
        <v>1441</v>
      </c>
      <c r="L914" t="s">
        <v>1442</v>
      </c>
      <c r="M914" t="s">
        <v>129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117</v>
      </c>
      <c r="U914" t="s">
        <v>118</v>
      </c>
      <c r="V914" s="2">
        <f t="shared" si="185"/>
        <v>0</v>
      </c>
      <c r="W914" s="2">
        <f t="shared" si="186"/>
        <v>2564.7399999999998</v>
      </c>
      <c r="X914" s="2">
        <f>W914-R914</f>
        <v>810.15999999999985</v>
      </c>
      <c r="Y914" s="2">
        <f t="shared" si="187"/>
        <v>0.31588387126960232</v>
      </c>
      <c r="Z914" s="2" t="str">
        <f t="shared" si="188"/>
        <v/>
      </c>
      <c r="AA914" s="2">
        <f t="shared" si="189"/>
        <v>5</v>
      </c>
      <c r="AB914" s="2">
        <f t="shared" si="190"/>
        <v>2025</v>
      </c>
      <c r="AC914" s="2" t="str">
        <f t="shared" si="191"/>
        <v>Conflicting Duplicate Order ID</v>
      </c>
      <c r="AD914" s="2">
        <f t="shared" si="192"/>
        <v>0</v>
      </c>
      <c r="AE914" s="2">
        <f t="shared" si="193"/>
        <v>0</v>
      </c>
      <c r="AH914" t="str">
        <f t="shared" si="183"/>
        <v>Kabir Singh</v>
      </c>
      <c r="AI914" t="str">
        <f t="shared" si="183"/>
        <v>Small Business</v>
      </c>
      <c r="AJ914" t="str">
        <f t="shared" si="183"/>
        <v>East</v>
      </c>
      <c r="AK914" t="str">
        <f t="shared" si="183"/>
        <v>Odisha</v>
      </c>
      <c r="AL914" t="str">
        <f t="shared" si="183"/>
        <v>Bhubaneswar</v>
      </c>
      <c r="AM914" t="str">
        <f t="shared" si="183"/>
        <v>Office Supplies</v>
      </c>
      <c r="AN914" t="str">
        <f t="shared" si="183"/>
        <v>Storage</v>
      </c>
      <c r="AO914" t="str">
        <f t="shared" si="194"/>
        <v>Same Day</v>
      </c>
      <c r="AP914" t="str">
        <f t="shared" si="184"/>
        <v>Paid</v>
      </c>
      <c r="AQ914" t="str">
        <f t="shared" si="184"/>
        <v>Completed</v>
      </c>
    </row>
    <row r="915" spans="1:43">
      <c r="A915" t="s">
        <v>1121</v>
      </c>
      <c r="B915" s="3">
        <v>45649</v>
      </c>
      <c r="C915" s="3" t="s">
        <v>1122</v>
      </c>
      <c r="D915" t="s">
        <v>1123</v>
      </c>
      <c r="E915" t="s">
        <v>176</v>
      </c>
      <c r="F915" t="s">
        <v>109</v>
      </c>
      <c r="G915" t="s">
        <v>140</v>
      </c>
      <c r="H915" t="s">
        <v>270</v>
      </c>
      <c r="I915" t="s">
        <v>271</v>
      </c>
      <c r="J915" t="s">
        <v>160</v>
      </c>
      <c r="K915" t="s">
        <v>166</v>
      </c>
      <c r="L915" t="s">
        <v>1124</v>
      </c>
      <c r="M915" t="s">
        <v>145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117</v>
      </c>
      <c r="U915" t="s">
        <v>118</v>
      </c>
      <c r="V915" s="2">
        <f t="shared" si="185"/>
        <v>0</v>
      </c>
      <c r="W915" s="2">
        <f t="shared" si="186"/>
        <v>8943.0299999999988</v>
      </c>
      <c r="X915" s="2">
        <f>W915-R915</f>
        <v>3777.6499999999987</v>
      </c>
      <c r="Y915" s="2">
        <f t="shared" si="187"/>
        <v>0.42241276167026154</v>
      </c>
      <c r="Z915" s="2" t="str">
        <f t="shared" si="188"/>
        <v/>
      </c>
      <c r="AA915" s="2">
        <f t="shared" si="189"/>
        <v>12</v>
      </c>
      <c r="AB915" s="2">
        <f t="shared" si="190"/>
        <v>2024</v>
      </c>
      <c r="AC915" s="2" t="str">
        <f t="shared" si="191"/>
        <v>Conflicting Duplicate Order ID</v>
      </c>
      <c r="AD915" s="2">
        <f t="shared" si="192"/>
        <v>0</v>
      </c>
      <c r="AE915" s="2">
        <f t="shared" si="193"/>
        <v>0</v>
      </c>
      <c r="AH915" t="str">
        <f t="shared" si="183"/>
        <v>Aditi Sen</v>
      </c>
      <c r="AI915" t="str">
        <f t="shared" si="183"/>
        <v>Consumer</v>
      </c>
      <c r="AJ915" t="str">
        <f t="shared" si="183"/>
        <v>South</v>
      </c>
      <c r="AK915" t="str">
        <f t="shared" si="183"/>
        <v>Karnataka</v>
      </c>
      <c r="AL915" t="str">
        <f t="shared" si="183"/>
        <v>Bengaluru</v>
      </c>
      <c r="AM915" t="str">
        <f t="shared" si="183"/>
        <v>Technology</v>
      </c>
      <c r="AN915" t="str">
        <f t="shared" si="183"/>
        <v>Copiers</v>
      </c>
      <c r="AO915" t="str">
        <f t="shared" si="194"/>
        <v>Standard Class</v>
      </c>
      <c r="AP915" t="str">
        <f t="shared" si="184"/>
        <v>Paid</v>
      </c>
      <c r="AQ915" t="str">
        <f t="shared" si="184"/>
        <v>Completed</v>
      </c>
    </row>
    <row r="916" spans="1:43">
      <c r="A916" t="s">
        <v>2510</v>
      </c>
      <c r="B916" s="3">
        <v>45332</v>
      </c>
      <c r="C916" s="3">
        <v>45340</v>
      </c>
      <c r="D916" t="s">
        <v>2511</v>
      </c>
      <c r="E916" t="s">
        <v>132</v>
      </c>
      <c r="F916" t="s">
        <v>182</v>
      </c>
      <c r="G916" t="s">
        <v>149</v>
      </c>
      <c r="H916" t="s">
        <v>158</v>
      </c>
      <c r="I916" t="s">
        <v>159</v>
      </c>
      <c r="J916" t="s">
        <v>126</v>
      </c>
      <c r="K916" t="s">
        <v>152</v>
      </c>
      <c r="L916" t="s">
        <v>2512</v>
      </c>
      <c r="M916" t="s">
        <v>135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117</v>
      </c>
      <c r="U916" t="s">
        <v>118</v>
      </c>
      <c r="V916" s="2">
        <f t="shared" si="185"/>
        <v>0</v>
      </c>
      <c r="W916" s="2">
        <f t="shared" si="186"/>
        <v>9680.0199999999986</v>
      </c>
      <c r="X916" s="2">
        <f>W916-R916</f>
        <v>2803.3599999999988</v>
      </c>
      <c r="Y916" s="2">
        <f t="shared" si="187"/>
        <v>0.28960270743242256</v>
      </c>
      <c r="Z916" s="2">
        <f t="shared" si="188"/>
        <v>8</v>
      </c>
      <c r="AA916" s="2">
        <f t="shared" si="189"/>
        <v>2</v>
      </c>
      <c r="AB916" s="2">
        <f t="shared" si="190"/>
        <v>2024</v>
      </c>
      <c r="AC916" s="2" t="str">
        <f t="shared" si="191"/>
        <v>Conflicting Duplicate Order ID</v>
      </c>
      <c r="AD916" s="2">
        <f t="shared" si="192"/>
        <v>0</v>
      </c>
      <c r="AE916" s="2">
        <f t="shared" si="193"/>
        <v>0</v>
      </c>
      <c r="AH916" t="str">
        <f t="shared" si="183"/>
        <v>Isha Nair</v>
      </c>
      <c r="AI916" t="str">
        <f t="shared" si="183"/>
        <v>Home Office</v>
      </c>
      <c r="AJ916" t="str">
        <f t="shared" si="183"/>
        <v>West</v>
      </c>
      <c r="AK916" t="str">
        <f t="shared" si="183"/>
        <v>Madhya Pradesh</v>
      </c>
      <c r="AL916" t="str">
        <f t="shared" si="183"/>
        <v>Indore</v>
      </c>
      <c r="AM916" t="str">
        <f t="shared" si="183"/>
        <v>Furniture</v>
      </c>
      <c r="AN916" t="str">
        <f t="shared" si="183"/>
        <v>Chairs</v>
      </c>
      <c r="AO916" t="str">
        <f t="shared" si="194"/>
        <v>First Class</v>
      </c>
      <c r="AP916" t="str">
        <f t="shared" si="184"/>
        <v>Paid</v>
      </c>
      <c r="AQ916" t="str">
        <f t="shared" si="184"/>
        <v>Completed</v>
      </c>
    </row>
    <row r="917" spans="1:43">
      <c r="A917" t="s">
        <v>1995</v>
      </c>
      <c r="B917" s="3">
        <v>45941</v>
      </c>
      <c r="C917" s="3">
        <v>45943</v>
      </c>
      <c r="D917" t="s">
        <v>1996</v>
      </c>
      <c r="E917" t="s">
        <v>121</v>
      </c>
      <c r="F917" t="s">
        <v>177</v>
      </c>
      <c r="G917" t="s">
        <v>140</v>
      </c>
      <c r="H917" t="s">
        <v>141</v>
      </c>
      <c r="I917" t="s">
        <v>142</v>
      </c>
      <c r="J917" t="s">
        <v>113</v>
      </c>
      <c r="K917" t="s">
        <v>133</v>
      </c>
      <c r="L917" t="s">
        <v>1997</v>
      </c>
      <c r="M917" t="s">
        <v>116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117</v>
      </c>
      <c r="U917" t="s">
        <v>118</v>
      </c>
      <c r="V917" s="2">
        <f t="shared" si="185"/>
        <v>0.1</v>
      </c>
      <c r="W917" s="2">
        <f t="shared" si="186"/>
        <v>10271.529</v>
      </c>
      <c r="X917" s="2">
        <f>W917-R917</f>
        <v>1999.2890000000007</v>
      </c>
      <c r="Y917" s="2">
        <f t="shared" si="187"/>
        <v>0.19464375751652949</v>
      </c>
      <c r="Z917" s="2">
        <f t="shared" si="188"/>
        <v>2</v>
      </c>
      <c r="AA917" s="2">
        <f t="shared" si="189"/>
        <v>10</v>
      </c>
      <c r="AB917" s="2">
        <f t="shared" si="190"/>
        <v>2025</v>
      </c>
      <c r="AC917" s="2" t="str">
        <f t="shared" si="191"/>
        <v>Conflicting Duplicate Order ID</v>
      </c>
      <c r="AD917" s="2">
        <f t="shared" si="192"/>
        <v>0</v>
      </c>
      <c r="AE917" s="2">
        <f t="shared" si="193"/>
        <v>0</v>
      </c>
      <c r="AH917" t="str">
        <f t="shared" si="183"/>
        <v>Mira Das</v>
      </c>
      <c r="AI917" t="str">
        <f t="shared" si="183"/>
        <v>Corporate</v>
      </c>
      <c r="AJ917" t="str">
        <f t="shared" si="183"/>
        <v>South</v>
      </c>
      <c r="AK917" t="str">
        <f t="shared" si="183"/>
        <v>Telangana</v>
      </c>
      <c r="AL917" t="str">
        <f t="shared" si="183"/>
        <v>Hyderabad</v>
      </c>
      <c r="AM917" t="str">
        <f t="shared" si="183"/>
        <v>Office Supplies</v>
      </c>
      <c r="AN917" t="str">
        <f t="shared" si="183"/>
        <v>Art</v>
      </c>
      <c r="AO917" t="str">
        <f t="shared" si="194"/>
        <v>Second Class</v>
      </c>
      <c r="AP917" t="str">
        <f t="shared" si="184"/>
        <v>Paid</v>
      </c>
      <c r="AQ917" t="str">
        <f t="shared" si="184"/>
        <v>Completed</v>
      </c>
    </row>
    <row r="918" spans="1:43">
      <c r="A918" t="s">
        <v>2941</v>
      </c>
      <c r="B918" s="3">
        <v>45357</v>
      </c>
      <c r="C918" s="3">
        <v>45629</v>
      </c>
      <c r="D918" t="s">
        <v>2942</v>
      </c>
      <c r="E918" t="s">
        <v>132</v>
      </c>
      <c r="F918" t="s">
        <v>182</v>
      </c>
      <c r="G918" t="s">
        <v>149</v>
      </c>
      <c r="H918" t="s">
        <v>276</v>
      </c>
      <c r="I918" t="s">
        <v>277</v>
      </c>
      <c r="J918" t="s">
        <v>126</v>
      </c>
      <c r="K918" t="s">
        <v>252</v>
      </c>
      <c r="L918" t="s">
        <v>2943</v>
      </c>
      <c r="M918" t="s">
        <v>145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117</v>
      </c>
      <c r="U918" t="s">
        <v>118</v>
      </c>
      <c r="V918" s="2">
        <f t="shared" si="185"/>
        <v>0.2</v>
      </c>
      <c r="W918" s="2">
        <f t="shared" si="186"/>
        <v>1631.1120000000001</v>
      </c>
      <c r="X918" s="2">
        <f>W918-R918</f>
        <v>732.38200000000006</v>
      </c>
      <c r="Y918" s="2">
        <f t="shared" si="187"/>
        <v>0.44900779345624336</v>
      </c>
      <c r="Z918" s="2">
        <f t="shared" si="188"/>
        <v>272</v>
      </c>
      <c r="AA918" s="2">
        <f t="shared" si="189"/>
        <v>3</v>
      </c>
      <c r="AB918" s="2">
        <f t="shared" si="190"/>
        <v>2024</v>
      </c>
      <c r="AC918" s="2" t="str">
        <f t="shared" si="191"/>
        <v>Conflicting Duplicate Order ID</v>
      </c>
      <c r="AD918" s="2">
        <f t="shared" si="192"/>
        <v>0</v>
      </c>
      <c r="AE918" s="2">
        <f t="shared" si="193"/>
        <v>1</v>
      </c>
      <c r="AH918" t="str">
        <f t="shared" si="183"/>
        <v>Isha Nair</v>
      </c>
      <c r="AI918" t="str">
        <f t="shared" si="183"/>
        <v>Home Office</v>
      </c>
      <c r="AJ918" t="str">
        <f t="shared" si="183"/>
        <v>West</v>
      </c>
      <c r="AK918" t="str">
        <f t="shared" si="183"/>
        <v>Gujarat</v>
      </c>
      <c r="AL918" t="str">
        <f t="shared" si="183"/>
        <v>Ahmedabad</v>
      </c>
      <c r="AM918" t="str">
        <f t="shared" si="183"/>
        <v>Furniture</v>
      </c>
      <c r="AN918" t="str">
        <f t="shared" si="183"/>
        <v>Bookcases</v>
      </c>
      <c r="AO918" t="str">
        <f t="shared" si="194"/>
        <v>Standard Class</v>
      </c>
      <c r="AP918" t="str">
        <f t="shared" si="184"/>
        <v>Paid</v>
      </c>
      <c r="AQ918" t="str">
        <f t="shared" si="184"/>
        <v>Completed</v>
      </c>
    </row>
    <row r="919" spans="1:43">
      <c r="A919" t="s">
        <v>619</v>
      </c>
      <c r="B919" s="3">
        <v>45687</v>
      </c>
      <c r="C919" s="3" t="s">
        <v>620</v>
      </c>
      <c r="D919" t="s">
        <v>621</v>
      </c>
      <c r="E919" t="s">
        <v>203</v>
      </c>
      <c r="F919" t="s">
        <v>177</v>
      </c>
      <c r="G919" t="s">
        <v>149</v>
      </c>
      <c r="H919" t="s">
        <v>158</v>
      </c>
      <c r="I919" t="s">
        <v>159</v>
      </c>
      <c r="J919" t="s">
        <v>113</v>
      </c>
      <c r="K919" t="s">
        <v>213</v>
      </c>
      <c r="L919" t="s">
        <v>622</v>
      </c>
      <c r="M919" t="s">
        <v>116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117</v>
      </c>
      <c r="U919" t="s">
        <v>118</v>
      </c>
      <c r="V919" s="2">
        <f t="shared" si="185"/>
        <v>0.05</v>
      </c>
      <c r="W919" s="2">
        <f t="shared" si="186"/>
        <v>5774.67</v>
      </c>
      <c r="X919" s="2">
        <f>W919-R919</f>
        <v>2256.31</v>
      </c>
      <c r="Y919" s="2">
        <f t="shared" si="187"/>
        <v>0.39072535746631409</v>
      </c>
      <c r="Z919" s="2" t="str">
        <f t="shared" si="188"/>
        <v/>
      </c>
      <c r="AA919" s="2">
        <f t="shared" si="189"/>
        <v>1</v>
      </c>
      <c r="AB919" s="2">
        <f t="shared" si="190"/>
        <v>2025</v>
      </c>
      <c r="AC919" s="2" t="str">
        <f t="shared" si="191"/>
        <v>Conflicting Duplicate Order ID</v>
      </c>
      <c r="AD919" s="2">
        <f t="shared" si="192"/>
        <v>0</v>
      </c>
      <c r="AE919" s="2">
        <f t="shared" si="193"/>
        <v>0</v>
      </c>
      <c r="AH919" t="str">
        <f t="shared" si="183"/>
        <v>Priya Menon</v>
      </c>
      <c r="AI919" t="str">
        <f t="shared" si="183"/>
        <v>Corporate</v>
      </c>
      <c r="AJ919" t="str">
        <f t="shared" si="183"/>
        <v>West</v>
      </c>
      <c r="AK919" t="str">
        <f t="shared" si="183"/>
        <v>Madhya Pradesh</v>
      </c>
      <c r="AL919" t="str">
        <f t="shared" si="183"/>
        <v>Indore</v>
      </c>
      <c r="AM919" t="str">
        <f t="shared" si="183"/>
        <v>Office Supplies</v>
      </c>
      <c r="AN919" t="str">
        <f t="shared" si="183"/>
        <v>Storage</v>
      </c>
      <c r="AO919" t="str">
        <f t="shared" si="194"/>
        <v>Second Class</v>
      </c>
      <c r="AP919" t="str">
        <f t="shared" si="184"/>
        <v>Paid</v>
      </c>
      <c r="AQ919" t="str">
        <f t="shared" si="184"/>
        <v>Completed</v>
      </c>
    </row>
    <row r="920" spans="1:43">
      <c r="A920" t="s">
        <v>2394</v>
      </c>
      <c r="B920" s="3">
        <v>45911</v>
      </c>
      <c r="C920" s="3">
        <v>45918</v>
      </c>
      <c r="D920" t="s">
        <v>2395</v>
      </c>
      <c r="E920" t="s">
        <v>207</v>
      </c>
      <c r="F920" t="s">
        <v>122</v>
      </c>
      <c r="G920" t="s">
        <v>110</v>
      </c>
      <c r="H920" t="s">
        <v>465</v>
      </c>
      <c r="I920" t="s">
        <v>466</v>
      </c>
      <c r="J920" t="s">
        <v>160</v>
      </c>
      <c r="K920" t="s">
        <v>266</v>
      </c>
      <c r="L920" t="s">
        <v>2396</v>
      </c>
      <c r="M920" t="s">
        <v>129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117</v>
      </c>
      <c r="U920" t="s">
        <v>118</v>
      </c>
      <c r="V920" s="2">
        <f t="shared" si="185"/>
        <v>0.15</v>
      </c>
      <c r="W920" s="2">
        <f t="shared" si="186"/>
        <v>20296.699499999999</v>
      </c>
      <c r="X920" s="2">
        <f>W920-R920</f>
        <v>5375.829499999998</v>
      </c>
      <c r="Y920" s="2">
        <f t="shared" si="187"/>
        <v>0.26486225014071862</v>
      </c>
      <c r="Z920" s="2">
        <f t="shared" si="188"/>
        <v>7</v>
      </c>
      <c r="AA920" s="2">
        <f t="shared" si="189"/>
        <v>9</v>
      </c>
      <c r="AB920" s="2">
        <f t="shared" si="190"/>
        <v>2025</v>
      </c>
      <c r="AC920" s="2" t="str">
        <f t="shared" si="191"/>
        <v>Conflicting Duplicate Order ID</v>
      </c>
      <c r="AD920" s="2">
        <f t="shared" si="192"/>
        <v>0</v>
      </c>
      <c r="AE920" s="2">
        <f t="shared" si="193"/>
        <v>0</v>
      </c>
      <c r="AH920" t="str">
        <f t="shared" si="183"/>
        <v>Rahul Verma</v>
      </c>
      <c r="AI920" t="str">
        <f t="shared" si="183"/>
        <v>Small Business</v>
      </c>
      <c r="AJ920" t="str">
        <f t="shared" si="183"/>
        <v>North</v>
      </c>
      <c r="AK920" t="str">
        <f t="shared" si="183"/>
        <v>Delhi</v>
      </c>
      <c r="AL920" t="str">
        <f t="shared" si="183"/>
        <v>New Delhi</v>
      </c>
      <c r="AM920" t="str">
        <f t="shared" si="183"/>
        <v>Technology</v>
      </c>
      <c r="AN920" t="str">
        <f t="shared" si="183"/>
        <v>Phones</v>
      </c>
      <c r="AO920" t="str">
        <f t="shared" si="194"/>
        <v>Same Day</v>
      </c>
      <c r="AP920" t="str">
        <f t="shared" si="184"/>
        <v>Paid</v>
      </c>
      <c r="AQ920" t="str">
        <f t="shared" si="184"/>
        <v>Completed</v>
      </c>
    </row>
    <row r="921" spans="1:43">
      <c r="A921" t="s">
        <v>163</v>
      </c>
      <c r="B921" s="3">
        <v>45757</v>
      </c>
      <c r="C921" s="3">
        <v>45763</v>
      </c>
      <c r="D921" t="s">
        <v>164</v>
      </c>
      <c r="E921" t="s">
        <v>165</v>
      </c>
      <c r="F921" t="s">
        <v>109</v>
      </c>
      <c r="G921" t="s">
        <v>123</v>
      </c>
      <c r="H921" t="s">
        <v>124</v>
      </c>
      <c r="I921" t="s">
        <v>125</v>
      </c>
      <c r="J921" t="s">
        <v>160</v>
      </c>
      <c r="K921" t="s">
        <v>166</v>
      </c>
      <c r="L921" t="s">
        <v>167</v>
      </c>
      <c r="M921" t="s">
        <v>145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117</v>
      </c>
      <c r="U921" t="s">
        <v>118</v>
      </c>
      <c r="V921" s="2">
        <f t="shared" si="185"/>
        <v>0.15</v>
      </c>
      <c r="W921" s="2">
        <f t="shared" si="186"/>
        <v>5847.5579999999991</v>
      </c>
      <c r="X921" s="2">
        <f>W921-R921</f>
        <v>1120.3079999999991</v>
      </c>
      <c r="Y921" s="2">
        <f t="shared" si="187"/>
        <v>0.19158561573908275</v>
      </c>
      <c r="Z921" s="2">
        <f t="shared" si="188"/>
        <v>6</v>
      </c>
      <c r="AA921" s="2">
        <f t="shared" si="189"/>
        <v>4</v>
      </c>
      <c r="AB921" s="2">
        <f t="shared" si="190"/>
        <v>2025</v>
      </c>
      <c r="AC921" s="2" t="str">
        <f t="shared" si="191"/>
        <v>Conflicting Duplicate Order ID</v>
      </c>
      <c r="AD921" s="2">
        <f t="shared" si="192"/>
        <v>0</v>
      </c>
      <c r="AE921" s="2">
        <f t="shared" si="193"/>
        <v>0</v>
      </c>
      <c r="AH921" t="str">
        <f t="shared" si="183"/>
        <v>Neha Gupta</v>
      </c>
      <c r="AI921" t="str">
        <f t="shared" si="183"/>
        <v>Consumer</v>
      </c>
      <c r="AJ921" t="str">
        <f t="shared" si="183"/>
        <v>East</v>
      </c>
      <c r="AK921" t="str">
        <f t="shared" si="183"/>
        <v>Odisha</v>
      </c>
      <c r="AL921" t="str">
        <f t="shared" si="183"/>
        <v>Bhubaneswar</v>
      </c>
      <c r="AM921" t="str">
        <f t="shared" si="183"/>
        <v>Technology</v>
      </c>
      <c r="AN921" t="str">
        <f t="shared" si="183"/>
        <v>Copiers</v>
      </c>
      <c r="AO921" t="str">
        <f t="shared" si="194"/>
        <v>Standard Class</v>
      </c>
      <c r="AP921" t="str">
        <f t="shared" si="184"/>
        <v>Paid</v>
      </c>
      <c r="AQ921" t="str">
        <f t="shared" si="184"/>
        <v>Completed</v>
      </c>
    </row>
    <row r="922" spans="1:43">
      <c r="A922" t="s">
        <v>1286</v>
      </c>
      <c r="B922" s="3">
        <v>45394</v>
      </c>
      <c r="C922" s="3">
        <v>45632</v>
      </c>
      <c r="D922" t="s">
        <v>1287</v>
      </c>
      <c r="E922" t="s">
        <v>222</v>
      </c>
      <c r="F922" t="s">
        <v>182</v>
      </c>
      <c r="G922" t="s">
        <v>123</v>
      </c>
      <c r="H922" t="s">
        <v>124</v>
      </c>
      <c r="I922" t="s">
        <v>125</v>
      </c>
      <c r="J922" t="s">
        <v>113</v>
      </c>
      <c r="K922" t="s">
        <v>246</v>
      </c>
      <c r="L922" t="s">
        <v>1288</v>
      </c>
      <c r="M922" t="s">
        <v>116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117</v>
      </c>
      <c r="U922" t="s">
        <v>118</v>
      </c>
      <c r="V922" s="2">
        <f t="shared" si="185"/>
        <v>0</v>
      </c>
      <c r="W922" s="2">
        <f t="shared" si="186"/>
        <v>10742.64</v>
      </c>
      <c r="X922" s="2">
        <f>W922-R922</f>
        <v>4265.2699999999995</v>
      </c>
      <c r="Y922" s="2">
        <f t="shared" si="187"/>
        <v>0.39704113700170535</v>
      </c>
      <c r="Z922" s="2">
        <f t="shared" si="188"/>
        <v>238</v>
      </c>
      <c r="AA922" s="2">
        <f t="shared" si="189"/>
        <v>4</v>
      </c>
      <c r="AB922" s="2">
        <f t="shared" si="190"/>
        <v>2024</v>
      </c>
      <c r="AC922" s="2" t="str">
        <f t="shared" si="191"/>
        <v>Conflicting Duplicate Order ID</v>
      </c>
      <c r="AD922" s="2">
        <f t="shared" si="192"/>
        <v>1</v>
      </c>
      <c r="AE922" s="2">
        <f t="shared" si="193"/>
        <v>0</v>
      </c>
      <c r="AH922" t="str">
        <f t="shared" si="183"/>
        <v>Sneha Kapoor</v>
      </c>
      <c r="AI922" t="str">
        <f t="shared" si="183"/>
        <v>Home Office</v>
      </c>
      <c r="AJ922" t="str">
        <f t="shared" si="183"/>
        <v>East</v>
      </c>
      <c r="AK922" t="str">
        <f t="shared" si="183"/>
        <v>Odisha</v>
      </c>
      <c r="AL922" t="str">
        <f t="shared" si="183"/>
        <v>Bhubaneswar</v>
      </c>
      <c r="AM922" t="str">
        <f t="shared" si="183"/>
        <v>Office Supplies</v>
      </c>
      <c r="AN922" t="str">
        <f t="shared" si="183"/>
        <v>Binders</v>
      </c>
      <c r="AO922" t="str">
        <f t="shared" si="194"/>
        <v>Second Class</v>
      </c>
      <c r="AP922" t="str">
        <f t="shared" si="184"/>
        <v>Paid</v>
      </c>
      <c r="AQ922" t="str">
        <f t="shared" si="184"/>
        <v>Completed</v>
      </c>
    </row>
    <row r="923" spans="1:43">
      <c r="A923" t="s">
        <v>497</v>
      </c>
      <c r="B923" s="3">
        <v>45893</v>
      </c>
      <c r="C923" s="3">
        <v>45898</v>
      </c>
      <c r="D923" t="s">
        <v>498</v>
      </c>
      <c r="E923" t="s">
        <v>218</v>
      </c>
      <c r="F923" t="s">
        <v>122</v>
      </c>
      <c r="G923" t="s">
        <v>123</v>
      </c>
      <c r="H923" t="s">
        <v>237</v>
      </c>
      <c r="I923" t="s">
        <v>238</v>
      </c>
      <c r="J923" t="s">
        <v>160</v>
      </c>
      <c r="K923" t="s">
        <v>166</v>
      </c>
      <c r="L923" t="s">
        <v>499</v>
      </c>
      <c r="M923" t="s">
        <v>135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117</v>
      </c>
      <c r="U923" t="s">
        <v>190</v>
      </c>
      <c r="V923" s="2">
        <f t="shared" si="185"/>
        <v>0.15</v>
      </c>
      <c r="W923" s="2">
        <f t="shared" si="186"/>
        <v>9445.098</v>
      </c>
      <c r="X923" s="2">
        <f>W923-R923</f>
        <v>3858.8180000000002</v>
      </c>
      <c r="Y923" s="2">
        <f t="shared" si="187"/>
        <v>0.40855245758170006</v>
      </c>
      <c r="Z923" s="2">
        <f t="shared" si="188"/>
        <v>5</v>
      </c>
      <c r="AA923" s="2">
        <f t="shared" si="189"/>
        <v>8</v>
      </c>
      <c r="AB923" s="2">
        <f t="shared" si="190"/>
        <v>2025</v>
      </c>
      <c r="AC923" s="2" t="str">
        <f t="shared" si="191"/>
        <v>Conflicting Duplicate Order ID</v>
      </c>
      <c r="AD923" s="2">
        <f t="shared" si="192"/>
        <v>1</v>
      </c>
      <c r="AE923" s="2">
        <f t="shared" si="193"/>
        <v>0</v>
      </c>
      <c r="AH923" t="str">
        <f t="shared" si="183"/>
        <v>Aarav Sharma</v>
      </c>
      <c r="AI923" t="str">
        <f t="shared" si="183"/>
        <v>Small Business</v>
      </c>
      <c r="AJ923" t="str">
        <f t="shared" si="183"/>
        <v>East</v>
      </c>
      <c r="AK923" t="str">
        <f t="shared" si="183"/>
        <v>Bihar</v>
      </c>
      <c r="AL923" t="str">
        <f t="shared" si="183"/>
        <v>Patna</v>
      </c>
      <c r="AM923" t="str">
        <f t="shared" si="183"/>
        <v>Technology</v>
      </c>
      <c r="AN923" t="str">
        <f t="shared" si="183"/>
        <v>Copiers</v>
      </c>
      <c r="AO923" t="str">
        <f t="shared" si="194"/>
        <v>First Class</v>
      </c>
      <c r="AP923" t="str">
        <f t="shared" si="184"/>
        <v>Paid</v>
      </c>
      <c r="AQ923" t="str">
        <f t="shared" si="184"/>
        <v>Returned</v>
      </c>
    </row>
    <row r="924" spans="1:43">
      <c r="A924" t="s">
        <v>1423</v>
      </c>
      <c r="B924" s="3">
        <v>45760</v>
      </c>
      <c r="C924" s="3">
        <v>45760</v>
      </c>
      <c r="D924" t="s">
        <v>1424</v>
      </c>
      <c r="E924" t="s">
        <v>222</v>
      </c>
      <c r="F924" t="s">
        <v>122</v>
      </c>
      <c r="G924" t="s">
        <v>110</v>
      </c>
      <c r="H924" t="s">
        <v>227</v>
      </c>
      <c r="I924" t="s">
        <v>228</v>
      </c>
      <c r="J924" t="s">
        <v>113</v>
      </c>
      <c r="K924" t="s">
        <v>213</v>
      </c>
      <c r="L924" t="s">
        <v>1425</v>
      </c>
      <c r="M924" t="s">
        <v>116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117</v>
      </c>
      <c r="U924" t="s">
        <v>190</v>
      </c>
      <c r="V924" s="2">
        <f t="shared" si="185"/>
        <v>0</v>
      </c>
      <c r="W924" s="2">
        <f t="shared" si="186"/>
        <v>10068.120000000001</v>
      </c>
      <c r="X924" s="2">
        <f>W924-R924</f>
        <v>1472.75</v>
      </c>
      <c r="Y924" s="2">
        <f t="shared" si="187"/>
        <v>0.14627855051389932</v>
      </c>
      <c r="Z924" s="2">
        <f t="shared" si="188"/>
        <v>0</v>
      </c>
      <c r="AA924" s="2">
        <f t="shared" si="189"/>
        <v>4</v>
      </c>
      <c r="AB924" s="2">
        <f t="shared" si="190"/>
        <v>2025</v>
      </c>
      <c r="AC924" s="2" t="str">
        <f t="shared" si="191"/>
        <v>Conflicting Duplicate Order ID</v>
      </c>
      <c r="AD924" s="2">
        <f t="shared" si="192"/>
        <v>1</v>
      </c>
      <c r="AE924" s="2">
        <f t="shared" si="193"/>
        <v>0</v>
      </c>
      <c r="AH924" t="str">
        <f t="shared" si="183"/>
        <v>Sneha Kapoor</v>
      </c>
      <c r="AI924" t="str">
        <f t="shared" si="183"/>
        <v>Small Business</v>
      </c>
      <c r="AJ924" t="str">
        <f t="shared" si="183"/>
        <v>North</v>
      </c>
      <c r="AK924" t="str">
        <f t="shared" si="183"/>
        <v>Uttar Pradesh</v>
      </c>
      <c r="AL924" t="str">
        <f t="shared" si="183"/>
        <v>Noida</v>
      </c>
      <c r="AM924" t="str">
        <f t="shared" si="183"/>
        <v>Office Supplies</v>
      </c>
      <c r="AN924" t="str">
        <f t="shared" si="183"/>
        <v>Storage</v>
      </c>
      <c r="AO924" t="str">
        <f t="shared" si="194"/>
        <v>Second Class</v>
      </c>
      <c r="AP924" t="str">
        <f t="shared" si="184"/>
        <v>Paid</v>
      </c>
      <c r="AQ924" t="str">
        <f t="shared" si="184"/>
        <v>Returned</v>
      </c>
    </row>
    <row r="925" spans="1:43">
      <c r="A925" t="s">
        <v>945</v>
      </c>
      <c r="B925" s="3">
        <v>45932</v>
      </c>
      <c r="C925" s="3">
        <v>45938</v>
      </c>
      <c r="D925" t="s">
        <v>946</v>
      </c>
      <c r="E925" t="s">
        <v>132</v>
      </c>
      <c r="F925" t="s">
        <v>122</v>
      </c>
      <c r="G925" t="s">
        <v>110</v>
      </c>
      <c r="H925" t="s">
        <v>211</v>
      </c>
      <c r="I925" t="s">
        <v>212</v>
      </c>
      <c r="J925" t="s">
        <v>126</v>
      </c>
      <c r="K925" t="s">
        <v>143</v>
      </c>
      <c r="L925" t="s">
        <v>947</v>
      </c>
      <c r="M925" t="s">
        <v>145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117</v>
      </c>
      <c r="U925" t="s">
        <v>190</v>
      </c>
      <c r="V925" s="2">
        <f t="shared" si="185"/>
        <v>0.25</v>
      </c>
      <c r="W925" s="2">
        <f t="shared" si="186"/>
        <v>11833.92</v>
      </c>
      <c r="X925" s="2">
        <f>W925-R925</f>
        <v>5151</v>
      </c>
      <c r="Y925" s="2">
        <f t="shared" si="187"/>
        <v>0.43527419485681834</v>
      </c>
      <c r="Z925" s="2">
        <f t="shared" si="188"/>
        <v>6</v>
      </c>
      <c r="AA925" s="2">
        <f t="shared" si="189"/>
        <v>10</v>
      </c>
      <c r="AB925" s="2">
        <f t="shared" si="190"/>
        <v>2025</v>
      </c>
      <c r="AC925" s="2" t="str">
        <f t="shared" si="191"/>
        <v>Conflicting Duplicate Order ID</v>
      </c>
      <c r="AD925" s="2">
        <f t="shared" si="192"/>
        <v>1</v>
      </c>
      <c r="AE925" s="2">
        <f t="shared" si="193"/>
        <v>0</v>
      </c>
      <c r="AH925" t="str">
        <f t="shared" si="183"/>
        <v>Isha Nair</v>
      </c>
      <c r="AI925" t="str">
        <f t="shared" si="183"/>
        <v>Small Business</v>
      </c>
      <c r="AJ925" t="str">
        <f t="shared" si="183"/>
        <v>North</v>
      </c>
      <c r="AK925" t="str">
        <f t="shared" si="183"/>
        <v>Punjab</v>
      </c>
      <c r="AL925" t="str">
        <f t="shared" si="183"/>
        <v>Ludhiana</v>
      </c>
      <c r="AM925" t="str">
        <f t="shared" si="183"/>
        <v>Furniture</v>
      </c>
      <c r="AN925" t="str">
        <f t="shared" si="183"/>
        <v>Furnishings</v>
      </c>
      <c r="AO925" t="str">
        <f t="shared" si="194"/>
        <v>Standard Class</v>
      </c>
      <c r="AP925" t="str">
        <f t="shared" si="184"/>
        <v>Paid</v>
      </c>
      <c r="AQ925" t="str">
        <f t="shared" si="184"/>
        <v>Returned</v>
      </c>
    </row>
    <row r="926" spans="1:43">
      <c r="A926" t="s">
        <v>1232</v>
      </c>
      <c r="B926" s="3">
        <v>45795</v>
      </c>
      <c r="C926" s="3">
        <v>45797</v>
      </c>
      <c r="D926" t="s">
        <v>1233</v>
      </c>
      <c r="E926" t="s">
        <v>132</v>
      </c>
      <c r="F926" t="s">
        <v>177</v>
      </c>
      <c r="G926" t="s">
        <v>149</v>
      </c>
      <c r="H926" t="s">
        <v>158</v>
      </c>
      <c r="I926" t="s">
        <v>159</v>
      </c>
      <c r="J926" t="s">
        <v>113</v>
      </c>
      <c r="K926" t="s">
        <v>178</v>
      </c>
      <c r="L926" t="s">
        <v>1234</v>
      </c>
      <c r="M926" t="s">
        <v>145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248</v>
      </c>
      <c r="U926" t="s">
        <v>118</v>
      </c>
      <c r="V926" s="2">
        <f t="shared" si="185"/>
        <v>0.15</v>
      </c>
      <c r="W926" s="2">
        <f t="shared" si="186"/>
        <v>6485.3639999999996</v>
      </c>
      <c r="X926" s="2">
        <f>W926-R926</f>
        <v>1109.1939999999995</v>
      </c>
      <c r="Y926" s="2">
        <f t="shared" si="187"/>
        <v>0.17103033846673826</v>
      </c>
      <c r="Z926" s="2">
        <f t="shared" si="188"/>
        <v>2</v>
      </c>
      <c r="AA926" s="2">
        <f t="shared" si="189"/>
        <v>5</v>
      </c>
      <c r="AB926" s="2">
        <f t="shared" si="190"/>
        <v>2025</v>
      </c>
      <c r="AC926" s="2" t="str">
        <f t="shared" si="191"/>
        <v>Conflicting Duplicate Order ID</v>
      </c>
      <c r="AD926" s="2">
        <f t="shared" si="192"/>
        <v>1</v>
      </c>
      <c r="AE926" s="2">
        <f t="shared" si="193"/>
        <v>0</v>
      </c>
      <c r="AH926" t="str">
        <f t="shared" si="183"/>
        <v>Isha Nair</v>
      </c>
      <c r="AI926" t="str">
        <f t="shared" si="183"/>
        <v>Corporate</v>
      </c>
      <c r="AJ926" t="str">
        <f t="shared" si="183"/>
        <v>West</v>
      </c>
      <c r="AK926" t="str">
        <f t="shared" si="183"/>
        <v>Madhya Pradesh</v>
      </c>
      <c r="AL926" t="str">
        <f t="shared" si="183"/>
        <v>Indore</v>
      </c>
      <c r="AM926" t="str">
        <f t="shared" si="183"/>
        <v>Office Supplies</v>
      </c>
      <c r="AN926" t="str">
        <f t="shared" si="183"/>
        <v>Labels</v>
      </c>
      <c r="AO926" t="str">
        <f t="shared" si="194"/>
        <v>Standard Class</v>
      </c>
      <c r="AP926" t="str">
        <f t="shared" si="184"/>
        <v>Failed</v>
      </c>
      <c r="AQ926" t="str">
        <f t="shared" si="184"/>
        <v>Completed</v>
      </c>
    </row>
    <row r="927" spans="1:43">
      <c r="A927" t="s">
        <v>764</v>
      </c>
      <c r="B927" s="3">
        <v>45847</v>
      </c>
      <c r="C927" s="3">
        <v>45915</v>
      </c>
      <c r="D927" t="s">
        <v>765</v>
      </c>
      <c r="E927" t="s">
        <v>232</v>
      </c>
      <c r="F927" t="s">
        <v>177</v>
      </c>
      <c r="G927" t="s">
        <v>123</v>
      </c>
      <c r="H927" t="s">
        <v>237</v>
      </c>
      <c r="I927" t="s">
        <v>238</v>
      </c>
      <c r="J927" t="s">
        <v>160</v>
      </c>
      <c r="K927" t="s">
        <v>166</v>
      </c>
      <c r="L927" t="s">
        <v>766</v>
      </c>
      <c r="M927" t="s">
        <v>145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117</v>
      </c>
      <c r="U927" t="s">
        <v>190</v>
      </c>
      <c r="V927" s="2">
        <f t="shared" si="185"/>
        <v>0</v>
      </c>
      <c r="W927" s="2">
        <f t="shared" si="186"/>
        <v>5133.96</v>
      </c>
      <c r="X927" s="2">
        <f>W927-R927</f>
        <v>1203.96</v>
      </c>
      <c r="Y927" s="2">
        <f t="shared" si="187"/>
        <v>0.23450903396208775</v>
      </c>
      <c r="Z927" s="2">
        <f t="shared" si="188"/>
        <v>68</v>
      </c>
      <c r="AA927" s="2">
        <f t="shared" si="189"/>
        <v>7</v>
      </c>
      <c r="AB927" s="2">
        <f t="shared" si="190"/>
        <v>2025</v>
      </c>
      <c r="AC927" s="2" t="str">
        <f t="shared" si="191"/>
        <v>Conflicting Duplicate Order ID</v>
      </c>
      <c r="AD927" s="2">
        <f t="shared" si="192"/>
        <v>1</v>
      </c>
      <c r="AE927" s="2">
        <f t="shared" si="193"/>
        <v>0</v>
      </c>
      <c r="AH927" t="str">
        <f t="shared" si="183"/>
        <v>Rohan Mehta</v>
      </c>
      <c r="AI927" t="str">
        <f t="shared" si="183"/>
        <v>Corporate</v>
      </c>
      <c r="AJ927" t="str">
        <f t="shared" si="183"/>
        <v>East</v>
      </c>
      <c r="AK927" t="str">
        <f t="shared" si="183"/>
        <v>Bihar</v>
      </c>
      <c r="AL927" t="str">
        <f t="shared" ref="AL927:AN933" si="195">PROPER(TRIM(I927))</f>
        <v>Patna</v>
      </c>
      <c r="AM927" t="str">
        <f t="shared" si="195"/>
        <v>Technology</v>
      </c>
      <c r="AN927" t="str">
        <f t="shared" si="195"/>
        <v>Copiers</v>
      </c>
      <c r="AO927" t="str">
        <f t="shared" si="194"/>
        <v>Standard Class</v>
      </c>
      <c r="AP927" t="str">
        <f t="shared" si="184"/>
        <v>Paid</v>
      </c>
      <c r="AQ927" t="str">
        <f t="shared" si="184"/>
        <v>Returned</v>
      </c>
    </row>
    <row r="928" spans="1:43">
      <c r="A928" t="s">
        <v>1588</v>
      </c>
      <c r="B928" s="3">
        <v>45342</v>
      </c>
      <c r="C928" s="3" t="s">
        <v>1589</v>
      </c>
      <c r="D928" t="s">
        <v>1590</v>
      </c>
      <c r="E928" t="s">
        <v>256</v>
      </c>
      <c r="F928" t="s">
        <v>109</v>
      </c>
      <c r="G928" t="s">
        <v>140</v>
      </c>
      <c r="H928" t="s">
        <v>282</v>
      </c>
      <c r="I928" t="s">
        <v>283</v>
      </c>
      <c r="J928" t="s">
        <v>160</v>
      </c>
      <c r="K928" t="s">
        <v>161</v>
      </c>
      <c r="L928" t="s">
        <v>1591</v>
      </c>
      <c r="M928" t="s">
        <v>1592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117</v>
      </c>
      <c r="U928" t="s">
        <v>190</v>
      </c>
      <c r="V928" s="2">
        <f t="shared" si="185"/>
        <v>0.2</v>
      </c>
      <c r="W928" s="2">
        <f t="shared" si="186"/>
        <v>27211.032000000003</v>
      </c>
      <c r="X928" s="2">
        <f>W928-R928</f>
        <v>9270.6020000000026</v>
      </c>
      <c r="Y928" s="2">
        <f t="shared" si="187"/>
        <v>0.34069277490100347</v>
      </c>
      <c r="Z928" s="2" t="str">
        <f t="shared" si="188"/>
        <v/>
      </c>
      <c r="AA928" s="2">
        <f t="shared" si="189"/>
        <v>2</v>
      </c>
      <c r="AB928" s="2">
        <f t="shared" si="190"/>
        <v>2024</v>
      </c>
      <c r="AC928" s="2" t="str">
        <f t="shared" si="191"/>
        <v>Conflicting Duplicate Order ID</v>
      </c>
      <c r="AD928" s="2">
        <f t="shared" si="192"/>
        <v>1</v>
      </c>
      <c r="AE928" s="2">
        <f t="shared" si="193"/>
        <v>0</v>
      </c>
      <c r="AH928" t="str">
        <f t="shared" ref="AH928:AK933" si="196">PROPER(TRIM(E928))</f>
        <v>Diya Patel</v>
      </c>
      <c r="AI928" t="str">
        <f t="shared" si="196"/>
        <v>Consumer</v>
      </c>
      <c r="AJ928" t="str">
        <f t="shared" si="196"/>
        <v>South</v>
      </c>
      <c r="AK928" t="str">
        <f t="shared" si="196"/>
        <v>Kerala</v>
      </c>
      <c r="AL928" t="str">
        <f t="shared" si="195"/>
        <v>Kochi</v>
      </c>
      <c r="AM928" t="str">
        <f t="shared" si="195"/>
        <v>Technology</v>
      </c>
      <c r="AN928" t="str">
        <f t="shared" si="195"/>
        <v>Accessories</v>
      </c>
      <c r="AO928" t="str">
        <f t="shared" si="194"/>
        <v>First Class</v>
      </c>
      <c r="AP928" t="str">
        <f t="shared" si="184"/>
        <v>Paid</v>
      </c>
      <c r="AQ928" t="str">
        <f t="shared" si="184"/>
        <v>Returned</v>
      </c>
    </row>
    <row r="929" spans="1:43">
      <c r="A929" t="s">
        <v>2062</v>
      </c>
      <c r="B929" s="3">
        <v>45698</v>
      </c>
      <c r="C929" s="3">
        <v>45702</v>
      </c>
      <c r="D929" t="s">
        <v>2063</v>
      </c>
      <c r="E929" t="s">
        <v>203</v>
      </c>
      <c r="F929" t="s">
        <v>122</v>
      </c>
      <c r="G929" t="s">
        <v>110</v>
      </c>
      <c r="H929" t="s">
        <v>227</v>
      </c>
      <c r="I929" t="s">
        <v>228</v>
      </c>
      <c r="J929" t="s">
        <v>160</v>
      </c>
      <c r="K929" t="s">
        <v>266</v>
      </c>
      <c r="L929" t="s">
        <v>2064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248</v>
      </c>
      <c r="U929" t="s">
        <v>118</v>
      </c>
      <c r="V929" s="2">
        <f t="shared" si="185"/>
        <v>0</v>
      </c>
      <c r="W929" s="2">
        <f t="shared" si="186"/>
        <v>21381.45</v>
      </c>
      <c r="X929" s="2">
        <f>W929-R929</f>
        <v>8141.2400000000016</v>
      </c>
      <c r="Y929" s="2">
        <f t="shared" si="187"/>
        <v>0.38076182859441249</v>
      </c>
      <c r="Z929" s="2">
        <f t="shared" si="188"/>
        <v>4</v>
      </c>
      <c r="AA929" s="2">
        <f t="shared" si="189"/>
        <v>2</v>
      </c>
      <c r="AB929" s="2">
        <f t="shared" si="190"/>
        <v>2025</v>
      </c>
      <c r="AC929" s="2" t="str">
        <f t="shared" si="191"/>
        <v>Conflicting Duplicate Order ID</v>
      </c>
      <c r="AD929" s="2">
        <f t="shared" si="192"/>
        <v>1</v>
      </c>
      <c r="AE929" s="2">
        <f t="shared" si="193"/>
        <v>0</v>
      </c>
      <c r="AH929" t="str">
        <f t="shared" si="196"/>
        <v>Priya Menon</v>
      </c>
      <c r="AI929" t="str">
        <f t="shared" si="196"/>
        <v>Small Business</v>
      </c>
      <c r="AJ929" t="str">
        <f t="shared" si="196"/>
        <v>North</v>
      </c>
      <c r="AK929" t="str">
        <f t="shared" si="196"/>
        <v>Uttar Pradesh</v>
      </c>
      <c r="AL929" t="str">
        <f t="shared" si="195"/>
        <v>Noida</v>
      </c>
      <c r="AM929" t="str">
        <f t="shared" si="195"/>
        <v>Technology</v>
      </c>
      <c r="AN929" t="str">
        <f t="shared" si="195"/>
        <v>Phones</v>
      </c>
      <c r="AO929" t="s">
        <v>306</v>
      </c>
      <c r="AP929" t="str">
        <f t="shared" si="184"/>
        <v>Failed</v>
      </c>
      <c r="AQ929" t="str">
        <f t="shared" si="184"/>
        <v>Completed</v>
      </c>
    </row>
    <row r="930" spans="1:43">
      <c r="A930" t="s">
        <v>670</v>
      </c>
      <c r="B930" s="3">
        <v>45381</v>
      </c>
      <c r="C930" s="3">
        <v>45377</v>
      </c>
      <c r="D930" t="s">
        <v>671</v>
      </c>
      <c r="E930" t="s">
        <v>176</v>
      </c>
      <c r="F930" t="s">
        <v>182</v>
      </c>
      <c r="G930" t="s">
        <v>110</v>
      </c>
      <c r="H930" t="s">
        <v>111</v>
      </c>
      <c r="I930" t="s">
        <v>112</v>
      </c>
      <c r="J930" t="s">
        <v>160</v>
      </c>
      <c r="K930" t="s">
        <v>266</v>
      </c>
      <c r="L930" t="s">
        <v>672</v>
      </c>
      <c r="M930" t="s">
        <v>116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117</v>
      </c>
      <c r="U930" t="s">
        <v>190</v>
      </c>
      <c r="V930" s="2">
        <f t="shared" si="185"/>
        <v>0.15</v>
      </c>
      <c r="W930" s="2">
        <f t="shared" si="186"/>
        <v>3857.0449999999996</v>
      </c>
      <c r="X930" s="2">
        <f>W930-R930</f>
        <v>1087.7849999999994</v>
      </c>
      <c r="Y930" s="2">
        <f t="shared" si="187"/>
        <v>0.28202548842442843</v>
      </c>
      <c r="Z930" s="2">
        <f t="shared" si="188"/>
        <v>-4</v>
      </c>
      <c r="AA930" s="2">
        <f t="shared" si="189"/>
        <v>3</v>
      </c>
      <c r="AB930" s="2">
        <f t="shared" si="190"/>
        <v>2024</v>
      </c>
      <c r="AC930" s="2" t="str">
        <f t="shared" si="191"/>
        <v>Conflicting Duplicate Order ID</v>
      </c>
      <c r="AD930" s="2">
        <f t="shared" si="192"/>
        <v>1</v>
      </c>
      <c r="AE930" s="2">
        <f t="shared" si="193"/>
        <v>0</v>
      </c>
      <c r="AH930" t="str">
        <f t="shared" si="196"/>
        <v>Aditi Sen</v>
      </c>
      <c r="AI930" t="str">
        <f t="shared" si="196"/>
        <v>Home Office</v>
      </c>
      <c r="AJ930" t="str">
        <f t="shared" si="196"/>
        <v>North</v>
      </c>
      <c r="AK930" t="str">
        <f t="shared" si="196"/>
        <v>Rajasthan</v>
      </c>
      <c r="AL930" t="str">
        <f t="shared" si="195"/>
        <v>Jaipur</v>
      </c>
      <c r="AM930" t="str">
        <f t="shared" si="195"/>
        <v>Technology</v>
      </c>
      <c r="AN930" t="str">
        <f t="shared" si="195"/>
        <v>Phones</v>
      </c>
      <c r="AO930" t="str">
        <f t="shared" si="194"/>
        <v>Second Class</v>
      </c>
      <c r="AP930" t="str">
        <f t="shared" si="184"/>
        <v>Paid</v>
      </c>
      <c r="AQ930" t="str">
        <f t="shared" si="184"/>
        <v>Returned</v>
      </c>
    </row>
    <row r="931" spans="1:43">
      <c r="A931" t="s">
        <v>1096</v>
      </c>
      <c r="B931" s="3">
        <v>45522</v>
      </c>
      <c r="C931" s="3">
        <v>45528</v>
      </c>
      <c r="D931" t="s">
        <v>1097</v>
      </c>
      <c r="E931" t="s">
        <v>139</v>
      </c>
      <c r="F931" t="s">
        <v>109</v>
      </c>
      <c r="G931" t="s">
        <v>140</v>
      </c>
      <c r="H931" t="s">
        <v>171</v>
      </c>
      <c r="I931" t="s">
        <v>172</v>
      </c>
      <c r="J931" t="s">
        <v>126</v>
      </c>
      <c r="K931" t="s">
        <v>152</v>
      </c>
      <c r="L931" t="s">
        <v>1098</v>
      </c>
      <c r="M931" t="s">
        <v>135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117</v>
      </c>
      <c r="U931" t="s">
        <v>190</v>
      </c>
      <c r="V931" s="2">
        <f t="shared" si="185"/>
        <v>0.1</v>
      </c>
      <c r="W931" s="2">
        <f t="shared" si="186"/>
        <v>3510.4230000000002</v>
      </c>
      <c r="X931" s="2">
        <f>W931-R931</f>
        <v>1318.9230000000002</v>
      </c>
      <c r="Y931" s="2">
        <f t="shared" si="187"/>
        <v>0.37571625983535323</v>
      </c>
      <c r="Z931" s="2">
        <f t="shared" si="188"/>
        <v>6</v>
      </c>
      <c r="AA931" s="2">
        <f t="shared" si="189"/>
        <v>8</v>
      </c>
      <c r="AB931" s="2">
        <f t="shared" si="190"/>
        <v>2024</v>
      </c>
      <c r="AC931" s="2" t="str">
        <f t="shared" si="191"/>
        <v>Conflicting Duplicate Order ID</v>
      </c>
      <c r="AD931" s="2">
        <f t="shared" si="192"/>
        <v>1</v>
      </c>
      <c r="AE931" s="2">
        <f t="shared" si="193"/>
        <v>1</v>
      </c>
      <c r="AH931" t="str">
        <f t="shared" si="196"/>
        <v>Arjun Bose</v>
      </c>
      <c r="AI931" t="str">
        <f t="shared" si="196"/>
        <v>Consumer</v>
      </c>
      <c r="AJ931" t="str">
        <f t="shared" si="196"/>
        <v>South</v>
      </c>
      <c r="AK931" t="str">
        <f t="shared" si="196"/>
        <v>Andhra Pradesh</v>
      </c>
      <c r="AL931" t="str">
        <f t="shared" si="195"/>
        <v>Vijayawada</v>
      </c>
      <c r="AM931" t="str">
        <f t="shared" si="195"/>
        <v>Furniture</v>
      </c>
      <c r="AN931" t="str">
        <f t="shared" si="195"/>
        <v>Chairs</v>
      </c>
      <c r="AO931" t="str">
        <f t="shared" si="194"/>
        <v>First Class</v>
      </c>
      <c r="AP931" t="str">
        <f t="shared" si="184"/>
        <v>Paid</v>
      </c>
      <c r="AQ931" t="str">
        <f t="shared" si="184"/>
        <v>Returned</v>
      </c>
    </row>
    <row r="932" spans="1:43">
      <c r="A932" t="s">
        <v>604</v>
      </c>
      <c r="B932" s="3">
        <v>45436</v>
      </c>
      <c r="C932" s="3">
        <v>45437</v>
      </c>
      <c r="D932" t="s">
        <v>605</v>
      </c>
      <c r="E932" t="s">
        <v>222</v>
      </c>
      <c r="F932" t="s">
        <v>122</v>
      </c>
      <c r="G932" t="s">
        <v>606</v>
      </c>
      <c r="H932" t="s">
        <v>211</v>
      </c>
      <c r="I932" t="s">
        <v>212</v>
      </c>
      <c r="J932" t="s">
        <v>160</v>
      </c>
      <c r="K932" t="s">
        <v>166</v>
      </c>
      <c r="L932" t="s">
        <v>607</v>
      </c>
      <c r="M932" t="s">
        <v>129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189</v>
      </c>
      <c r="U932" t="s">
        <v>190</v>
      </c>
      <c r="V932" s="2">
        <f t="shared" si="185"/>
        <v>0</v>
      </c>
      <c r="W932" s="2">
        <f t="shared" si="186"/>
        <v>634.13</v>
      </c>
      <c r="X932" s="2">
        <f>W932-R932</f>
        <v>180.77999999999997</v>
      </c>
      <c r="Y932" s="2">
        <f t="shared" si="187"/>
        <v>0.28508350022865969</v>
      </c>
      <c r="Z932" s="2">
        <f t="shared" si="188"/>
        <v>1</v>
      </c>
      <c r="AA932" s="2">
        <f t="shared" si="189"/>
        <v>5</v>
      </c>
      <c r="AB932" s="2">
        <f t="shared" si="190"/>
        <v>2024</v>
      </c>
      <c r="AC932" s="2" t="str">
        <f t="shared" si="191"/>
        <v>Conflicting Duplicate Order ID</v>
      </c>
      <c r="AD932" s="2">
        <f t="shared" si="192"/>
        <v>1</v>
      </c>
      <c r="AE932" s="2">
        <f t="shared" si="193"/>
        <v>0</v>
      </c>
      <c r="AH932" t="str">
        <f t="shared" si="196"/>
        <v>Sneha Kapoor</v>
      </c>
      <c r="AI932" t="str">
        <f t="shared" si="196"/>
        <v>Small Business</v>
      </c>
      <c r="AJ932" t="str">
        <f t="shared" si="196"/>
        <v>North</v>
      </c>
      <c r="AK932" t="str">
        <f t="shared" si="196"/>
        <v>Punjab</v>
      </c>
      <c r="AL932" t="str">
        <f t="shared" si="195"/>
        <v>Ludhiana</v>
      </c>
      <c r="AM932" t="str">
        <f t="shared" si="195"/>
        <v>Technology</v>
      </c>
      <c r="AN932" t="str">
        <f t="shared" si="195"/>
        <v>Copiers</v>
      </c>
      <c r="AO932" t="str">
        <f t="shared" si="194"/>
        <v>Same Day</v>
      </c>
      <c r="AP932" t="str">
        <f t="shared" si="184"/>
        <v>Refunded</v>
      </c>
      <c r="AQ932" t="str">
        <f t="shared" si="184"/>
        <v>Returned</v>
      </c>
    </row>
    <row r="933" spans="1:43">
      <c r="A933" t="s">
        <v>1300</v>
      </c>
      <c r="B933" s="3">
        <v>45824</v>
      </c>
      <c r="C933" s="3">
        <v>45826</v>
      </c>
      <c r="D933" t="s">
        <v>1301</v>
      </c>
      <c r="E933" t="s">
        <v>207</v>
      </c>
      <c r="F933" t="s">
        <v>182</v>
      </c>
      <c r="G933" t="s">
        <v>149</v>
      </c>
      <c r="H933" t="s">
        <v>158</v>
      </c>
      <c r="I933" t="s">
        <v>159</v>
      </c>
      <c r="J933" t="s">
        <v>113</v>
      </c>
      <c r="K933" t="s">
        <v>114</v>
      </c>
      <c r="L933" t="s">
        <v>1302</v>
      </c>
      <c r="M933" t="s">
        <v>135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117</v>
      </c>
      <c r="U933" t="s">
        <v>190</v>
      </c>
      <c r="V933" s="2">
        <f t="shared" si="185"/>
        <v>0.1</v>
      </c>
      <c r="W933" s="2">
        <f t="shared" si="186"/>
        <v>11581.299000000001</v>
      </c>
      <c r="X933" s="2">
        <f>W933-R933</f>
        <v>4751.8690000000006</v>
      </c>
      <c r="Y933" s="2">
        <f t="shared" si="187"/>
        <v>0.41030535521101735</v>
      </c>
      <c r="Z933" s="2">
        <f t="shared" si="188"/>
        <v>2</v>
      </c>
      <c r="AA933" s="2">
        <f t="shared" si="189"/>
        <v>6</v>
      </c>
      <c r="AB933" s="2">
        <f t="shared" si="190"/>
        <v>2025</v>
      </c>
      <c r="AC933" s="2" t="str">
        <f t="shared" si="191"/>
        <v>Conflicting Duplicate Order ID</v>
      </c>
      <c r="AD933" s="2">
        <f t="shared" si="192"/>
        <v>1</v>
      </c>
      <c r="AE933" s="2">
        <f t="shared" si="193"/>
        <v>0</v>
      </c>
      <c r="AH933" t="str">
        <f t="shared" si="196"/>
        <v>Rahul Verma</v>
      </c>
      <c r="AI933" t="str">
        <f t="shared" si="196"/>
        <v>Home Office</v>
      </c>
      <c r="AJ933" t="str">
        <f t="shared" si="196"/>
        <v>West</v>
      </c>
      <c r="AK933" t="str">
        <f t="shared" si="196"/>
        <v>Madhya Pradesh</v>
      </c>
      <c r="AL933" t="str">
        <f t="shared" si="195"/>
        <v>Indore</v>
      </c>
      <c r="AM933" t="str">
        <f t="shared" si="195"/>
        <v>Office Supplies</v>
      </c>
      <c r="AN933" t="str">
        <f t="shared" si="195"/>
        <v>Paper</v>
      </c>
      <c r="AO933" t="str">
        <f t="shared" si="194"/>
        <v>First Class</v>
      </c>
      <c r="AP933" t="str">
        <f t="shared" si="184"/>
        <v>Paid</v>
      </c>
      <c r="AQ933" t="str">
        <f t="shared" si="184"/>
        <v>Returned</v>
      </c>
    </row>
    <row r="934" spans="1:43">
      <c r="C934" s="4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43">
      <c r="C935" s="4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43">
      <c r="C936" s="4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43">
      <c r="C937" s="4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43">
      <c r="C938" s="4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43">
      <c r="C939" s="4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43">
      <c r="C940" s="4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43">
      <c r="C941" s="4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43">
      <c r="C942" s="4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43">
      <c r="C943" s="4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43">
      <c r="C944" s="4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3:31">
      <c r="C945" s="4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3:31">
      <c r="C946" s="4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3:31">
      <c r="C947" s="4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3:31">
      <c r="C948" s="4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3:31">
      <c r="C949" s="4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3:31">
      <c r="C950" s="4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3:31">
      <c r="C951" s="4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3:31">
      <c r="C952" s="4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3:31">
      <c r="C953" s="4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3:31">
      <c r="C954" s="4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3:31">
      <c r="C955" s="4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3:31">
      <c r="C956" s="4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3:31">
      <c r="C957" s="4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3:31">
      <c r="C958" s="4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3:31">
      <c r="C959" s="4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3:31">
      <c r="C960" s="4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3:31">
      <c r="C961" s="4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3:31">
      <c r="C962" s="4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3:31">
      <c r="C963" s="4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3:31">
      <c r="C964" s="4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3:31">
      <c r="C965" s="4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3:31">
      <c r="C966" s="4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3:31">
      <c r="C967" s="4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3:31">
      <c r="C968" s="4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3:31">
      <c r="C969" s="4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3:31">
      <c r="C970" s="4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3:31">
      <c r="C971" s="4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3:31">
      <c r="C972" s="4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3:31">
      <c r="C973" s="4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3:31">
      <c r="C974" s="4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3:31">
      <c r="C975" s="4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3:31">
      <c r="C976" s="4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3:31">
      <c r="C977" s="4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3:31">
      <c r="C978" s="4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3:31">
      <c r="C979" s="4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3:31">
      <c r="C980" s="4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3:31">
      <c r="C981" s="4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3:31">
      <c r="C982" s="4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3:31">
      <c r="C983" s="4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3:31">
      <c r="C984" s="4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3:31">
      <c r="C985" s="4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3:31">
      <c r="C986" s="4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3:31">
      <c r="C987" s="4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3:31">
      <c r="C988" s="4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3:31">
      <c r="C989" s="4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3:31">
      <c r="C990" s="4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3:31">
      <c r="C991" s="4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3:31">
      <c r="C992" s="4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3:31">
      <c r="C993" s="4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3:31">
      <c r="C994" s="4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3:31">
      <c r="C995" s="4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3:31">
      <c r="C996" s="4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3:31">
      <c r="C997" s="4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3:31">
      <c r="C998" s="4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3:31">
      <c r="C999" s="4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3:31">
      <c r="C1000" s="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3:31">
      <c r="C1001" s="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3:31">
      <c r="C1002" s="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3:31">
      <c r="C1003" s="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3:31">
      <c r="C1004" s="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3:31">
      <c r="C1005" s="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3:31">
      <c r="C1006" s="4"/>
    </row>
  </sheetData>
  <autoFilter ref="A1:AE9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Snehalatha Sirigiri</cp:lastModifiedBy>
  <cp:revision/>
  <dcterms:created xsi:type="dcterms:W3CDTF">2026-06-24T12:28:46Z</dcterms:created>
  <dcterms:modified xsi:type="dcterms:W3CDTF">2026-06-25T14:32:48Z</dcterms:modified>
  <cp:category/>
  <cp:contentStatus/>
</cp:coreProperties>
</file>